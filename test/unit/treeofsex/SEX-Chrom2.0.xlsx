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em29/git/tol-sdk/test/unit/treeofsex/"/>
    </mc:Choice>
  </mc:AlternateContent>
  <xr:revisionPtr revIDLastSave="0" documentId="13_ncr:1_{50D1D8B2-C928-FC49-A272-18A6398DE177}" xr6:coauthVersionLast="47" xr6:coauthVersionMax="47" xr10:uidLastSave="{00000000-0000-0000-0000-000000000000}"/>
  <bookViews>
    <workbookView xWindow="19280" yWindow="660" windowWidth="18980" windowHeight="21160" xr2:uid="{00000000-000D-0000-FFFF-FFFF00000000}"/>
  </bookViews>
  <sheets>
    <sheet name="NEW GENERAL 28102022" sheetId="1" r:id="rId1"/>
    <sheet name="Table OPTIONS for individual da" sheetId="2" r:id="rId2"/>
    <sheet name="References APA 23052022" sheetId="3" r:id="rId3"/>
    <sheet name="References APA per csv 23052022" sheetId="4" r:id="rId4"/>
    <sheet name="Full 29" sheetId="5" state="hidden" r:id="rId5"/>
    <sheet name="Full 30" sheetId="6" state="hidden" r:id="rId6"/>
  </sheets>
  <definedNames>
    <definedName name="_xlnm._FilterDatabase" localSheetId="0" hidden="1">'NEW GENERAL 28102022'!$A$1:$AD$313</definedName>
    <definedName name="_xlnm._FilterDatabase" localSheetId="2" hidden="1">'References APA 23052022'!$A$1:$AE$471</definedName>
    <definedName name="_xlnm._FilterDatabase" localSheetId="1" hidden="1">'Table OPTIONS for individual da'!$A$1:$I$995</definedName>
    <definedName name="Z_B582C9F8_F5BA_4ACF_941C_3668E94168B3_.wvu.FilterData" localSheetId="2" hidden="1">'References APA 23052022'!$A$1:$G$672</definedName>
  </definedNames>
  <calcPr calcId="191029"/>
  <customWorkbookViews>
    <customWorkbookView name="Filtra per 1" guid="{B582C9F8-F5BA-4ACF-941C-3668E94168B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arkEWDEiYmvZwc+r4XwRGMRsUB1tGq/eYBK5TPsdpCE="/>
    </ext>
  </extLst>
</workbook>
</file>

<file path=xl/calcChain.xml><?xml version="1.0" encoding="utf-8"?>
<calcChain xmlns="http://schemas.openxmlformats.org/spreadsheetml/2006/main">
  <c r="A350" i="6" l="1"/>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0" i="6"/>
  <c r="A9" i="6"/>
  <c r="A8" i="6"/>
  <c r="A7" i="6"/>
  <c r="A6" i="6"/>
  <c r="A5" i="6"/>
  <c r="A4" i="6"/>
  <c r="A3" i="6"/>
  <c r="A2" i="6"/>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0" i="5"/>
  <c r="A9" i="5"/>
  <c r="A8" i="5"/>
  <c r="A7" i="5"/>
  <c r="A6" i="5"/>
  <c r="A5" i="5"/>
  <c r="A4" i="5"/>
  <c r="A3" i="5"/>
  <c r="A2" i="5"/>
  <c r="I7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1" authorId="0" shapeId="0" xr:uid="{00000000-0006-0000-0000-000001000000}">
      <text>
        <r>
          <rPr>
            <sz val="10"/>
            <color rgb="FF000000"/>
            <rFont val="Arial"/>
            <family val="2"/>
            <scheme val="minor"/>
          </rPr>
          <t>======
ID#AAABQcfITXM
Sònia    (2024-06-29 09:38:47)
(hermaphrodite,monoecy,dioecy,gynodioecy,androdioecy,gynomonoecy,andromonoecy,polygamodioecy,polygamomonoecy,apomictic,other)</t>
        </r>
      </text>
    </comment>
    <comment ref="P1" authorId="0" shapeId="0" xr:uid="{00000000-0006-0000-0000-000002000000}">
      <text>
        <r>
          <rPr>
            <sz val="10"/>
            <color rgb="FF000000"/>
            <rFont val="Arial"/>
            <family val="2"/>
            <scheme val="minor"/>
          </rPr>
          <t>======
ID#AAABQcfITXE
There may be these options, and others may be added too    (2024-06-29 09:38:47)
XX/XY Y centered (mammalian type)
XX/XY X centered (drosophila type)
ZW (bird type)
UV (bryophyte type)
Look at Ming, Bendahmane and Renner 2011 AnnRevPlBiol</t>
        </r>
      </text>
    </comment>
  </commentList>
  <extLst>
    <ext xmlns:r="http://schemas.openxmlformats.org/officeDocument/2006/relationships" uri="GoogleSheetsCustomDataVersion2">
      <go:sheetsCustomData xmlns:go="http://customooxmlschemas.google.com/" r:id="rId1" roundtripDataSignature="AMtx7miw893vgwmp1gQe31kikJYnrKSs2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146" authorId="0" shapeId="0" xr:uid="{00000000-0006-0000-0200-000002000000}">
      <text>
        <r>
          <rPr>
            <sz val="10"/>
            <color rgb="FF000000"/>
            <rFont val="Arial"/>
            <family val="2"/>
            <scheme val="minor"/>
          </rPr>
          <t>======
ID#AAABQcfITXI
    (2024-06-29 09:38:47)
The two references are the same...
	-Manica Balant
Yes, there are some problems like this. If you find a duplicated reference, please highlight it in yellow. By the way, this one has all letters of the title in capitals, it should be corrected (if the other is ok, then it's fine). Thanks!
	-Sònia Garcia
_Marcat com a resolt_
	-Manica Balant
_Reobert_
One more thing... I got a few references, that have no information about
the issue and volume of the magazine, and the year written is the year of
publication on-line. but now there is available information about the
issue. Do I correct it an leave a comment, so you can correct the links, or
do I leave it like it is.
There is an example below:
*In the excel*
Mohei, E. L., Mohasseb, H. A. A., Al-Khateeb, A. A., Al-Khateeb, S. A.,
Chowdhury, K., El-Shemy, H. A., &amp; Aldaej, M. I. (2017). Identification and
sequencing of Date-SRY Gene: A novel tool for sex determination of date
palm (Phoenix dactylifera L.). Saudi Journal of Biological Sciences.
Corrected:
Mohei, E. L., Mohasseb, H. A. A., Al-Khateeb, A. A., Al-Khateeb, S. A.,
Chowdhury, K., El-Shemy, H. A., &amp; Aldaej, M. I. (2019). Identification and
sequencing of Date-SRY Gene: A novel tool for sex determination of date
palm (Phoenix dactylifera L.). Saudi Journal of Biological Sciences, 26(3),
514-523.
The pdf on-line
https://reader.elsevier.com/reader/sd/pii/S1319562X17302061?token=EECFA540864038231AF38F1067B58620FEA8EF809AC5B30D5ED05BB74A8905211F3E1BB398787524AA55FB2D84861EDA
Manica
V V pon., 24. feb. 2020 ob 12:10 je oseba Sònia Garcia (Google Preglednice)
	-Manica Balant
Well, if you can correct everything and even the link, it is highly appreciated ;-)
	-Sònia Garcia
The thing is, I am not sure how to correct it, so that I don't ruin the link :) you can show me tomorrow, and I will correct them. :)
	-Manica Balant
Of course, thank you ;-) !!
	-Sònia Garcia</t>
        </r>
      </text>
    </comment>
    <comment ref="G237" authorId="0" shapeId="0" xr:uid="{00000000-0006-0000-0200-000001000000}">
      <text>
        <r>
          <rPr>
            <sz val="10"/>
            <color rgb="FF000000"/>
            <rFont val="Arial"/>
            <family val="2"/>
            <scheme val="minor"/>
          </rPr>
          <t>======
ID#AAABQcfITXQ
    (2024-06-29 09:38:47)
The same reference
	-Manica Balant
_Marcat com a resolt_
	-Manica Balant
_Reobert_
ok
	-Sònia Garcia</t>
        </r>
      </text>
    </comment>
  </commentList>
  <extLst>
    <ext xmlns:r="http://schemas.openxmlformats.org/officeDocument/2006/relationships" uri="GoogleSheetsCustomDataVersion2">
      <go:sheetsCustomData xmlns:go="http://customooxmlschemas.google.com/" r:id="rId1" roundtripDataSignature="AMtx7mgVEE0fqCkG+1cLjP31B9fu2bgkaQ=="/>
    </ext>
  </extLst>
</comments>
</file>

<file path=xl/sharedStrings.xml><?xml version="1.0" encoding="utf-8"?>
<sst xmlns="http://schemas.openxmlformats.org/spreadsheetml/2006/main" count="8880" uniqueCount="2443">
  <si>
    <t>Clade (upper)</t>
  </si>
  <si>
    <t>Clade (lower)</t>
  </si>
  <si>
    <t>Order</t>
  </si>
  <si>
    <t>Family</t>
  </si>
  <si>
    <t>Genus</t>
  </si>
  <si>
    <t>Specific epithet</t>
  </si>
  <si>
    <t>Species name</t>
  </si>
  <si>
    <t>Infraspecific</t>
  </si>
  <si>
    <t>Taxonomic status</t>
  </si>
  <si>
    <t>Accepted name</t>
  </si>
  <si>
    <t>Accepted authorship</t>
  </si>
  <si>
    <t>Genome size (2C)</t>
  </si>
  <si>
    <t xml:space="preserve">Sexual system </t>
  </si>
  <si>
    <t>Chromosome number (2n)</t>
  </si>
  <si>
    <t>Ploidy level</t>
  </si>
  <si>
    <r>
      <rPr>
        <b/>
        <sz val="11"/>
        <color theme="1"/>
        <rFont val="Arial"/>
        <family val="2"/>
      </rPr>
      <t>Sex determination</t>
    </r>
    <r>
      <rPr>
        <b/>
        <sz val="11"/>
        <color theme="1"/>
        <rFont val="Arial"/>
        <family val="2"/>
      </rPr>
      <t xml:space="preserve"> system</t>
    </r>
  </si>
  <si>
    <t>Sex chromosomes MALE</t>
  </si>
  <si>
    <t>Sex chromosomes FEMALE</t>
  </si>
  <si>
    <t>Heteromorphic/homomorphic sex chromosomes*</t>
  </si>
  <si>
    <t>Notes on sex chromosome morphology and or methodology for characterising sex determination system</t>
  </si>
  <si>
    <t>Source 1 (sex chromosomes)</t>
  </si>
  <si>
    <t>Extracted hyperlink source 1</t>
  </si>
  <si>
    <t>Source 2 (sex chromosomes)</t>
  </si>
  <si>
    <t>Extracted hyperlink source 2</t>
  </si>
  <si>
    <t>Miscellaneous genomic information</t>
  </si>
  <si>
    <r>
      <rPr>
        <b/>
        <sz val="11"/>
        <color theme="1"/>
        <rFont val="Arial"/>
        <family val="2"/>
      </rPr>
      <t xml:space="preserve">Source </t>
    </r>
    <r>
      <rPr>
        <b/>
        <sz val="11"/>
        <color theme="1"/>
        <rFont val="Arial"/>
        <family val="2"/>
      </rPr>
      <t>3</t>
    </r>
    <r>
      <rPr>
        <b/>
        <sz val="11"/>
        <color theme="1"/>
        <rFont val="Arial"/>
        <family val="2"/>
      </rPr>
      <t xml:space="preserve"> </t>
    </r>
    <r>
      <rPr>
        <b/>
        <sz val="11"/>
        <color theme="1"/>
        <rFont val="Arial"/>
        <family val="2"/>
      </rPr>
      <t>(miscellaneous)</t>
    </r>
  </si>
  <si>
    <t>Extracted hyperlink (Source miscellaneous)</t>
  </si>
  <si>
    <t>Other relevant information</t>
  </si>
  <si>
    <t>Source (other relevant information)</t>
  </si>
  <si>
    <t>Extracted hyperlink (source other relevant information)</t>
  </si>
  <si>
    <t>Angiosperms</t>
  </si>
  <si>
    <t>Eudicots</t>
  </si>
  <si>
    <t>Caryophyllales</t>
  </si>
  <si>
    <t>Amaranthaceae</t>
  </si>
  <si>
    <t>Atriplex</t>
  </si>
  <si>
    <t xml:space="preserve"> garrettii</t>
  </si>
  <si>
    <t>Atriplex garrettii</t>
  </si>
  <si>
    <t>Unresolved</t>
  </si>
  <si>
    <t>(Atriplex garretti - unresolved)</t>
  </si>
  <si>
    <t>Dioecy</t>
  </si>
  <si>
    <t>2x</t>
  </si>
  <si>
    <t>Male heterogamety</t>
  </si>
  <si>
    <t>XY</t>
  </si>
  <si>
    <t>XX</t>
  </si>
  <si>
    <t>Homomorphic</t>
  </si>
  <si>
    <t>Cytogenetic analyses in mitosis. Sex determination system method: RAPD based SCAR marker</t>
  </si>
  <si>
    <t>Ruas et al 1998</t>
  </si>
  <si>
    <t>https://bsapubs.onlinelibrary.wiley.com/doi/epdf/10.2307/2446304</t>
  </si>
  <si>
    <t>A 2075 base-pair (bp) male-specific DNA fragment generated with the OPAF-14 primer was identified.</t>
  </si>
  <si>
    <t>https://www.jstor.org/stable/2446304</t>
  </si>
  <si>
    <t>Dioscoreales</t>
  </si>
  <si>
    <t>Dioscoreaceae</t>
  </si>
  <si>
    <t>Dioscorea</t>
  </si>
  <si>
    <t>deltoidea</t>
  </si>
  <si>
    <t>Dioscorea deltoidea</t>
  </si>
  <si>
    <t>(Dioscorea deltoidea - unresolved)</t>
  </si>
  <si>
    <t>Female heterogamety</t>
  </si>
  <si>
    <t>ZZ</t>
  </si>
  <si>
    <t>ZW</t>
  </si>
  <si>
    <t>Heteromorphic</t>
  </si>
  <si>
    <t>Cytogenetic analyses in mitosis and meiosis</t>
  </si>
  <si>
    <t>Bhat and Bindroo 1980</t>
  </si>
  <si>
    <t>https://www.jstage.jst.go.jp/article/cytologia1929/45/4/45_4_739/_pdf</t>
  </si>
  <si>
    <t>Green algae</t>
  </si>
  <si>
    <t>Chlorophyta</t>
  </si>
  <si>
    <t>Chlamydomonadales</t>
  </si>
  <si>
    <t>Volvocaceae</t>
  </si>
  <si>
    <t>Eudorina</t>
  </si>
  <si>
    <t>sp.</t>
  </si>
  <si>
    <t>Eudorina sp.</t>
  </si>
  <si>
    <t>Unknown</t>
  </si>
  <si>
    <t>(Eudorina sp.)</t>
  </si>
  <si>
    <t>Ehrenberg</t>
  </si>
  <si>
    <t>Dioicy</t>
  </si>
  <si>
    <t>V</t>
  </si>
  <si>
    <t>U</t>
  </si>
  <si>
    <t>Homomorphic?*</t>
  </si>
  <si>
    <t>There is a reduced sex determining region. Sex determination by WGS of both sexes</t>
  </si>
  <si>
    <t>Hamaji et al 2018</t>
  </si>
  <si>
    <t>https://www.nature.com/articles/s42003-018-0019-5</t>
  </si>
  <si>
    <t>The non-recombining regions of U and V  show reduced size in comparison this the mating type regions of the related isogamous species</t>
  </si>
  <si>
    <t>Bryophytes/liverworts</t>
  </si>
  <si>
    <t>Marchantiophyta</t>
  </si>
  <si>
    <t>Porellales</t>
  </si>
  <si>
    <t>Frullaniaceae</t>
  </si>
  <si>
    <t>Frullania</t>
  </si>
  <si>
    <t>squarrosa</t>
  </si>
  <si>
    <t>Frullania squarrosa</t>
  </si>
  <si>
    <t>(Frullania squarrosa) - unresolved</t>
  </si>
  <si>
    <t>8, 9 (haploid)</t>
  </si>
  <si>
    <t>x</t>
  </si>
  <si>
    <t>Cytogenetic analyses in mitosis</t>
  </si>
  <si>
    <t>Berrie 1957</t>
  </si>
  <si>
    <t>https://doi.org/10.1038/1791143a0</t>
  </si>
  <si>
    <t>Mehra and Pathania 1959</t>
  </si>
  <si>
    <t>https://www.jstor.org/stable/3240149?seq=1#metadata_info_tab_contents</t>
  </si>
  <si>
    <t>tenuistipulata</t>
  </si>
  <si>
    <t>Frullania tenuistipulata</t>
  </si>
  <si>
    <t>No match found</t>
  </si>
  <si>
    <t>(Frullania tenuistipulata) - No match found</t>
  </si>
  <si>
    <t>St.</t>
  </si>
  <si>
    <t xml:space="preserve">U/V </t>
  </si>
  <si>
    <t>U1 U2</t>
  </si>
  <si>
    <t>Reviewed by Sousa et al 2021</t>
  </si>
  <si>
    <t>https://doi.org/10.1111/tpj.15150</t>
  </si>
  <si>
    <t>Cucurbitales</t>
  </si>
  <si>
    <t>Cucurbitaceae</t>
  </si>
  <si>
    <t>Momordica</t>
  </si>
  <si>
    <t>sahyadrica</t>
  </si>
  <si>
    <t>Momordica sahyadrica</t>
  </si>
  <si>
    <t xml:space="preserve">(Momordica sahyadrica) - unresolved </t>
  </si>
  <si>
    <t>Cytologicl analysis suggest absence of heteromorphic sex chromosomes</t>
  </si>
  <si>
    <t>Bharathi et al 2011</t>
  </si>
  <si>
    <t>https://link.springer.com/article/10.1007/s12041-011-0026-5</t>
  </si>
  <si>
    <t>Scharmann et al 2019</t>
  </si>
  <si>
    <t>https://doi.org/10.1002/evl3.142</t>
  </si>
  <si>
    <t>Rumex</t>
  </si>
  <si>
    <t>https://www.ncbi.nlm.nih.gov/pmc/articles/PMC5737746/pdf/evx254.pdf</t>
  </si>
  <si>
    <t>Ming et al 2011</t>
  </si>
  <si>
    <t>https://doi.org/10.1146/annurev-arplant-042110-103914</t>
  </si>
  <si>
    <t>Yamazaki et al 2017</t>
  </si>
  <si>
    <t>https://www.nature.com/articles/s41598-017-11677-0</t>
  </si>
  <si>
    <t>Marguerit et al 2009</t>
  </si>
  <si>
    <t>https://link.springer.com/content/pdf/10.1007%2Fs00122-009-0979-4.pdf</t>
  </si>
  <si>
    <t>Ferris et al 2010</t>
  </si>
  <si>
    <t>https://www.ncbi.nlm.nih.gov/pmc/articles/PMC2880461/pdf/nihms-197056.pdf</t>
  </si>
  <si>
    <t>Actinidia</t>
  </si>
  <si>
    <t>Testolin et al 1995</t>
  </si>
  <si>
    <t>https://link.springer.com/article/10.1007/BF00242255</t>
  </si>
  <si>
    <t>Guijun et al 1994</t>
  </si>
  <si>
    <t>https://link.springer.com/article/10.1007/BF00027515</t>
  </si>
  <si>
    <t>Li et al 2010</t>
  </si>
  <si>
    <t>https://doi.org/10.1111/j.1095-8339.2010.01073.x</t>
  </si>
  <si>
    <t>Jie 1983</t>
  </si>
  <si>
    <t>https://doi.org/10.1080/0028825X.1983.10428565</t>
  </si>
  <si>
    <t>Seal et al 2012</t>
  </si>
  <si>
    <t>Fraser et al 2009</t>
  </si>
  <si>
    <t>https://www.ncbi.nlm.nih.gov/pubmed/19284545</t>
  </si>
  <si>
    <t>Akagi et al 2018</t>
  </si>
  <si>
    <t>https://doi.org/10.1105/tpc.17.00787</t>
  </si>
  <si>
    <t>Gill et al 1998</t>
  </si>
  <si>
    <t>https://link.springer.com/article/10.1007/s001220050914</t>
  </si>
  <si>
    <t>Kim et al 2010</t>
  </si>
  <si>
    <t>Tang et al 2017</t>
  </si>
  <si>
    <t>https://doi.org/10.1371/journal.pone.0180542</t>
  </si>
  <si>
    <t>Zhang et al 2015</t>
  </si>
  <si>
    <t>https://doi.org/10.1093/dnares/dsv019</t>
  </si>
  <si>
    <t>https://doi.org/10.1007/s00497-012-0191-6</t>
  </si>
  <si>
    <t>Marchetti et al 1992</t>
  </si>
  <si>
    <t>https://link.springer.com/article/10.1007/BF00046050</t>
  </si>
  <si>
    <t>https://www.ncbi.nlm.nih.gov/pmc/articles/PMC1209100/pdf/409.pdf</t>
  </si>
  <si>
    <t>Grant 1959</t>
  </si>
  <si>
    <t>https://doi.org/10.1139/b59-032</t>
  </si>
  <si>
    <t>Montgomery et al 2019</t>
  </si>
  <si>
    <t>https://academic.oup.com/aob/article/119/4/591/2932070</t>
  </si>
  <si>
    <t>Ramsay and Berrie 1982</t>
  </si>
  <si>
    <t>http://agris.fao.org/agris-search/search.do?recordID=US201302002024</t>
  </si>
  <si>
    <t>https://www.genetics.org/content/genetics/21/3/282.full.pdf</t>
  </si>
  <si>
    <t>Von Ubisch 1936</t>
  </si>
  <si>
    <t>Vega-Frutis et al 2013</t>
  </si>
  <si>
    <t>https://doi.org/10.1111/j.1438-8677.2012.00673.x</t>
  </si>
  <si>
    <t>Dwarka et al 2011</t>
  </si>
  <si>
    <t>https://doi.org/10.1139/b11-025</t>
  </si>
  <si>
    <t>Asparagus officinalis</t>
  </si>
  <si>
    <t>Löptien 1979</t>
  </si>
  <si>
    <t>Harkess et al 2017</t>
  </si>
  <si>
    <t>https://www.nature.com/articles/s41467-017-01064-8</t>
  </si>
  <si>
    <t>Maki 2009</t>
  </si>
  <si>
    <t>https://www.nrcresearchpress.com/doi/10.1139/G08-120</t>
  </si>
  <si>
    <t>Hunziker et al 2002</t>
  </si>
  <si>
    <t>https://onlinelibrary.wiley.com/doi/pdf/10.1034/j.1601-5223.2002.01610.x</t>
  </si>
  <si>
    <t>https://www.jstor.org/stable/24099164?seq=1</t>
  </si>
  <si>
    <t>https://doi.org/10.1071/SB98028</t>
  </si>
  <si>
    <t>Lianjun et al 2012</t>
  </si>
  <si>
    <t>https://www.ajol.info/index.php/ajb/article/view/127617</t>
  </si>
  <si>
    <t>Oyama et al 2009</t>
  </si>
  <si>
    <t>https://doi.org/10.1111/j.1420-9101.2008.01641.x</t>
  </si>
  <si>
    <t>Zhou et al 2011</t>
  </si>
  <si>
    <t>https://link.springer.com/content/pdf/10.1007%2Fs10681-011-0419-9.pdf</t>
  </si>
  <si>
    <t>Cannabis</t>
  </si>
  <si>
    <t>Cannabis sativa</t>
  </si>
  <si>
    <t>https://www.jstage.jst.go.jp/article/cytologia1929/63/4/63_4_459/_pdf</t>
  </si>
  <si>
    <t>Divashuk et al 2014</t>
  </si>
  <si>
    <t>https://doi.org/10.1371/journal.pone.0085118</t>
  </si>
  <si>
    <t>https://www.biorxiv.org/content/10.1101/721324v1</t>
  </si>
  <si>
    <t>Karlov et al 2017</t>
  </si>
  <si>
    <t>https://link.springer.com/chapter/10.1007/978-3-319-54564-6_18</t>
  </si>
  <si>
    <t>Srivastava et al 1999</t>
  </si>
  <si>
    <t>https://www.jstage.jst.go.jp/article/cytologia1929/64/4/64_4_435/_article/-char/ja/</t>
  </si>
  <si>
    <t>Vergara et al 2019</t>
  </si>
  <si>
    <t>https://doi.org/10.1080/07352689.2016.1267496</t>
  </si>
  <si>
    <t>Carica</t>
  </si>
  <si>
    <t>Carica papaya</t>
  </si>
  <si>
    <t>https://www.nature.com/articles/nature02228</t>
  </si>
  <si>
    <t>Wu et al 2010</t>
  </si>
  <si>
    <t>McDaniel et al 2007</t>
  </si>
  <si>
    <t>https://doi.org/10.1534/genetics.107.075424</t>
  </si>
  <si>
    <t>Carey et al 2020</t>
  </si>
  <si>
    <t>https://www.biorxiv.org/content/10.1101/2020.07.03.163634v2.full.pdf</t>
  </si>
  <si>
    <t>McDaniel et al 2013</t>
  </si>
  <si>
    <t>https://doi.org/10.1111/evo.12165</t>
  </si>
  <si>
    <t>Varghese 1971</t>
  </si>
  <si>
    <t>https://doi.org/10.1508/cytologia.36.205</t>
  </si>
  <si>
    <t>Correns 1928</t>
  </si>
  <si>
    <t>http://caliban.mpipz.mpg.de/correns/pflanzen_vererbung/correns_vererbung_pflanzen.pdf</t>
  </si>
  <si>
    <t>Coccinia</t>
  </si>
  <si>
    <t>https://phytokeys.pensoft.net/article/5797/</t>
  </si>
  <si>
    <t>Kumar and Viseveshwaraiah 1952</t>
  </si>
  <si>
    <t>https://www.nature.com/articles/170330a0</t>
  </si>
  <si>
    <t>D'Cruz et al 1972</t>
  </si>
  <si>
    <t>https://doi.org/10.1080/00087114.1972.10796503</t>
  </si>
  <si>
    <t>Bhowmick et al 2014</t>
  </si>
  <si>
    <t>https://doi.org/10.1016/j.scienta.2014.06.041</t>
  </si>
  <si>
    <t>Devani et al 2017</t>
  </si>
  <si>
    <t>https://doi.org/10.1186/s12870-017-1187-z</t>
  </si>
  <si>
    <t>Ghadge et al 2014</t>
  </si>
  <si>
    <t>https://doi.org/10.1186/s12870-014-0325-0</t>
  </si>
  <si>
    <t>Mohanty et al 2017</t>
  </si>
  <si>
    <t>https://doi.org/10.1016/j.gene.2017.05.058</t>
  </si>
  <si>
    <t>Sousa et al 2013</t>
  </si>
  <si>
    <t>https://doi.org/10.1159/000345370</t>
  </si>
  <si>
    <t>Hossain et al 2016</t>
  </si>
  <si>
    <t>https://doi.org/10.1508/cytologia.81.349</t>
  </si>
  <si>
    <t>Sousa et al 2016</t>
  </si>
  <si>
    <t>https://link.springer.com/article/10.1007%2Fs13237-014-0114-z</t>
  </si>
  <si>
    <t>Sousa et al 2017</t>
  </si>
  <si>
    <t>https://doi.org/10.1007/s10577-017-9555-y</t>
  </si>
  <si>
    <t>https://onlinelibrary.wiley.com/doi/pdf/10.1111/tpj.13254</t>
  </si>
  <si>
    <t>Chakravorti 1948</t>
  </si>
  <si>
    <t>https://link.springer.com/article/10.1007/BF03049901</t>
  </si>
  <si>
    <t>Chattopadhyay and Sharma 1991</t>
  </si>
  <si>
    <t>https://doi.org/10.1508/cytologia.56.409</t>
  </si>
  <si>
    <t>McKay 1930</t>
  </si>
  <si>
    <t>https://www.journals.uchicago.edu/doi/abs/10.1086/334075?journalCode=botanicalgazette</t>
  </si>
  <si>
    <t>Samantaray et al 2010</t>
  </si>
  <si>
    <t>https://link.springer.com/article/10.1007/s11816-009-0113-8</t>
  </si>
  <si>
    <t>Cycas</t>
  </si>
  <si>
    <t>Gangopadhyay et al 2007</t>
  </si>
  <si>
    <t>https://www.jstor.org/stable/24097568?seq=1</t>
  </si>
  <si>
    <t>Kondo et al 1995</t>
  </si>
  <si>
    <t>https://doi.org/10.1508/cytologia.60.141</t>
  </si>
  <si>
    <t>Krieg et al 2017</t>
  </si>
  <si>
    <t>https://academic.oup.com/aobpla/article/9/2/plx013/3104464</t>
  </si>
  <si>
    <t>Zhang et al 2002</t>
  </si>
  <si>
    <t>https://doi.org/10.1016/S0925-4773(02)00041-2</t>
  </si>
  <si>
    <t>Abraham and Mathew 1962</t>
  </si>
  <si>
    <t>https://doi.org/10.1093/oxfordjournals.aob.a083792</t>
  </si>
  <si>
    <t>Segawa et al 1971</t>
  </si>
  <si>
    <t>https://doi.org/10.1266/jjg.46.33</t>
  </si>
  <si>
    <t>Grewal and Ellis 1972</t>
  </si>
  <si>
    <t>https://www.nature.com/articles/hdy197299.pdf</t>
  </si>
  <si>
    <t>Wolf et al 2001</t>
  </si>
  <si>
    <t>Sinoto 1929</t>
  </si>
  <si>
    <t>https://doi.org/10.1508/cytologia.1.109</t>
  </si>
  <si>
    <t>https://www.ncbi.nlm.nih.gov/pubmed/11729166</t>
  </si>
  <si>
    <t>Cormier et al 2019</t>
  </si>
  <si>
    <t>https://agritrop.cirad.fr/591491/1/Cormier2019_Article_AReferenceHigh-densityGeneticM.pdf</t>
  </si>
  <si>
    <t>Tamiru et al 2017</t>
  </si>
  <si>
    <t>https://doi.org/10.1186/s12915-017-0419-x</t>
  </si>
  <si>
    <t>Terauchi and Kahl 1999</t>
  </si>
  <si>
    <t>https://doi.org/10.1139/g99-001</t>
  </si>
  <si>
    <t>Akagi et al 2014a</t>
  </si>
  <si>
    <t>https://doi.org/10.2503/jjshs1.CH-109</t>
  </si>
  <si>
    <t>Akagi et al 2014b</t>
  </si>
  <si>
    <t>https://science.sciencemag.org/content/346/6209/646</t>
  </si>
  <si>
    <t>Bräutigam et al 2017</t>
  </si>
  <si>
    <t>https://doi.org/10.1038/srep45388</t>
  </si>
  <si>
    <t>Eppley et al 2009</t>
  </si>
  <si>
    <t>https://onlinelibrary.wiley.com/doi/full/10.1111/j.1755-0998.2009.02570.x</t>
  </si>
  <si>
    <t>https://www.nature.com/articles/163926a0</t>
  </si>
  <si>
    <t>Kejnovsky et al 2009</t>
  </si>
  <si>
    <t>https://www.nature.com/articles/hdy200917</t>
  </si>
  <si>
    <t>Santos 1924</t>
  </si>
  <si>
    <t>https://www.journals.uchicago.edu/doi/abs/10.1086/333338?mobileUi=0</t>
  </si>
  <si>
    <t>https://onlinelibrary.wiley.com/doi/pdf/10.1111/j.1601-5223.1998.00045.x</t>
  </si>
  <si>
    <t>Puterova et al 2017</t>
  </si>
  <si>
    <t>https://doi.org/10.1093/gbe/evw303</t>
  </si>
  <si>
    <t>Chawla et al 2015</t>
  </si>
  <si>
    <t>https://doi.org/10.1371/journal.pone.0124890</t>
  </si>
  <si>
    <t>Mangla et al 2019</t>
  </si>
  <si>
    <t>https://doi.org/10.1038/s41437-018-0084-z</t>
  </si>
  <si>
    <t>Zhou et al 2018</t>
  </si>
  <si>
    <t>https://doi.org/10.3390/molecules23051048</t>
  </si>
  <si>
    <t>Suda et al 2004</t>
  </si>
  <si>
    <t>https://doi.org/10.1007/BF02805244</t>
  </si>
  <si>
    <t>Prakash and Van Staden 2006</t>
  </si>
  <si>
    <t>https://link.springer.com/content/pdf/10.1007%2Fs10681-006-9198-0.pdf</t>
  </si>
  <si>
    <t>Mehra and Khitha 1981</t>
  </si>
  <si>
    <t>https://www.jstage.jst.go.jp/article/cytologia1929/46/1-2/46_1-2_173/_pdf/-char/en</t>
  </si>
  <si>
    <t>Xu et al 2004</t>
  </si>
  <si>
    <t>https://link.springer.com/content/pdf/10.1023%2FB%3AEUPH.0000032741.99885.c4.pdf</t>
  </si>
  <si>
    <t>Wang et al 2015</t>
  </si>
  <si>
    <t>https://doi.org/10.1111/plb.12189</t>
  </si>
  <si>
    <t>Mori et al 2017</t>
  </si>
  <si>
    <t>https://www.ncbi.nlm.nih.gov/pmc/articles/PMC5264649/</t>
  </si>
  <si>
    <t>Parrish et al 2004</t>
  </si>
  <si>
    <t>https://link.springer.com/content/pdf/10.1007%2Fs00497-004-0208-x.pdf</t>
  </si>
  <si>
    <t>Fragaria chiloensis</t>
  </si>
  <si>
    <t>Golgberg et al 2010</t>
  </si>
  <si>
    <t>https://www.genetics.org/content/186/4/1425.long</t>
  </si>
  <si>
    <t>Tennessen et al 2016</t>
  </si>
  <si>
    <t>https://doi.org/10.1111/nph.13983</t>
  </si>
  <si>
    <t>https://www.sciencedirect.com/science/article/abs/pii/S0065266008601637</t>
  </si>
  <si>
    <t>Ahmadi &amp; Bringhurst 1991</t>
  </si>
  <si>
    <t>https://www.jstor.org/stable/2445260?seq=1#metadata_info_tab_contents</t>
  </si>
  <si>
    <t>Fragaria virginiana</t>
  </si>
  <si>
    <t>Spigler et al 2008</t>
  </si>
  <si>
    <t>Tennessen et al 2018</t>
  </si>
  <si>
    <t>https://doi.org/10.1371/journal.pbio.2006062</t>
  </si>
  <si>
    <t>Govindarajulu et al 2013</t>
  </si>
  <si>
    <t>https://doi.org/10.1038/hdy.2012.96</t>
  </si>
  <si>
    <t>https://onlinelibrary.wiley.com/doi/full/10.1111/jse.12266</t>
  </si>
  <si>
    <t>Garcinia</t>
  </si>
  <si>
    <t>Joseph et al 2015</t>
  </si>
  <si>
    <t>https://www.tandfonline.com/doi/abs/10.1080/14620316.2015.11513191?journalCode=thsb20</t>
  </si>
  <si>
    <t>Ginkgo</t>
  </si>
  <si>
    <t>Lee 1954</t>
  </si>
  <si>
    <t>https://doi.org/10.1002/j.1537-2197.1954.tb14376.x</t>
  </si>
  <si>
    <t>https://doi.org/10.1111/tpj.15009</t>
  </si>
  <si>
    <t>Gong and Filatov 2022</t>
  </si>
  <si>
    <t>https://doi.org/10.1098/rstb.2021.0229</t>
  </si>
  <si>
    <t>Malling et al 1957</t>
  </si>
  <si>
    <t>https://onlinelibrary.wiley.com/doi/pdf/10.1111/j.1601-5223.1957.tb03454.x</t>
  </si>
  <si>
    <t>Humulus lupulus</t>
  </si>
  <si>
    <t>https://onlinelibrary.wiley.com/doi/abs/10.1111/j.1601-5223.1957.tb03444.x</t>
  </si>
  <si>
    <t>Divashuk et al 2011</t>
  </si>
  <si>
    <t>https://doi.org/10.1159/000328831</t>
  </si>
  <si>
    <t>Hill et al 2016</t>
  </si>
  <si>
    <t>https://doi.org/10.1007/s10681-016-1655-9</t>
  </si>
  <si>
    <t>Jaksa et al 2008</t>
  </si>
  <si>
    <t>https://doi.org/10.1007/s11032-007-9114-x</t>
  </si>
  <si>
    <t>Humulus japonicus</t>
  </si>
  <si>
    <t>Humulus scandens</t>
  </si>
  <si>
    <t>Aleksandrov et al 2011</t>
  </si>
  <si>
    <t>https://link.springer.com/article/10.1134/S1022795411080023</t>
  </si>
  <si>
    <t>Li et al 2016</t>
  </si>
  <si>
    <t>https://link.springer.com/article/10.1007/s00425-016-2485-7</t>
  </si>
  <si>
    <t>Alexandrov et al 2012</t>
  </si>
  <si>
    <t>https://doi.org/10.3897/CompCytogen.v6i3.3261</t>
  </si>
  <si>
    <t>Li et al 2017</t>
  </si>
  <si>
    <t>http://dx.doi.org/10.1016/j.mcp.2017.05.007</t>
  </si>
  <si>
    <t>Gottlieb and Poggio 2010</t>
  </si>
  <si>
    <t>https://link.springer.com/article/10.1007/s10709-010-9449-9</t>
  </si>
  <si>
    <t>Bateman 1955</t>
  </si>
  <si>
    <t>https://www.nature.com/articles/hdy195543</t>
  </si>
  <si>
    <t>Soza et al 2014</t>
  </si>
  <si>
    <t>https://evodevojournal.biomedcentral.com/articles/10.1186/2041-9139-5-42</t>
  </si>
  <si>
    <t xml:space="preserve">Lloyd 1975 </t>
  </si>
  <si>
    <t>https://nph.onlinelibrary.wiley.com/doi/pdf/10.1111/j.1469-8137.1975.tb01345.x</t>
  </si>
  <si>
    <t>Harris and Pannell 2010</t>
  </si>
  <si>
    <t>https://www.uv.es/jgpausas/teach/harris-Pannell-2010-JEcol_Leucadendron-serotiny-sexual-dimorphism-dioecy.pdf</t>
  </si>
  <si>
    <t>Wu et al 2015</t>
  </si>
  <si>
    <t>https://geneticsmr.com/articles/5252</t>
  </si>
  <si>
    <t>Marchantia</t>
  </si>
  <si>
    <t>Marks et al 2019</t>
  </si>
  <si>
    <t>https://www.nature.com/articles/s41598-019-45039-9.pdf?origin=ppub</t>
  </si>
  <si>
    <t>Marchantia polymorpha</t>
  </si>
  <si>
    <t>Okada et al 2000</t>
  </si>
  <si>
    <t>https://doi.org/10.1046/j.1365-313x.2000.00882.x</t>
  </si>
  <si>
    <t>Fujisawa et al 2001</t>
  </si>
  <si>
    <t>http://www.genetics.org/content/159/3/981</t>
  </si>
  <si>
    <t>Fujisawa et al 2003</t>
  </si>
  <si>
    <t>https://doi.org/10.1023/A:1025941206391</t>
  </si>
  <si>
    <t>Okada et al 2011</t>
  </si>
  <si>
    <t>https://doi.org/10.1073/pnas.171304798</t>
  </si>
  <si>
    <t>Mercurialis annua</t>
  </si>
  <si>
    <t>https://www.mdpi.com/2073-4425/9/6/277</t>
  </si>
  <si>
    <t>Durand and Durand 1991</t>
  </si>
  <si>
    <t>https://doi.org/10.1016/0168-9452(91)90272-A</t>
  </si>
  <si>
    <t>Delaigue et al 1984</t>
  </si>
  <si>
    <t>https://link.springer.com/article/10.1007%2FBF00033390</t>
  </si>
  <si>
    <t>Khadka et al 2002</t>
  </si>
  <si>
    <t>https://link.springer.com/article/10.1023/A:1020361424758</t>
  </si>
  <si>
    <t>https://www.ncbi.nlm.nih.gov/pmc/articles/PMC4815579/pdf/hdy201495a.pdf</t>
  </si>
  <si>
    <t>Mercurialis</t>
  </si>
  <si>
    <t>Vandepitte et al 2009</t>
  </si>
  <si>
    <t>https://doi.org/10.1111/j.1365-2745.2009.01484.x</t>
  </si>
  <si>
    <t>Mohanty et al 2016</t>
  </si>
  <si>
    <t>https://www.sciencedirect.com/science/article/pii/S0304423816300553</t>
  </si>
  <si>
    <t>Sinha et al 2001</t>
  </si>
  <si>
    <t>https://www.jstage.jst.go.jp/article/cytologia1929/66/1/66_1_55/_pdf</t>
  </si>
  <si>
    <t>Patil et al 2012</t>
  </si>
  <si>
    <t>https://pubag.nal.usda.gov/catalog/1228889</t>
  </si>
  <si>
    <t>Panigrahi and Mishra 2012</t>
  </si>
  <si>
    <t>https://doi.org/10.1080/14620316.2012.11512839</t>
  </si>
  <si>
    <t>Jia et al 2019</t>
  </si>
  <si>
    <t>https://www.ncbi.nlm.nih.gov/pmc/articles/PMC6335074/pdf/PBI-17-397.pdf</t>
  </si>
  <si>
    <t>Shibu et al 2000</t>
  </si>
  <si>
    <t>https://www.bioversityinternational.org/fileadmin/PGR/article-issue_121-art_11-lang_en.html</t>
  </si>
  <si>
    <t>Flach 1966</t>
  </si>
  <si>
    <t>https://edepot.wur.nl/294770</t>
  </si>
  <si>
    <t>Milewicz and Sawicki 2011</t>
  </si>
  <si>
    <t>https://content.sciendo.com/configurable/contentpage/journals$002fcszma$002f60$002f1$002farticle-p1.xml</t>
  </si>
  <si>
    <t>Vinod et al 2007</t>
  </si>
  <si>
    <t>https://www.nrcresearchpress.com/doi/abs/10.1139/G07-066</t>
  </si>
  <si>
    <t>Cherif et al 2013</t>
  </si>
  <si>
    <t>https://nph.onlinelibrary.wiley.com/doi/full/10.1111/nph.12069</t>
  </si>
  <si>
    <t>Siljak-Yakovlev et al 1996</t>
  </si>
  <si>
    <t>https://link.springer.com/article/10.1007/BF02221391</t>
  </si>
  <si>
    <t>Ali et al 2017</t>
  </si>
  <si>
    <t>https://link.springer.com/article/10.1007/s10722-017-0564-7</t>
  </si>
  <si>
    <t>Leshem and Ophir 1977</t>
  </si>
  <si>
    <t>https://academic.oup.com/aob/article-abstract/41/2/375/180560?redirectedFrom=fulltext</t>
  </si>
  <si>
    <t>Cherif et al 2016</t>
  </si>
  <si>
    <t>https://www.ncbi.nlm.nih.gov/pubmed/27118680</t>
  </si>
  <si>
    <t>Mathew et al 2014</t>
  </si>
  <si>
    <t>https://doi.org/10.1186/1471-2164-15-285</t>
  </si>
  <si>
    <t>Mohei et al 2017</t>
  </si>
  <si>
    <t>https://doi.org/10.1016/j.sjbs.2017.08.002</t>
  </si>
  <si>
    <t>Torres et al 2018</t>
  </si>
  <si>
    <t>https://www.ncbi.nlm.nih.gov/pmc/articles/PMC6162277/</t>
  </si>
  <si>
    <t>Flores-Rentería et al 2013</t>
  </si>
  <si>
    <t>https://bsapubs.onlinelibrary.wiley.com/doi/pdf/10.3732/ajb.1200068</t>
  </si>
  <si>
    <t>Goyat et al 2019</t>
  </si>
  <si>
    <t>https://www.tandfonline.com/doi/full/10.1080/14620316.2018.1538707?scroll=top&amp;needAccess=true</t>
  </si>
  <si>
    <t>Banerjee et al 1999</t>
  </si>
  <si>
    <t>https://www.jstor.org/stable/24102845?seq=1</t>
  </si>
  <si>
    <t>Pistacia</t>
  </si>
  <si>
    <t>Sun et al 2014</t>
  </si>
  <si>
    <t>https://www.geneticsmr.com/sites/default/files/articles/year2014/vol13-1/pdf/gmr2977.pdf</t>
  </si>
  <si>
    <t>Xiong et al 2013</t>
  </si>
  <si>
    <t>https://doi.org/10.1371/journal.pone.0064276</t>
  </si>
  <si>
    <t>Sola-Campoy et al 2015</t>
  </si>
  <si>
    <t>https://doi.org/10.1371/journal.pone.0143861</t>
  </si>
  <si>
    <t>https://doi.org/10.1016/j.scienta.2004.06.008</t>
  </si>
  <si>
    <t>Kafkas et al 2015</t>
  </si>
  <si>
    <t>https://doi.org/10.1186/s12864-015-1326-6</t>
  </si>
  <si>
    <t>Khodaeiaminjan et al 2017</t>
  </si>
  <si>
    <t>https://doi.org/10.1007/s11032-017-0705-x</t>
  </si>
  <si>
    <t>Renganayaki et al 2005</t>
  </si>
  <si>
    <t>https://dl.sciencesocieties.org/publications/cs/abstracts/45/6/2529</t>
  </si>
  <si>
    <t>https://link.springer.com/content/pdf/10.1007%2Fs13237-019-00297-w.pdf</t>
  </si>
  <si>
    <t>Englund et al 2011</t>
  </si>
  <si>
    <t>https://doi.org/10.1111/j.1525-142X.2011.00467.x</t>
  </si>
  <si>
    <t>Populus alba</t>
  </si>
  <si>
    <t>Paolucci et al 2010</t>
  </si>
  <si>
    <t>Tuskan et al 2012</t>
  </si>
  <si>
    <t>Populus balsamifera</t>
  </si>
  <si>
    <t>Geraldes et al 2015</t>
  </si>
  <si>
    <t>https://onlinelibrary.wiley.com/doi/full/10.1111/mec.13126</t>
  </si>
  <si>
    <t>https://doi.org/10.1111/mec.13126</t>
  </si>
  <si>
    <t>Populus deltoides</t>
  </si>
  <si>
    <t>Populus tomentosa</t>
  </si>
  <si>
    <t>Hou et al 2009</t>
  </si>
  <si>
    <t>https://link.springer.com/article/10.1007/s11461-009-0037-z</t>
  </si>
  <si>
    <t>Populus tremuloides</t>
  </si>
  <si>
    <t>Kersten et al 2014</t>
  </si>
  <si>
    <t>https://doi.org/10.1111/plb.12048</t>
  </si>
  <si>
    <t>Van Buijteen and Einspahr 1959</t>
  </si>
  <si>
    <t>https://www.journals.uchicago.edu/doi/abs/10.1086/336044</t>
  </si>
  <si>
    <t>Populus trichocarpa</t>
  </si>
  <si>
    <t>Sheppard et al 2000</t>
  </si>
  <si>
    <t>https://doi.org/10.1104/pp.124.2.627</t>
  </si>
  <si>
    <t>Rumex acetosa</t>
  </si>
  <si>
    <t>Kihara and Ono 1925</t>
  </si>
  <si>
    <t>https://link.springer.com/article/10.1007/BF01961517</t>
  </si>
  <si>
    <t>Singh and Smith 1971</t>
  </si>
  <si>
    <t>https://link.springer.com/article/10.1007/BF00277336</t>
  </si>
  <si>
    <t>Löve 1943</t>
  </si>
  <si>
    <t>Ming et al 2007</t>
  </si>
  <si>
    <t>https://doi.org/10.3732/ajb.94.2.141</t>
  </si>
  <si>
    <t>Smith 1963</t>
  </si>
  <si>
    <t>https://www.genetics.org/content/genetics/48/10/1265.full.pdf</t>
  </si>
  <si>
    <t>Grabowska-Joachimiak et al 2015</t>
  </si>
  <si>
    <t>Quesada del Bosque et al 2011</t>
  </si>
  <si>
    <t>https://doi.org/10.1139/G10-115</t>
  </si>
  <si>
    <t>Bartkowiak 1971</t>
  </si>
  <si>
    <t>https://link.springer.com/article/10.1007/BF00577104</t>
  </si>
  <si>
    <t>Zuk 1963</t>
  </si>
  <si>
    <t>Navajas-Pérez et al 2006</t>
  </si>
  <si>
    <t>Jamilena et al 2008</t>
  </si>
  <si>
    <t>https://doi.org/10.1159/000121075</t>
  </si>
  <si>
    <t>Stehlik and Blattner 2004</t>
  </si>
  <si>
    <t>https://doi.org/10.1007/s00122-003-1425-7</t>
  </si>
  <si>
    <t>Kihara and Ono 1926</t>
  </si>
  <si>
    <t>Cuñado et al 2007</t>
  </si>
  <si>
    <t>https://doi.org/10.1007/s10577-007-1166-6</t>
  </si>
  <si>
    <t>Zuk 1970</t>
  </si>
  <si>
    <t>https://doi.org/10.5586/asbp.1970.043</t>
  </si>
  <si>
    <t>Grabowska-Joachimiak et al 2012</t>
  </si>
  <si>
    <t>https://doi.org/10.1159/000339383</t>
  </si>
  <si>
    <t>Navajas-Pérez et al 2009</t>
  </si>
  <si>
    <t>https://link.springer.com/article/10.1007%2Fs10709-008-9261-y</t>
  </si>
  <si>
    <t>https://www.jstage.jst.go.jp/article/jsbbs/51/4/51_4_219/_pdf</t>
  </si>
  <si>
    <t>Ironside 2010</t>
  </si>
  <si>
    <t>https://doi.org/10.1002/bies.200900124</t>
  </si>
  <si>
    <t>Dorken and Barrett 2004</t>
  </si>
  <si>
    <t>https://doi.org/10.1098/rspb.2003.2580</t>
  </si>
  <si>
    <t>Salix</t>
  </si>
  <si>
    <t>He et al 2020</t>
  </si>
  <si>
    <t>https://doi.org/10.1111/1755-0998.13362</t>
  </si>
  <si>
    <t>Sanderson et al 2020</t>
  </si>
  <si>
    <t>https://www.nature.com/articles/s41437-020-00397-3</t>
  </si>
  <si>
    <t>Carlson et al 2017</t>
  </si>
  <si>
    <t>https://doi.org/10.1093/gbe/evx174</t>
  </si>
  <si>
    <t>Pucholt et al 2017</t>
  </si>
  <si>
    <t>https://doi.org/10.1007/s00438-018-1473-y</t>
  </si>
  <si>
    <t>Hou et al 2015</t>
  </si>
  <si>
    <t>Chen et al 2016</t>
  </si>
  <si>
    <t>https://doi.org/10.1371/journal.pone.0147671</t>
  </si>
  <si>
    <t>https://doi.org/10.1038/srep09076</t>
  </si>
  <si>
    <t>Liu et al 2013</t>
  </si>
  <si>
    <t>https://doi.org/10.1371/journal.pone.0060181</t>
  </si>
  <si>
    <t>Pucholt et al 2015</t>
  </si>
  <si>
    <t>https://www.nature.com/articles/hdy2014125.pdf</t>
  </si>
  <si>
    <t>Darolti et al 2018</t>
  </si>
  <si>
    <t>https://doi.org/10.1111/mec.14466</t>
  </si>
  <si>
    <t>https://doi.org/10.1093/molbev/msx144</t>
  </si>
  <si>
    <t>https://www.nature.com/articles/6800327</t>
  </si>
  <si>
    <t>Jung et al 2001</t>
  </si>
  <si>
    <t>Balounová et al 2019</t>
  </si>
  <si>
    <t>https://www.nature.com/articles/s41598-018-37412-x</t>
  </si>
  <si>
    <t>Mrackova et al 2008</t>
  </si>
  <si>
    <t>https://doi.org/10.1534/genetics.107.085670</t>
  </si>
  <si>
    <t>Howell et al 2009</t>
  </si>
  <si>
    <t>https://www.genetics.org/content/182/4/1109</t>
  </si>
  <si>
    <t>Weingartner and Delph 2014</t>
  </si>
  <si>
    <t>https://doi.org/10.1111/jeb.12371</t>
  </si>
  <si>
    <t>Blackburn 1924</t>
  </si>
  <si>
    <t>https://pdfs.semanticscholar.org/64a0/a21598c575a7c383cd5619472e562fc3570d.pdf</t>
  </si>
  <si>
    <t>Kaiser et al 2011</t>
  </si>
  <si>
    <t>Cegan et al 2017</t>
  </si>
  <si>
    <t>https://doi.org/10.1016/j.gdata.2017.01.004</t>
  </si>
  <si>
    <t>Liu et al 2018</t>
  </si>
  <si>
    <t>https://onlinelibrary.wiley.com/doi/10.1111/mec.14562</t>
  </si>
  <si>
    <t>Matsunaga et al 2003</t>
  </si>
  <si>
    <t>https://doi.org/10.1093/molbev/msg114</t>
  </si>
  <si>
    <t>Hobza and Widmer 2008</t>
  </si>
  <si>
    <t>https://onlinelibrary.wiley.com/doi/full/10.1111/j.1755-0998.2008.02344.x</t>
  </si>
  <si>
    <t>Ironside and Filatov 2005</t>
  </si>
  <si>
    <t>https://www.ncbi.nlm.nih.gov/pmc/articles/PMC1456801/</t>
  </si>
  <si>
    <t>Marais et al 2011</t>
  </si>
  <si>
    <t>https://journals.plos.org/plosone/article?id=10.1371/journal.pone.0021915</t>
  </si>
  <si>
    <t>Silene latifolia</t>
  </si>
  <si>
    <t>Blackburn 1923</t>
  </si>
  <si>
    <t>https://www.nature.com/articles/112687c0</t>
  </si>
  <si>
    <t>Slancarova et al 2013</t>
  </si>
  <si>
    <t>https://onlinelibrary.wiley.com/doi/full/10.1111/evo.12223</t>
  </si>
  <si>
    <t>Martin et al 2019</t>
  </si>
  <si>
    <t>https://academic.oup.com/gbe/article/11/2/350/5288778</t>
  </si>
  <si>
    <t>Baratakke and Patil 2014</t>
  </si>
  <si>
    <t>http://ijpaes.com/admin/php/uploads/476_pdf.pdf</t>
  </si>
  <si>
    <t>Simon et al 2009</t>
  </si>
  <si>
    <t>http://dx.doi.org/10.1080/14620316.2009.11512557</t>
  </si>
  <si>
    <t>Simmondsia</t>
  </si>
  <si>
    <t>Jangra et al 2014</t>
  </si>
  <si>
    <t>https://link.springer.com/article/10.1007/s40011-013-0226-2</t>
  </si>
  <si>
    <t>Agrawal et al 2007</t>
  </si>
  <si>
    <t>https://doi.org/10.1007/s11816-007-0031-6</t>
  </si>
  <si>
    <t>Heikrujam et al 2014b</t>
  </si>
  <si>
    <t>https://doi.org/10.1007/s10681-014-1136-y</t>
  </si>
  <si>
    <t>Hosseini et al 2011</t>
  </si>
  <si>
    <t>https://www.researchgate.net/publication/233902887_Sex_determination_of_jojoba_Simmondsia_chinensis_cv_Arizona_by_random_amplified_polymorphic_DNA_RAPD_molecular_markers</t>
  </si>
  <si>
    <t>Ince and Karaca 2011</t>
  </si>
  <si>
    <t>https://doi.org/10.1017/S0021859610000948</t>
  </si>
  <si>
    <t>Heikrujam et al 2014a</t>
  </si>
  <si>
    <t>https://doi.org/10.1111/pbr.12199</t>
  </si>
  <si>
    <t>Sphaerocarpos</t>
  </si>
  <si>
    <t>Allen 1919</t>
  </si>
  <si>
    <t>https://www.jstor.org/stable/984196</t>
  </si>
  <si>
    <t>Meyer and Herrmann 1973</t>
  </si>
  <si>
    <t>https://doi.org/10.1007/BF00265149</t>
  </si>
  <si>
    <t>Schacke 1919</t>
  </si>
  <si>
    <t>https://doi.org/10.1126/science.49.1261.218</t>
  </si>
  <si>
    <t>McLetchie and Collins 2001</t>
  </si>
  <si>
    <t>https://bioone.org/journals/The-Bryologist/volume-104/issue-4/0007-2745(2001)104%5b0543:IODRST%5d2.0.CO;2/Identification-of-DNA-Regions-Specific-to-the-X-and-Y/10.1639/0007-2745(2001)104%5b0543:IODRST%5d2.0.CO;2.full</t>
  </si>
  <si>
    <t>Spinacia</t>
  </si>
  <si>
    <t>Khattak et al 2006</t>
  </si>
  <si>
    <t>https://link.springer.com/article/10.1007/s10681-005-9031-1</t>
  </si>
  <si>
    <t>https://pdfs.semanticscholar.org/5f4c/084bf8a37fc00d2c06686979874a4177188f.pdf</t>
  </si>
  <si>
    <t>Kudoh et al 2018</t>
  </si>
  <si>
    <t>https://link.springer.com/article/10.1007%2Fs00438-017-1405-2</t>
  </si>
  <si>
    <t>Okazaki et al 2019</t>
  </si>
  <si>
    <t>https://journals.plos.org/plosone/article?id=10.1371/journal.pone.0214949</t>
  </si>
  <si>
    <t>Wadlington and Ming 2018</t>
  </si>
  <si>
    <t>https://doi.org/10.1007/s00122-018-3127-1</t>
  </si>
  <si>
    <t>West and Golenberg 2017</t>
  </si>
  <si>
    <t>https://doi.org/10.1111/nph.14919</t>
  </si>
  <si>
    <t>Fujito et al 2015</t>
  </si>
  <si>
    <t>https://www.ncbi.nlm.nih.gov/pmc/articles/PMC4528323/pdf/1663.pdf</t>
  </si>
  <si>
    <t>Li et al 2021</t>
  </si>
  <si>
    <t>https://www.frontiersin.org/articles/10.3389/fpls.2020.575462/full</t>
  </si>
  <si>
    <t>Marchant 1968</t>
  </si>
  <si>
    <t>https://link.springer.com/article/10.1007%252FBF00329609</t>
  </si>
  <si>
    <t>Silva et al 2021</t>
  </si>
  <si>
    <t>https://doi.org/10.1111/tpj.15116</t>
  </si>
  <si>
    <t>Tomasino et al 2017</t>
  </si>
  <si>
    <t>https://www.tandfonline.com/doi/abs/10.1080/00087114.2017.1339174?journalCode=tcar20</t>
  </si>
  <si>
    <t>https://onlinelibrary.wiley.com/doi/full/10.1111/j.1365-313X.2005.02336.x</t>
  </si>
  <si>
    <t>Di Stilio et al 2005</t>
  </si>
  <si>
    <t>Penny 2014</t>
  </si>
  <si>
    <t>https://doi.org/10.1086/677229</t>
  </si>
  <si>
    <t>Westergaard 1958</t>
  </si>
  <si>
    <t>De Sarker and Datta 1988</t>
  </si>
  <si>
    <t>https://www.jstage.jst.go.jp/article/cytologia1929/53/3/53_3_475/_pdf</t>
  </si>
  <si>
    <t>Adhikari et al 2014</t>
  </si>
  <si>
    <t>https://www.ncbi.nlm.nih.gov/pmc/articles/PMC4236900/pdf/TSWJ2014-216896.pdf</t>
  </si>
  <si>
    <t>Sinha et al 2007</t>
  </si>
  <si>
    <t>https://www.researchgate.net/publication/247836789_Average_Packing_Ratio_and_Evolution_of_Sex_Chromosomes_in_Dioecious_Coccinia_indica_and_Trichosanthes_dioica</t>
  </si>
  <si>
    <t>Nanda et al 2012</t>
  </si>
  <si>
    <t>https://www.researchgate.net/publication/260430737_Development_of_an_ISSR_based_STS_marker_for_sex_identification_in_pointed_gourd_Trichosanthes_dioica_Roxb</t>
  </si>
  <si>
    <t>Bhomwick and Jha 2015a</t>
  </si>
  <si>
    <t>https://doi.org/10.1016/j.scienta.2015.07.006</t>
  </si>
  <si>
    <t>Mwase et al 2007</t>
  </si>
  <si>
    <t>https://www.ajol.info/index.php/ajb/article/view/56121</t>
  </si>
  <si>
    <t>Iovene et al 2015</t>
  </si>
  <si>
    <t>https://www.ncbi.nlm.nih.gov/pmc/articles/PMC4317651/pdf/413.pdf</t>
  </si>
  <si>
    <t>Barlow 1981</t>
  </si>
  <si>
    <t>https://link.springer.com/article/10.1007/BF02490200</t>
  </si>
  <si>
    <t>Aparicio 1993</t>
  </si>
  <si>
    <t>https://reader.elsevier.com/reader/sd/pii/S0024407483710259?token=9B3377CC8D492AE08FD0F55B2F4A6A63A1410DD270B22E7AC4F9D8A0A83C4105C92FCA22CFEFDF53735716F27EA4F63A</t>
  </si>
  <si>
    <t>Barlow and Wiens 1979</t>
  </si>
  <si>
    <t>https://doi.org/10.1038/hdy.1979.23</t>
  </si>
  <si>
    <t>Fechter et al 2012</t>
  </si>
  <si>
    <t>https://doi.org/10.1007/s00438-012-0674-z</t>
  </si>
  <si>
    <t>Negi and Olmo 1971</t>
  </si>
  <si>
    <t>https://pdfs.semanticscholar.org/d599/63442262082968b540cdf8d9ef4c89f5c966.pdf</t>
  </si>
  <si>
    <t>Picq et al 2014</t>
  </si>
  <si>
    <t>https://bmcplantbiol.biomedcentral.com/articles/10.1186/s12870-014-0229-z</t>
  </si>
  <si>
    <t>Coito et al 2017</t>
  </si>
  <si>
    <t>https://www.frontiersin.org/articles/10.3389/fpls.2017.00098/full</t>
  </si>
  <si>
    <t>James Treagear, pers comm in Marais and Lemaître 2022</t>
  </si>
  <si>
    <t>https://royalsocietypublishing.org/doi/abs/10.1098/rstb.2021.0219</t>
  </si>
  <si>
    <t>Morgan et al. 2020</t>
  </si>
  <si>
    <t>https://academic.oup.com/aobpla/article/12/1/plz079/5680175</t>
  </si>
  <si>
    <t>Shelton 2010</t>
  </si>
  <si>
    <t>https://esajournals.onlinelibrary.wiley.com/doi/epdf/10.1890/09-0685.1</t>
  </si>
  <si>
    <t>Esfandiyari et al 2012</t>
  </si>
  <si>
    <t>https://link.springer.com/article/10.1007/s10681-011-0527-6</t>
  </si>
  <si>
    <t>Populus</t>
  </si>
  <si>
    <t>Populus euphratica</t>
  </si>
  <si>
    <t>Muller et al 2020</t>
  </si>
  <si>
    <t>https://www.nature.com/articles/s41477-020-0672-9</t>
  </si>
  <si>
    <t>Yang et al 2021</t>
  </si>
  <si>
    <t>https://academic.oup.com/mbe/article/38/3/968/5919079</t>
  </si>
  <si>
    <t>Species</t>
  </si>
  <si>
    <t>Options</t>
  </si>
  <si>
    <t>Name</t>
  </si>
  <si>
    <t>Description</t>
  </si>
  <si>
    <t>Protein homology (only for sex-linked genes)</t>
  </si>
  <si>
    <t>Additional information</t>
  </si>
  <si>
    <t>Source</t>
  </si>
  <si>
    <t>Extracted hyperlink source</t>
  </si>
  <si>
    <t>Loci/sequence</t>
  </si>
  <si>
    <t>PAR</t>
  </si>
  <si>
    <t>The telomeric chiasma of the open sex bivalent was found to occur between the Y chromosome euchromatic arm carrying the CS-1 subtelomeric repeat and one arm of the X chromosome, which possessed CS-1 on both arms. Tthe pseudoautosomal region (PAR) of the Y chromosome consists of the distal parts of the euchromatic arm.</t>
  </si>
  <si>
    <t>Male-specific region of the Y (MSY)</t>
  </si>
  <si>
    <t>Approximately 8–9 Mb long, low gene density and a high level of repetitive sequences.
Consists of two evolutionary strata corresponding to chromosomal inversions occurring approximately 7.0 and 1.9 MYA.</t>
  </si>
  <si>
    <t>Stratum 1 has an estimated age of 7.0 MY, stratum 2 has an estimated age of 1.9 MY.
Cytogenetic analysis supports a pericentromeric location of the papaya MSY.</t>
  </si>
  <si>
    <t>Wu and Moore 2015</t>
  </si>
  <si>
    <t>https://link.springer.com/article/10.1007%2Fs00239-015-9680-1</t>
  </si>
  <si>
    <t>https://doi.org/10.1111/j.1365-313X.2010.04284.x</t>
  </si>
  <si>
    <t>Hermaphroditic-specific region of the Yh (HSY)</t>
  </si>
  <si>
    <t>The 8.1-Mb HSY is more than twice as large as the corresponding 3.5-Mb X region. The difference is mainly due to the repetitive sequence content. Approximately 77% of the HSY and 64% of the corresponding X region were occupied by repetitive sequences.</t>
  </si>
  <si>
    <t>The HSY has fewer functional genes than the X region. Predictions of Y degeneration.
Differs from the X region by two large-scale inversions, chromosomal rearrangements.</t>
  </si>
  <si>
    <t>Wang et al 2012</t>
  </si>
  <si>
    <t>https://doi.org/10.1073/pnas.1207833109</t>
  </si>
  <si>
    <t>PAR region</t>
  </si>
  <si>
    <t>Non-recombining region. Analyses place the PAR boundary in a 100-kb region between loci 66.104 and 66.105 in the majority of individuals.</t>
  </si>
  <si>
    <t>Long ~45 Mbp</t>
  </si>
  <si>
    <t>Lappin et al 2015</t>
  </si>
  <si>
    <t>https://link.springer.com/article/10.1007%2Fs00438-015-1000-3</t>
  </si>
  <si>
    <t>Knob1, 2, 3, 4, 5</t>
  </si>
  <si>
    <t>Knobs 2, 3, 4, and 5 are HSY-specific and Knob 1 is shared between X and HSY. These five knobs contain heavily methylated DNA sequences. The centromere of Yh chromosome appeared to be located on either side of Knob 4.</t>
  </si>
  <si>
    <t>CpXYh1</t>
  </si>
  <si>
    <t>Fully sex-linked locus.</t>
  </si>
  <si>
    <t>https://doi.org/10.1007/s00239-015-9680-1</t>
  </si>
  <si>
    <t>miRNA's</t>
  </si>
  <si>
    <t>14 differentially expressed miRNAs in male, female and hermaphrodite flowers of papaya.</t>
  </si>
  <si>
    <t>sRNA hotspots are flanking the gaps of papaya X, Y, and Yh chromosome. The sRNAs expression patterns in these regions were reminiscent of the pericentromeric region indicating that the only remaining gap in each of these chromosomes is likely the centromere.</t>
  </si>
  <si>
    <t>Aryal et al 2014</t>
  </si>
  <si>
    <t>https://doi.org/10.1186/1471-2164-15-20</t>
  </si>
  <si>
    <t>Fragaria</t>
  </si>
  <si>
    <t>Fragaria vesca subsp. bracteata</t>
  </si>
  <si>
    <t>Loci/Sequence</t>
  </si>
  <si>
    <r>
      <rPr>
        <sz val="11"/>
        <color theme="1"/>
        <rFont val="Arial"/>
        <family val="2"/>
      </rPr>
      <t xml:space="preserve">Male sterility locus in this species is located in a region near the end of the LG FvbMat_4. This genomic region is approximately 338kb and harbors 57 genes. In </t>
    </r>
    <r>
      <rPr>
        <i/>
        <sz val="11"/>
        <color theme="1"/>
        <rFont val="Arial"/>
        <family val="2"/>
      </rPr>
      <t>Arabidopsis,</t>
    </r>
    <r>
      <rPr>
        <sz val="11"/>
        <color theme="1"/>
        <rFont val="Arial"/>
        <family val="2"/>
      </rPr>
      <t xml:space="preserve"> homologs of many of these genes are important in pollen development.</t>
    </r>
  </si>
  <si>
    <t>Tennessen et al 2013</t>
  </si>
  <si>
    <t>https://doi.org/10.1534/g3.113.006288</t>
  </si>
  <si>
    <t>gene06248</t>
  </si>
  <si>
    <t>A gene similar to a dynamic GTPase required for plasma membrane maintenance. Putatively involved in male sterility.</t>
  </si>
  <si>
    <t>scB</t>
  </si>
  <si>
    <t>There are large cryptic insertion(s) in scB region (scaffold B) in Fragaria vesca spp. bracteata, possibly containing the candidate gene, which would be consistent with dynamic chromosomal restructuring near sex-determining regions.</t>
  </si>
  <si>
    <t>Humulus</t>
  </si>
  <si>
    <t>HJSR KpnI-repeat</t>
  </si>
  <si>
    <t>Repeat of 380 bp. If this repeat is used as probe for FISH, the obtained signal is different between male and female. Males have an X-chromosome with one signal on one of the arms. Also, Y1-chromosome shows one signal in both its arms and Y2-chromosome does not possess any signal.</t>
  </si>
  <si>
    <t>GenBank: GU831573</t>
  </si>
  <si>
    <t>The DOP-PCR product was used to construct a short-insert sex chromosomes-specific DNA library, with an average length of 1,000 bp. Comparing these fragments with the RepBase Database (Using BLAST), 11 of them showed homology with plant retrotransposons.</t>
  </si>
  <si>
    <r>
      <rPr>
        <sz val="11"/>
        <color theme="1"/>
        <rFont val="Arial"/>
        <family val="2"/>
      </rPr>
      <t xml:space="preserve">Table 1 of this article provides similarity information about the sex chromosomes-specific clones with the RepBase, </t>
    </r>
    <r>
      <rPr>
        <i/>
        <sz val="11"/>
        <color theme="1"/>
        <rFont val="Arial"/>
        <family val="2"/>
      </rPr>
      <t xml:space="preserve">C. sativa </t>
    </r>
    <r>
      <rPr>
        <sz val="11"/>
        <color theme="1"/>
        <rFont val="Arial"/>
        <family val="2"/>
      </rPr>
      <t>genome draft and GenBank accessions,</t>
    </r>
  </si>
  <si>
    <t>Yakovin et al 2014</t>
  </si>
  <si>
    <t>https://doi.org/10.3897/CompCytogen.v8i4.8473</t>
  </si>
  <si>
    <t>OPU-8 and OPU-9</t>
  </si>
  <si>
    <t>These RAPD primers produced male-specific products (MSP) in H. lupulus and H. japonicus.</t>
  </si>
  <si>
    <t>Mizia et al 2016</t>
  </si>
  <si>
    <t>https://doi.org/10.1515/abcsb-2016-0017</t>
  </si>
  <si>
    <t>HJY09</t>
  </si>
  <si>
    <t>The marker HJY09 (based on short OPJ-9 fragment) was highly male-specific.</t>
  </si>
  <si>
    <t>K-16</t>
  </si>
  <si>
    <t>the ISSR primer K-16 showed stable amplification of an approximately 300 bp fragment in all male plants and the lack of amplification in all female plants in the examined populations.</t>
  </si>
  <si>
    <t>https://doi.org/10.1134/S1022795411080023</t>
  </si>
  <si>
    <t>The draft genome of the male hop line USDA 21422M prsented. This study also identified a 1.3 Mb set of DNA scaffolds that appears to be unique to male hop accessions.</t>
  </si>
  <si>
    <t>Acetyl-CoA carboxylase 1</t>
  </si>
  <si>
    <t>Sex-linked gene within the PAR (Pseudo-Autosomal Region), critically regulated by the biotin-lipoyl coding domain. This domain is duplicated many times on the Y-chromosome, suggesting that this domain is extremely important for male hops. This domain is potentially in the MSR (Male specific region).</t>
  </si>
  <si>
    <t>These RAPD primers produced male-specific products (MSP) for H. lupulus and H. japonicus.</t>
  </si>
  <si>
    <t>E52M11 and E54M11-2</t>
  </si>
  <si>
    <t>Two SCAR markers derived from the male-specific AFLPs sequences. The primers for these markers produce with a 100% of accuracy a single band only in male individuals. These primers corresponds to retrotransposons of Gypsy type.</t>
  </si>
  <si>
    <t>KX428505; KX428513</t>
  </si>
  <si>
    <t>ORPM_276 and ORPM_263</t>
  </si>
  <si>
    <r>
      <rPr>
        <sz val="11"/>
        <color theme="1"/>
        <rFont val="Arial"/>
        <family val="2"/>
      </rPr>
      <t xml:space="preserve">Two SSR markers inverted in LG XIX, where the sex trait was mapped. This sex trait was mapped in an internal position of the chromosome in </t>
    </r>
    <r>
      <rPr>
        <i/>
        <sz val="11"/>
        <color theme="1"/>
        <rFont val="Arial"/>
        <family val="2"/>
      </rPr>
      <t xml:space="preserve">P. alba. </t>
    </r>
    <r>
      <rPr>
        <sz val="11"/>
        <color theme="1"/>
        <rFont val="Arial"/>
        <family val="2"/>
      </rPr>
      <t xml:space="preserve">In </t>
    </r>
    <r>
      <rPr>
        <i/>
        <sz val="11"/>
        <color theme="1"/>
        <rFont val="Arial"/>
        <family val="2"/>
      </rPr>
      <t>Populus alba</t>
    </r>
    <r>
      <rPr>
        <sz val="11"/>
        <color theme="1"/>
        <rFont val="Arial"/>
        <family val="2"/>
      </rPr>
      <t xml:space="preserve"> the sex trait was mapped in an internal position in female individuals. In </t>
    </r>
    <r>
      <rPr>
        <i/>
        <sz val="11"/>
        <color theme="1"/>
        <rFont val="Arial"/>
        <family val="2"/>
      </rPr>
      <t>Populus nigra</t>
    </r>
    <r>
      <rPr>
        <sz val="11"/>
        <color theme="1"/>
        <rFont val="Arial"/>
        <family val="2"/>
      </rPr>
      <t>, sex determining region maps to  a terminal position of LG XIX on the male map.</t>
    </r>
  </si>
  <si>
    <t>https://doi.org/10.1007/s11295-010-0297-7</t>
  </si>
  <si>
    <t>Populus sp.</t>
  </si>
  <si>
    <t>NBS-LRR genes</t>
  </si>
  <si>
    <t>There is a distinct overabundance of NBS-LRR genes in the gender determination locus region, and these may play a role as recombination suppressors.</t>
  </si>
  <si>
    <t>Yin et al 2008</t>
  </si>
  <si>
    <t>http://www.genome.org/cgi/doi/10.1101/gr.7076308</t>
  </si>
  <si>
    <t>Populus tremula</t>
  </si>
  <si>
    <t>BPCA90, BPTGG82, BPTTG60, BPTG50</t>
  </si>
  <si>
    <t>Sex-linked SSR markers</t>
  </si>
  <si>
    <t>Pakull et al 2011</t>
  </si>
  <si>
    <t>https://www.nrcresearchpress.com/doi/abs/10.1139/x10-206</t>
  </si>
  <si>
    <t>BPTA11, ORPM276. BPTC66</t>
  </si>
  <si>
    <t>SSR markers mapped on linkage group 19 but not in the SDR</t>
  </si>
  <si>
    <t>SDR</t>
  </si>
  <si>
    <t>The sex determining region (SDR) is about ~100 kbp. 650 SNPs significantly associated with sex.</t>
  </si>
  <si>
    <t>Loci-sequence</t>
  </si>
  <si>
    <t>ARR17 inverted repeats</t>
  </si>
  <si>
    <t>Inverted repeats of gene ARR17 were found in the male-specific region on chr Y, producing small non-coding RNAs, which are affecting the expression of the actual ARR17, by producing male-specific methylation patterns and silencing ARR17. This mechanism is common for both ZW and XY poplar species, suggesting a deep evolutionary origin. In related Salix this sequence is partially present, but not sex-linked nor functional. The sequence duplications may be due to the retrotransposons surrounding the ARR17 gene.</t>
  </si>
  <si>
    <t>Kersten et al 2020</t>
  </si>
  <si>
    <t>https://doi.org/10.1038/s41477-020-0672-9</t>
  </si>
  <si>
    <t>RADAX</t>
  </si>
  <si>
    <t>Rumex acetosa DOP-PCR - AFLP - X-specific isolated sequences.
RADAX-239 contained part of ORF, conserved domain of putative ABC-ATPase and showed 50% similarity to bacterial hemolysin secretory trasport system ATP-binding protein.</t>
  </si>
  <si>
    <t>Jin et al 2005</t>
  </si>
  <si>
    <t>http://www.ndsl.kr/ndsl/search/detail/article/articleSearchResultDetail.do?cn=JAKO200503018546440</t>
  </si>
  <si>
    <t>RADAY</t>
  </si>
  <si>
    <t>Rumex acetosa DOP-PCR - AFLP - Y-specific isolated sequences.</t>
  </si>
  <si>
    <t>trnL-trnF spacer region (cpDNA)</t>
  </si>
  <si>
    <t>409-bp long chloroplast section in Y chromosome. Four different chloroplast genotypes were discovered within the 409-bp trnL-trnF spacer region (geographical pattern of occurrence).</t>
  </si>
  <si>
    <t>Korpelainen and Kostamo 2007</t>
  </si>
  <si>
    <t>https://doi.org/10.1055/s-2006-924728</t>
  </si>
  <si>
    <t>cpDNA</t>
  </si>
  <si>
    <t>Stronger accumulation of cpDNA on the more degenerated Y1 and Y2 chromosomes of R. acetosa than in the evolutionary younger S. latifolia Y chromosome.
Whole chloroplast genome of Rumex acetosa from next generation sequencing data.</t>
  </si>
  <si>
    <t>Steflova et al 2014</t>
  </si>
  <si>
    <t>https://doi.org/10.1159/000355212</t>
  </si>
  <si>
    <t>GSF loci</t>
  </si>
  <si>
    <t>Gynoecium- suppressing function (GSF loci), on Y and autosomes (GSF-Y, GSF-A)</t>
  </si>
  <si>
    <t>Located on the p arm of Y chromosome, in the non-recombining region (NRY).</t>
  </si>
  <si>
    <t>Zluvova et al 2007</t>
  </si>
  <si>
    <t>https://doi.org/10.1534/genetics.107.071175</t>
  </si>
  <si>
    <t>Lebel-Hardenack et al 2002</t>
  </si>
  <si>
    <t>http://www.genetics.org/content/160/2/717.long</t>
  </si>
  <si>
    <t>SPF loci</t>
  </si>
  <si>
    <t>Stamen-promoting function, promotes early stamen developmental factors.</t>
  </si>
  <si>
    <t>Monéger et al 2000</t>
  </si>
  <si>
    <t>https://doi.org/10.1007/s004970050009</t>
  </si>
  <si>
    <t>PF (MFF) loci</t>
  </si>
  <si>
    <t>Promotes pollen fertility (male fertility) function - late stamen developmental factors.</t>
  </si>
  <si>
    <t>Distant from the sex determination regions, close to the breakpoint of the large Y inversion between SlY1 and SlY4 (close to the PAR) - q arm.</t>
  </si>
  <si>
    <t>PAR loci</t>
  </si>
  <si>
    <t>Pseudoautosomal region, sequence homology is maintained by meiotic pairing and exchange in the heterogametic sex.</t>
  </si>
  <si>
    <t>The homologous arm of the X chromosome is the p arm and that of the Y chromosome is the q arm.</t>
  </si>
  <si>
    <t>Otto et al 2011</t>
  </si>
  <si>
    <t>https://doi.org/10.1016/j.tig.2011.05.001</t>
  </si>
  <si>
    <t>Lengerova et al 2003</t>
  </si>
  <si>
    <t>https://www.ncbi.nlm.nih.gov/pmc/articles/PMC1462768/</t>
  </si>
  <si>
    <t>Containing several genes.</t>
  </si>
  <si>
    <t>Blavet et al 2012</t>
  </si>
  <si>
    <t>https://doi.org/10.1186/1471-2164-13-226</t>
  </si>
  <si>
    <t xml:space="preserve">1. E200 PAR; 2. E219 PAR; 3. E241 PAR; 4. E284 PAR; 5. E592 PAR; 6. E352 PAR </t>
  </si>
  <si>
    <t>1. Protein with similarity to pre-mRNA splicing factor SF3a60b; 2. Peroxisomal photorespiratory enzyme catalyzing transaminationc; 3. Rhodanese-like domain-containing protein; 4. Proton motive force dependent protein transmembrane transporter; 5. Chloroplast pyruvate kinase a-subunit; 6. Chloroplast RNA binding</t>
  </si>
  <si>
    <t>Genes identified from the PAR loci.</t>
  </si>
  <si>
    <t>Bergero et al 2013</t>
  </si>
  <si>
    <t>https://doi.org/10.1534/genetics.113.150755</t>
  </si>
  <si>
    <t>ScOpa09</t>
  </si>
  <si>
    <r>
      <rPr>
        <sz val="11"/>
        <color theme="1"/>
        <rFont val="Arial"/>
        <family val="2"/>
      </rPr>
      <t xml:space="preserve">pseudoutosomal scar marker prepared based on the Opa09 marker from </t>
    </r>
    <r>
      <rPr>
        <i/>
        <sz val="11"/>
        <color theme="1"/>
        <rFont val="Arial"/>
        <family val="2"/>
      </rPr>
      <t>S. dioica</t>
    </r>
    <r>
      <rPr>
        <sz val="11"/>
        <color theme="1"/>
        <rFont val="Arial"/>
        <family val="2"/>
      </rPr>
      <t xml:space="preserve"> (Di Stillio et al. 1998); </t>
    </r>
    <r>
      <rPr>
        <i/>
        <sz val="11"/>
        <color theme="1"/>
        <rFont val="Arial"/>
        <family val="2"/>
      </rPr>
      <t>ScOPA09</t>
    </r>
    <r>
      <rPr>
        <sz val="11"/>
        <color theme="1"/>
        <rFont val="Arial"/>
        <family val="2"/>
      </rPr>
      <t xml:space="preserve"> mapped in the pseudoautosomal region in </t>
    </r>
    <r>
      <rPr>
        <i/>
        <sz val="11"/>
        <color theme="1"/>
        <rFont val="Arial"/>
        <family val="2"/>
      </rPr>
      <t>Silene latifolia</t>
    </r>
    <r>
      <rPr>
        <sz val="11"/>
        <color theme="1"/>
        <rFont val="Arial"/>
        <family val="2"/>
      </rPr>
      <t xml:space="preserve">, </t>
    </r>
    <r>
      <rPr>
        <i/>
        <sz val="11"/>
        <color theme="1"/>
        <rFont val="Arial"/>
        <family val="2"/>
      </rPr>
      <t>S. dioica</t>
    </r>
    <r>
      <rPr>
        <sz val="11"/>
        <color theme="1"/>
        <rFont val="Arial"/>
        <family val="2"/>
      </rPr>
      <t xml:space="preserve"> and  </t>
    </r>
    <r>
      <rPr>
        <i/>
        <sz val="11"/>
        <color theme="1"/>
        <rFont val="Arial"/>
        <family val="2"/>
      </rPr>
      <t>S. diclinis</t>
    </r>
  </si>
  <si>
    <t>Nicolas et al 2004</t>
  </si>
  <si>
    <t>https://journals.plos.org/plosbiology/article/comments?id=10.1371/journal.pbio.0030004</t>
  </si>
  <si>
    <t xml:space="preserve">1. E559 XY ; 2. E521 XY ; 3. E523 XY </t>
  </si>
  <si>
    <t>1. Interacts with PEX4d; 2. Unknown function; 3. Peptidyl-prolyl cis-trans isomerase</t>
  </si>
  <si>
    <t>Sex-linked genes identified close to the PAR.</t>
  </si>
  <si>
    <t>MK14</t>
  </si>
  <si>
    <t>Bacteria-like sequence found in chromosome Y</t>
  </si>
  <si>
    <t>Talianová et al 2012</t>
  </si>
  <si>
    <t>https://doi.org/10.1007/s10535-012-0083-5</t>
  </si>
  <si>
    <t>MK17</t>
  </si>
  <si>
    <t>Specific marker closely linked to the gynoecium suppression region on the Y chromosome</t>
  </si>
  <si>
    <t>Hobza et al 2006b</t>
  </si>
  <si>
    <t>https://doi.org/10.1007/s00122-006-0293-3</t>
  </si>
  <si>
    <t>CCLS96.1</t>
  </si>
  <si>
    <t>Genes distributed throughout the chromosomes (in Y also), suggested to play role as multiple non-coding RNAs</t>
  </si>
  <si>
    <t>Located on the p arm of Y chromosome.</t>
  </si>
  <si>
    <t>Sugiyama et al 2003</t>
  </si>
  <si>
    <t>https://doi.org/10.1093/dnares/10.5.213</t>
  </si>
  <si>
    <t xml:space="preserve">Sequences homologous to ycf2, matK and rpoB genes have been found in sex chromosomes. </t>
  </si>
  <si>
    <t>Non-recombining parts of the Y chromosome could represent a quiescent part of the genome, where duplication of cpDNA sequences is not opposed by selection for elimination.</t>
  </si>
  <si>
    <t>Kejnovsky et al 2006</t>
  </si>
  <si>
    <t>https://doi.org/10.1007/s10709-005-5701-0</t>
  </si>
  <si>
    <t xml:space="preserve">Loci/sequence
</t>
  </si>
  <si>
    <t>Serendip2</t>
  </si>
  <si>
    <t>male specific transcription; fuction unknownn</t>
  </si>
  <si>
    <t>Zluvova et al 2010</t>
  </si>
  <si>
    <t>https://bmcplantbiol.biomedcentral.com/articles/10.1186/1471-2229-10-208</t>
  </si>
  <si>
    <t>RFLP, RAPD, AFLP based genetic map</t>
  </si>
  <si>
    <t>Spada et al 1998</t>
  </si>
  <si>
    <t>https://link.springer.com/article/10.1007%2Fs001220050995</t>
  </si>
  <si>
    <t>Transcriptome profiling - genes expressed different in female and male. Genes associated with floral development identified by comparison with Arabidopsis genes (SEP, MADS box genes, and zinc finger family protein genes).</t>
  </si>
  <si>
    <t>Gao et al 2014</t>
  </si>
  <si>
    <t>https://doi.org/10.1271/bbb.120943</t>
  </si>
  <si>
    <t>Described RFLP sex marker for gender diagnosis.</t>
  </si>
  <si>
    <t>Biffi et al 1995</t>
  </si>
  <si>
    <t>https://www.researchgate.net/publication/268180715_A_Restriction_Fragment_Length_Polymorphism_Probe_for_Early_Diagnosis_of_Gender_in_Asparagus_officinalis_L</t>
  </si>
  <si>
    <t>Genetic map of A. officinalis, genetic linkage groups to chromosomes by FISH and mapping SSR markers.</t>
  </si>
  <si>
    <t>Moreno et al 2018</t>
  </si>
  <si>
    <t>https://doi.org/10.3389/fpls.2018.01068</t>
  </si>
  <si>
    <t>RNA-Seq transcriptome assembly and expression analysis of sex-biased genes in Asparagus.</t>
  </si>
  <si>
    <t>Harkess et al 2015</t>
  </si>
  <si>
    <t>https://doi.org/10.1111/nph.13389</t>
  </si>
  <si>
    <t xml:space="preserve">Comparative and experimental analysis of a reference genome assembly for a double haploid YY male garden asparagus. Annotations of the 13 hemizygous non-recombining genes on the Y chromosome. </t>
  </si>
  <si>
    <t>SCAR markers for early identification of female plants</t>
  </si>
  <si>
    <t>Techen et al 2010</t>
  </si>
  <si>
    <t>https://doi.org/10.1055/s-0030-1249978</t>
  </si>
  <si>
    <t>Male-associated SSR markers.</t>
  </si>
  <si>
    <t>Mandolino et al 2002</t>
  </si>
  <si>
    <t>https://link.springer.com/article/10.1023/A:1016382128401</t>
  </si>
  <si>
    <t>Sex-linked SSR markers have been identified in hemp.</t>
  </si>
  <si>
    <t>Rode et al 2008</t>
  </si>
  <si>
    <t>https://doi.org/10.1111/j.1439-0523.2005.01079.x</t>
  </si>
  <si>
    <t>AFLP - Markers on the sex chromosomes - different classes, presence or absence of a fragment on the X and/or the Y. Five markers were found to be located on both chromosomes.</t>
  </si>
  <si>
    <t>Peil et al 2003</t>
  </si>
  <si>
    <t>https://link.springer.com/article/10.1007%2Fs00122-003-1212-5</t>
  </si>
  <si>
    <t>A novel high-throughput assay for the presence of the Y chromosome was developed based on the previously identified male-specific MADC6 sequence (Genbank AF364955.1), designed on a SNP between the sequences, and named CSP-1 that likely distinguishes a nonrecombining part of the Y chromosome.</t>
  </si>
  <si>
    <t>Toth et al 2020</t>
  </si>
  <si>
    <t>https://onlinelibrary.wiley.com/doi/full/10.1111/gcbb.12667</t>
  </si>
  <si>
    <t>MADC3 and MADC4 are Random Amplified Polymorphic DNA (RAPD) markers, which have issues with reproducibility and interpretation (Sakamoto et al., 2005).</t>
  </si>
  <si>
    <t>MADC5 and MADC6 were reported to be nondiagnostic for sex determination.</t>
  </si>
  <si>
    <t>As MADC6 shows some sequence relationship to retrotransposons, it is possible that the sequence was subject to copy number increase in the recent past.</t>
  </si>
  <si>
    <t>5S rDNA and 45S rDNA were localized in different chromosomes pairs, one locus with 5S (interstitial or pericentromeric) and one locus of 45S (terminal).</t>
  </si>
  <si>
    <t>Reidel 2005</t>
  </si>
  <si>
    <t>http://www.demeter.org.es/pdf/investi_a/In_situ_Hybridisierung_an_Hanf_Chromosomen.pdf</t>
  </si>
  <si>
    <t>Physical mapping and development of sex-linked markers</t>
  </si>
  <si>
    <t>Liu et al 2004</t>
  </si>
  <si>
    <t>Cytogenetic and physical mapping, recombination events.</t>
  </si>
  <si>
    <t>Wai et al 2012</t>
  </si>
  <si>
    <t>https://link.springer.com/article/10.1007%2Fs10577-012-9312-1</t>
  </si>
  <si>
    <t>High-density genetic map based on sequence-tagged SSR markers.</t>
  </si>
  <si>
    <t>Chen et al 2007</t>
  </si>
  <si>
    <t>https://doi.org/10.1534/genetics.107.081463</t>
  </si>
  <si>
    <t>MSY mapping (chromosomal location and gene paucity)</t>
  </si>
  <si>
    <t>Yu et al 2007</t>
  </si>
  <si>
    <t>https://link.springer.com/article/10.1007%2Fs00438-007-0243-z</t>
  </si>
  <si>
    <t>Sex specific RAPD and SCAR markers.</t>
  </si>
  <si>
    <t>Modi et al 2018</t>
  </si>
  <si>
    <t>https://doi.org/10.1016/j.bcab.2018.08.004</t>
  </si>
  <si>
    <t>Fragaria cascadensis</t>
  </si>
  <si>
    <r>
      <rPr>
        <sz val="11"/>
        <color theme="1"/>
        <rFont val="Arial"/>
        <family val="2"/>
      </rPr>
      <t xml:space="preserve">Like the 8x </t>
    </r>
    <r>
      <rPr>
        <i/>
        <sz val="11"/>
        <color theme="1"/>
        <rFont val="Arial"/>
        <family val="2"/>
      </rPr>
      <t>Fragaria</t>
    </r>
    <r>
      <rPr>
        <sz val="11"/>
        <color theme="1"/>
        <rFont val="Arial"/>
        <family val="2"/>
      </rPr>
      <t xml:space="preserve"> studied to date, male sterility in the 10x </t>
    </r>
    <r>
      <rPr>
        <i/>
        <sz val="11"/>
        <color theme="1"/>
        <rFont val="Arial"/>
        <family val="2"/>
      </rPr>
      <t>F. cascadensis</t>
    </r>
    <r>
      <rPr>
        <sz val="11"/>
        <color theme="1"/>
        <rFont val="Arial"/>
        <family val="2"/>
      </rPr>
      <t xml:space="preserve"> is dominant and maps to the same homeologous group (chromosome VI). However, it differs in subgenome and chromosomal position. Male sterility was mapped to a ~ 1‐Mb region between 36.529 and 37.547 Mb on Fcas‐VI‐m‐4 of the B1 subgenome in chromosome VI. Female sterility could not be scored as a qualitative trait.  In  F. virginiana ssp. platypetala, </t>
    </r>
    <r>
      <rPr>
        <i/>
        <sz val="11"/>
        <color theme="1"/>
        <rFont val="Arial"/>
        <family val="2"/>
      </rPr>
      <t xml:space="preserve"> </t>
    </r>
    <r>
      <rPr>
        <sz val="11"/>
        <color theme="1"/>
        <rFont val="Arial"/>
        <family val="2"/>
      </rPr>
      <t xml:space="preserve">male function is located on the same homeolog as in F. cascadensis but closer to the middle (13 Mb). In 8x </t>
    </r>
    <r>
      <rPr>
        <i/>
        <sz val="11"/>
        <color theme="1"/>
        <rFont val="Arial"/>
        <family val="2"/>
      </rPr>
      <t>F. chiloensis</t>
    </r>
    <r>
      <rPr>
        <sz val="11"/>
        <color theme="1"/>
        <rFont val="Arial"/>
        <family val="2"/>
      </rPr>
      <t>, male function is located at a similar distal end of a chromosome (37 Mb), but on a different subgenome (Av).</t>
    </r>
  </si>
  <si>
    <r>
      <rPr>
        <sz val="11"/>
        <color theme="1"/>
        <rFont val="Arial"/>
        <family val="2"/>
      </rPr>
      <t xml:space="preserve">In </t>
    </r>
    <r>
      <rPr>
        <i/>
        <sz val="11"/>
        <color theme="1"/>
        <rFont val="Arial"/>
        <family val="2"/>
      </rPr>
      <t>F. cascadensis</t>
    </r>
    <r>
      <rPr>
        <sz val="11"/>
        <color theme="1"/>
        <rFont val="Arial"/>
        <family val="2"/>
      </rPr>
      <t xml:space="preserve"> (10x), male sterility is dominant and maps to the same homologous group (chrom. VI) as in octoploid </t>
    </r>
    <r>
      <rPr>
        <i/>
        <sz val="11"/>
        <color theme="1"/>
        <rFont val="Arial"/>
        <family val="2"/>
      </rPr>
      <t>Fragarias</t>
    </r>
    <r>
      <rPr>
        <sz val="11"/>
        <color theme="1"/>
        <rFont val="Arial"/>
        <family val="2"/>
      </rPr>
      <t xml:space="preserve">. However, there are differences in the chromosomal and subgenome position. </t>
    </r>
  </si>
  <si>
    <t>Wei et al 2017b</t>
  </si>
  <si>
    <t>https://doi.org/10.1111/nph.14711</t>
  </si>
  <si>
    <t>Dominance of male sterility over fertility and recessivity of female sterilty over fertility.</t>
  </si>
  <si>
    <t>Goldberg et al 2010</t>
  </si>
  <si>
    <t>https://doi.org/10.1534/genetics.110.122911</t>
  </si>
  <si>
    <r>
      <rPr>
        <sz val="11"/>
        <color theme="1"/>
        <rFont val="Arial"/>
        <family val="2"/>
      </rPr>
      <t xml:space="preserve">Sex is determined by a dominant sterility allele (A) at the male function locus and a recessive sterility allele (g) at the female function locus, localized on linkage group (LG) in the chromosome VI.A. In </t>
    </r>
    <r>
      <rPr>
        <i/>
        <sz val="11"/>
        <color theme="1"/>
        <rFont val="Arial"/>
        <family val="2"/>
      </rPr>
      <t>F. virginiana</t>
    </r>
    <r>
      <rPr>
        <sz val="11"/>
        <color theme="1"/>
        <rFont val="Arial"/>
        <family val="2"/>
      </rPr>
      <t xml:space="preserve"> these sex-determining loci are localated on LG VI.C.</t>
    </r>
  </si>
  <si>
    <t>This species has the hallmarks of a complete, albeit incipient, ZW sex chromosome system. If so, it is possibly the youngest ZW system known in plants up to date.</t>
  </si>
  <si>
    <t>The SDR of this ZW system has been located within a 280 kb window, in which the maternal recombination rate is lower than the paternal one. In contrast to the SDR, the maternal PAR recombination rate is much higher than the rates of the paternal PAR or autosomes, culminating in an elevated chromosome‐wide rate. W‐specific divergence is elevated within the SDR and a single polymorphism is observed in high species‐wide linkage disequilibrium with sex.</t>
  </si>
  <si>
    <r>
      <rPr>
        <sz val="11"/>
        <color theme="1"/>
        <rFont val="Arial"/>
        <family val="2"/>
      </rPr>
      <t xml:space="preserve">The sex determination region is highly consistent within </t>
    </r>
    <r>
      <rPr>
        <i/>
        <sz val="11"/>
        <color theme="1"/>
        <rFont val="Arial"/>
        <family val="2"/>
      </rPr>
      <t xml:space="preserve">F. chiloensis, </t>
    </r>
    <r>
      <rPr>
        <sz val="11"/>
        <color theme="1"/>
        <rFont val="Arial"/>
        <family val="2"/>
      </rPr>
      <t>the same SDR  was indentified in this species in three crosses from populations up to 1,000 km away. The SDR is at 37 Mb on chromosome VI of the Av subgenome.</t>
    </r>
  </si>
  <si>
    <t>Male sterility locus is dominant, as seen in other Fragaria species, but its chromosomal location is not syntenic with the sex-determining regions of octoploid Fragaria</t>
  </si>
  <si>
    <t>At least two unlinked loci were found to harbor male sterility alleles. One of these loci  on chromosome IV (out of seven homeologous chromosome groups), is heterozygous in females.</t>
  </si>
  <si>
    <t xml:space="preserve">The gynodioecy is controlled by  three loci. The dominant male sterility locus (epistatically dominant to fertility restorer(s)) is located on LG4 and one of the restorers of fertility is on the LG6. The location of the third locus (putative fertility restorer) remained unclear.      </t>
  </si>
  <si>
    <t>Ashman et al. 2015</t>
  </si>
  <si>
    <t>The quantitative variation in amount of fruit set is controlled by a single region linked to the malefunction locus on LG VI-C, confirming the presence of a protosex chromosome in F. virginiana. There is a strong correlation between the degree of sex determination and the percent variation explained by the QTL linked to the proto-sex chromosome, consistent with predictions from sex-linkage as a primary cause of sex determination.</t>
  </si>
  <si>
    <t>Spigler et al 2010a</t>
  </si>
  <si>
    <t>https://doi.org/10.1111/j.1558-5646.2010.01189.x</t>
  </si>
  <si>
    <r>
      <rPr>
        <sz val="11"/>
        <color theme="1"/>
        <rFont val="Arial"/>
        <family val="2"/>
      </rPr>
      <t xml:space="preserve">The autosomal origin of the proto-sex chromosomes in </t>
    </r>
    <r>
      <rPr>
        <i/>
        <sz val="11"/>
        <color theme="1"/>
        <rFont val="Arial"/>
        <family val="2"/>
      </rPr>
      <t xml:space="preserve">F. virginiana </t>
    </r>
    <r>
      <rPr>
        <sz val="11"/>
        <color theme="1"/>
        <rFont val="Arial"/>
        <family val="2"/>
      </rPr>
      <t xml:space="preserve">has been proved by the similarity between these proto-sex chromosomes and its diploid homologous, presumibly explained by the young age of the sex chromosomes, and accordingly, its largely autosomal nature. </t>
    </r>
  </si>
  <si>
    <t>Spigler et al 2010b</t>
  </si>
  <si>
    <t>https://doi.org/10.1093/jhered/esq001</t>
  </si>
  <si>
    <t>There are sex chromosomes that have two linked loci, one for androecial function (A), and another for gynoecial function (G). Here, staminate (male) sterility is dominant over staminate fertility, and pistillate (female) fertility is dominant over pistillate sterility. Consequently, sterile plants can be formed.</t>
  </si>
  <si>
    <t>https://doi.org/10.1038/hdy.2008.100</t>
  </si>
  <si>
    <t>Fragaria virginiana subsp. platypetala</t>
  </si>
  <si>
    <t>The sex determination region of this species is  on chromosome VI of the B1 subgenome. This SDR is at the same localation as that in Fragaria x ananassa subsp. cuneifolia with Fragaria virginiana cytotype at around Fvb6_13.</t>
  </si>
  <si>
    <t>Wei et al 2017a</t>
  </si>
  <si>
    <t>https://doi.org/10.1093/jhered/esx077</t>
  </si>
  <si>
    <t>Dominant male sterility colocalizing with a major QTL for fruit set in F. virginiana ssp. platypetala, defining a ZW sex-determination system.</t>
  </si>
  <si>
    <t>With phylogenetic approaches, the presence of sequence homologous to Fvb6 (position 1 Mb)(genome of Fragaria vesca ssp.bracteata was used as a reference) in the SDR. Phylogenetic analysis suggests that the location of the SDR in the α clade on the Fvb6 (1 Mb) is ancestral, with a translocation from position 1 Mb to position 13 Mb in the ancestor of β and γ clades. A second translocation to Fvb6 (position 37 Mb, clade γ) is  supported by the phylogenetic position and by the composition of this SDR  that includes the original SDR (from its previous location) and also γ-specific flanking regions.</t>
  </si>
  <si>
    <t>https://journals.plos.org/plosbiology/article?id=10.1371/journal.pbio.2006062</t>
  </si>
  <si>
    <t>Fragaria virginiana subsp. virginiana</t>
  </si>
  <si>
    <t>The SDR of this species is at position 0-5.5 Mb on chromosome VI of the B2 subgenome.</t>
  </si>
  <si>
    <t>Fragaria x ananassa subsp. cuneifolia</t>
  </si>
  <si>
    <t xml:space="preserve">Although there was variation in the location of sex function loci, major QTL were found in the homoelogous group (HG) VI, confirming the important role of this HG in sex determination in octoploid Fragaria. The different localisation could be the result of transposition during hybrid formation as such rearrangements can be common in some hybrids. </t>
  </si>
  <si>
    <t>In some prometaphases, it was possible to observe 2 prematurely condensed Y chromosomes</t>
  </si>
  <si>
    <t>Grabowska-Joachimiak et al 2011</t>
  </si>
  <si>
    <t>http://dx.doi.org/10.1159%2F000321584</t>
  </si>
  <si>
    <t>Using DAPI fluorescence, sex chromosomes in Humulus japonicus displayed a unique banding pattern and different intensity. X-chromosome showed a segment located in the distal region of one arm, Y1-chromosome on both arms and Y2-chromosome was devoid of brightly.</t>
  </si>
  <si>
    <t xml:space="preserve">Using densitometric approaches with Humulus japonicus, enhanced fluorescence of sex chromosomes was confirmed. The brightness of X-chromosome did not differ from those of autosomes, but Y-chromosomes were significantly brighter than autosomes and X-chromosomes.  </t>
  </si>
  <si>
    <t>X chromosome has only one terminal DAPI segment, Y1 has 2 such segments, and Y2 completely lacks C-banding/DAPI and FISH marks. Moreover, the male sex chromosomes showed distinctly stronger DAPI fluorescence.</t>
  </si>
  <si>
    <t>Analysis of the 25 meiotic metaphase I chromosome plates shows that the intensity of FISH signal on the Y1 and Y2 chromosomes was higher if compared to chromosome X and autosomes.</t>
  </si>
  <si>
    <t>The preferential hybridization  of sex chromosome-specific DOP-PCR probes to Y chromosomes in FAST-FISH experiments indicates the presence of chromosome-specific repeated sequences.</t>
  </si>
  <si>
    <t>It has been suggested that the expression of the male sex is determined by an X:autosome ratio, although the Y chromosome is indispensable for the full expression of the male phenotype.</t>
  </si>
  <si>
    <t>Polley et al 1997</t>
  </si>
  <si>
    <t>https://doi.org/10.1139/g97-048</t>
  </si>
  <si>
    <t>Sex expression in hop appears to be controled by an X/autosomes balance system.</t>
  </si>
  <si>
    <t>Shepard et al 2000</t>
  </si>
  <si>
    <t>https://doi.org/10.1046/j.1469-8137.2000.00771.x</t>
  </si>
  <si>
    <t xml:space="preserve">The analysis shows relatively the constant X : Y size ratio  in cultivars of European Humulus lupulus ssp. lupulus (1.5 :1). In H.lupulus ssp.cordifolius, all the sex chromosomes in meiotic quadrivalent were of the similar size (ratio X1:Y1:X2:Y2 - 16 : 15 : 14 : 13 ).  This contrast with the previous results both in  Humulus lupulus ssp. lupulus and  Humulus lupulus ssp. cordifolius. There were previously described three different sex-chromosome size ratios identifiable during male (XY) meiosis in Humulus lupulus ssp. lupulus : (i) ratio about 2:1, (ii) ratio about 1.25:1, (iii) homomorphic type. The heteromorphic sex chromosomes were previously described in H.lupulus ssp.cordifolius.  Their  X1:Y1:X2:Y2 ratios were: 14:12:10:7 ('Sinoto') and 13:11:10:3 ('New Sinoto') </t>
  </si>
  <si>
    <t>Humulus lupulus North American males have the largest Y chromosome, with a X:Y ratio ranging from 10:8 to 10:10. On the other hand, European males have a ratio of approximately 10:5.2. X chromosome in European hops is almost twice as long as Y chromosome.</t>
  </si>
  <si>
    <t>Danilova et al 2005</t>
  </si>
  <si>
    <t>https://doi.org/10.17660/ActaHortic.2005.668.11</t>
  </si>
  <si>
    <t>The use and amplification of primers rich in (CA)n served as basis to predict that Y chromosome may contain possibles accumulations of microsatellites of this type</t>
  </si>
  <si>
    <t>V chromosome-specific genes are expressed specifically in reproductive organs.</t>
  </si>
  <si>
    <t>Bowman et al 2017</t>
  </si>
  <si>
    <t>https://www.sciencedirect.com/science/article/pii/S0092867417311248</t>
  </si>
  <si>
    <t>Genome size is ca. 226 Mb with a V chromosome of
ca. 10 Mb and a U chromosome ca. 20 Mb.</t>
  </si>
  <si>
    <t>Coelho et al 2018</t>
  </si>
  <si>
    <t>https://www.ncbi.nlm.nih.gov/pmc/articles/PMC6128410/</t>
  </si>
  <si>
    <t>The V chromosome exhibited significantly higher levels of heterochromatic marks H3K9me1 and H3K27me1 than autosomes. These data indicate that the V chromosome is largely repressed and is more condensed than autosomes.</t>
  </si>
  <si>
    <t>https://www.sciencedirect.com/science/article/pii/S0960982219316100</t>
  </si>
  <si>
    <r>
      <rPr>
        <sz val="11"/>
        <color theme="1"/>
        <rFont val="Arial"/>
        <family val="2"/>
      </rPr>
      <t xml:space="preserve">The locus associated with gender determination was mapped on a non-terminal position of LG XIX of the female </t>
    </r>
    <r>
      <rPr>
        <i/>
        <sz val="11"/>
        <color theme="1"/>
        <rFont val="Arial"/>
        <family val="2"/>
      </rPr>
      <t>P. alba</t>
    </r>
    <r>
      <rPr>
        <sz val="11"/>
        <color theme="1"/>
        <rFont val="Arial"/>
        <family val="2"/>
      </rPr>
      <t xml:space="preserve"> map.</t>
    </r>
  </si>
  <si>
    <r>
      <rPr>
        <sz val="11"/>
        <color theme="1"/>
        <rFont val="Arial"/>
        <family val="2"/>
      </rPr>
      <t>Populus sex chromosome has the lowest gene density between all chromosomes, Salix - sister genus doesn't. Authors deduced that  Salix is the nascent lineage arising from the additional round of genome reorganization that distinguishes the karyotypes of the two sister genera (</t>
    </r>
    <r>
      <rPr>
        <i/>
        <sz val="11"/>
        <color theme="1"/>
        <rFont val="Arial"/>
        <family val="2"/>
      </rPr>
      <t>Populus</t>
    </r>
    <r>
      <rPr>
        <sz val="11"/>
        <color theme="1"/>
        <rFont val="Arial"/>
        <family val="2"/>
      </rPr>
      <t xml:space="preserve"> and </t>
    </r>
    <r>
      <rPr>
        <i/>
        <sz val="11"/>
        <color theme="1"/>
        <rFont val="Arial"/>
        <family val="2"/>
      </rPr>
      <t>Salix</t>
    </r>
    <r>
      <rPr>
        <sz val="11"/>
        <color theme="1"/>
        <rFont val="Arial"/>
        <family val="2"/>
      </rPr>
      <t xml:space="preserve">).   </t>
    </r>
  </si>
  <si>
    <t>Hou et al, 2019</t>
  </si>
  <si>
    <t>https://doi.org/10.1038/s41438-019-0121-y</t>
  </si>
  <si>
    <r>
      <rPr>
        <sz val="11"/>
        <color theme="1"/>
        <rFont val="Arial"/>
        <family val="2"/>
      </rPr>
      <t xml:space="preserve">The sex-determination locus has been mapped to the peritelomeric region of the chromosome XIX, also recently reported in similar position in </t>
    </r>
    <r>
      <rPr>
        <i/>
        <sz val="11"/>
        <color theme="1"/>
        <rFont val="Arial"/>
        <family val="2"/>
      </rPr>
      <t>P. nigra</t>
    </r>
    <r>
      <rPr>
        <sz val="11"/>
        <color theme="1"/>
        <rFont val="Arial"/>
        <family val="2"/>
      </rPr>
      <t xml:space="preserve"> pedigree. This gender locus might encompass several genes underlying gender determination.</t>
    </r>
  </si>
  <si>
    <t>Only a small portion (5%) of the sex chromosomes in the popular genome was differentiated from autosomes, suggesting that sex determination of Populus evolved very recently.</t>
  </si>
  <si>
    <t>In Populus, 37 NBS–LRR genes are found in the peritelomeric region of chromosomes XIX and represents nearly 10 % of all NBS–LRR found throughout the rest of the genome</t>
  </si>
  <si>
    <t>https://doi.org/10.1007/s11295-012-0495-6</t>
  </si>
  <si>
    <t>Populus tremula x Populus tremuloides</t>
  </si>
  <si>
    <r>
      <rPr>
        <sz val="11"/>
        <color theme="1"/>
        <rFont val="Arial"/>
        <family val="2"/>
      </rPr>
      <t xml:space="preserve">Using AFLPs, sex could only be mapped on the male map, and sex remained unlinked on the female map. Also, sex has been mapped to a single locus on linkage XIX. It seems that different species of the genus </t>
    </r>
    <r>
      <rPr>
        <i/>
        <sz val="11"/>
        <color theme="1"/>
        <rFont val="Arial"/>
        <family val="2"/>
      </rPr>
      <t>Populus</t>
    </r>
    <r>
      <rPr>
        <sz val="11"/>
        <color theme="1"/>
        <rFont val="Arial"/>
        <family val="2"/>
      </rPr>
      <t xml:space="preserve"> have a different sex inheritance. This might be explained by chromosomal rearrangements.</t>
    </r>
  </si>
  <si>
    <t>Pakull et al 2009</t>
  </si>
  <si>
    <t>https://doi.org/10.1007/s11295-009-0204-2</t>
  </si>
  <si>
    <t>All sex-linked alleles of the markers were inherited from the male parent.</t>
  </si>
  <si>
    <t>In table 2 of this paper there are annotated most of the genes located in the region containing sex-linked markers.</t>
  </si>
  <si>
    <t>https://doi.org/10.1139/X10-206</t>
  </si>
  <si>
    <t>Sexual dimorphism</t>
  </si>
  <si>
    <t>This species doesn't exhibit sexual dimorphism</t>
  </si>
  <si>
    <t>McKown et al 2017</t>
  </si>
  <si>
    <t>https://doi.org/10.1038/s41598-017-01893-z</t>
  </si>
  <si>
    <t>Time of divergence</t>
  </si>
  <si>
    <r>
      <rPr>
        <sz val="11"/>
        <color theme="1"/>
        <rFont val="Arial"/>
        <family val="2"/>
      </rPr>
      <t xml:space="preserve">6–7 Ma is the estimated divergence time of the X and Y haplotype in </t>
    </r>
    <r>
      <rPr>
        <i/>
        <sz val="11"/>
        <color theme="1"/>
        <rFont val="Arial"/>
        <family val="2"/>
      </rPr>
      <t>P. trichocarpa</t>
    </r>
    <r>
      <rPr>
        <sz val="11"/>
        <color theme="1"/>
        <rFont val="Arial"/>
        <family val="2"/>
      </rPr>
      <t xml:space="preserve">, which is much more recent than </t>
    </r>
    <r>
      <rPr>
        <i/>
        <sz val="11"/>
        <color theme="1"/>
        <rFont val="Arial"/>
        <family val="2"/>
      </rPr>
      <t>P. trichocarpa</t>
    </r>
    <r>
      <rPr>
        <sz val="11"/>
        <color theme="1"/>
        <rFont val="Arial"/>
        <family val="2"/>
      </rPr>
      <t xml:space="preserve"> (poplar) and </t>
    </r>
    <r>
      <rPr>
        <i/>
        <sz val="11"/>
        <color theme="1"/>
        <rFont val="Arial"/>
        <family val="2"/>
      </rPr>
      <t xml:space="preserve">Populus tremuloides </t>
    </r>
    <r>
      <rPr>
        <sz val="11"/>
        <color theme="1"/>
        <rFont val="Arial"/>
        <family val="2"/>
      </rPr>
      <t>(aspen) divergence. In</t>
    </r>
    <r>
      <rPr>
        <i/>
        <sz val="11"/>
        <color theme="1"/>
        <rFont val="Arial"/>
        <family val="2"/>
      </rPr>
      <t xml:space="preserve"> P. tremuloides</t>
    </r>
    <r>
      <rPr>
        <sz val="11"/>
        <color theme="1"/>
        <rFont val="Arial"/>
        <family val="2"/>
      </rPr>
      <t xml:space="preserve">, there is no XY haplotype divergence in the position of the </t>
    </r>
    <r>
      <rPr>
        <i/>
        <sz val="11"/>
        <color theme="1"/>
        <rFont val="Arial"/>
        <family val="2"/>
      </rPr>
      <t>P. trichocarpa</t>
    </r>
    <r>
      <rPr>
        <sz val="11"/>
        <color theme="1"/>
        <rFont val="Arial"/>
        <family val="2"/>
      </rPr>
      <t xml:space="preserve"> sex-determining region. This suggests different genomic architecture of sex, with at least one turnover.</t>
    </r>
  </si>
  <si>
    <t xml:space="preserve">The maximum number of overlapping sequences was 182 for a repeat that overlaps two differents NBS-LRR genes, with a clear dominance for short RNA of 21 nucleotides. This region also has reduced recombination. It has been suggested that the high presence of these sRNA, together with the presence of NBS-LRR genes, might be responsable of this low recombination level in this region. </t>
  </si>
  <si>
    <t>Klevebring et al 2009</t>
  </si>
  <si>
    <t>https://doi.org/10.1186/1471-2164-10-620</t>
  </si>
  <si>
    <r>
      <rPr>
        <sz val="11"/>
        <color theme="1"/>
        <rFont val="Arial"/>
        <family val="2"/>
      </rPr>
      <t xml:space="preserve">No exces of retrogenes traffic is found out of the sex chromosome in </t>
    </r>
    <r>
      <rPr>
        <i/>
        <sz val="11"/>
        <color theme="1"/>
        <rFont val="Arial"/>
        <family val="2"/>
      </rPr>
      <t>Populus</t>
    </r>
    <r>
      <rPr>
        <sz val="11"/>
        <color theme="1"/>
        <rFont val="Arial"/>
        <family val="2"/>
      </rPr>
      <t xml:space="preserve">, explained because sex chromosomes are very young in this genus. The analysis revealed that 17% of the retrogenes undergo structural renovation through recruitment of preexisting exons and intronization of previous coding regions in the retrosequences. These evolutionary changes in gene structure consequently generate new chimeric proteins and/or new expression patterns, leading to the rise of novel gene functions. It seems common to recruit internal exonic sequences as new introns for these retrogenes in </t>
    </r>
    <r>
      <rPr>
        <i/>
        <sz val="11"/>
        <color theme="1"/>
        <rFont val="Arial"/>
        <family val="2"/>
      </rPr>
      <t>Populus</t>
    </r>
    <r>
      <rPr>
        <sz val="11"/>
        <color theme="1"/>
        <rFont val="Arial"/>
        <family val="2"/>
      </rPr>
      <t>.</t>
    </r>
  </si>
  <si>
    <t>Zhu et al 2009</t>
  </si>
  <si>
    <t>http://www.plantphysiol.org/cgi/doi/10.1104/pp.109.142984</t>
  </si>
  <si>
    <t>Populus yunnanensis</t>
  </si>
  <si>
    <t>Under salinity stress, genes located in autosomes appears to make a major contribution to sexual differences in salinity tolerance rather than genes located in region homologous to non-recombining region on the chromosome XIX. (now XY pair)</t>
  </si>
  <si>
    <t>Jiang et al 2012</t>
  </si>
  <si>
    <t>https://doi.org/10.1093/jxb/ers064</t>
  </si>
  <si>
    <t>Physical mapping - deletion mapping of non-recombining regions on Y chromosome.</t>
  </si>
  <si>
    <t>Kazama et al 2016</t>
  </si>
  <si>
    <t>https://doi.org/10.1038/srep18917</t>
  </si>
  <si>
    <t>Silene EST annotation database - high-throughput transcriptome sequencing.</t>
  </si>
  <si>
    <t>Blavet et al 2011</t>
  </si>
  <si>
    <t>https://doi.org/10.1186/1471-2164-12-376</t>
  </si>
  <si>
    <t>Mapping of sex determination loci with AFLP.</t>
  </si>
  <si>
    <t>https://www.ncbi.nlm.nih.gov/pubmed/11861573</t>
  </si>
  <si>
    <t>MK17, a specific marker closely linked to the gynoecium suppression region on the Y chromosome.</t>
  </si>
  <si>
    <t>Deletion mapping - compare gene orders between X and Y.</t>
  </si>
  <si>
    <t>Zluvova et al 2005</t>
  </si>
  <si>
    <t>https://doi.org/10.1534/genetics.105.040444</t>
  </si>
  <si>
    <t>Several genes showing sex-specific transcription already in vegetative stage described</t>
  </si>
  <si>
    <t>Y chromosome RAPD and SCAR markers.</t>
  </si>
  <si>
    <t>Zhang et al 1998</t>
  </si>
  <si>
    <t>https://www.researchgate.net/publication/253672790_Y_chromosome_specific_markers_and_the_evolution_of_dioecy_in_the_genus_Silene</t>
  </si>
  <si>
    <t>Silene latifolia displays sexual dimorphism in floral traits and the infection with the smut fungus Micobrotryum lychnidis-dioicae induces a partial sex reversal in females - sex biased expression changes following infection.</t>
  </si>
  <si>
    <t>Zemp et al 2015</t>
  </si>
  <si>
    <t>https://doi.org/10.1371/journal.pgen.1005536</t>
  </si>
  <si>
    <t>Induction of double-flowered mutant, survey of MADS-box genes, their function and possible effects on the mutant phenotype.</t>
  </si>
  <si>
    <t>Scutt et al 1999</t>
  </si>
  <si>
    <t>https://doi.org/10.1002/(SICI)1520-6408(1999)25:3%3c267::AID-DVG9%3e3.0.CO;2-9</t>
  </si>
  <si>
    <t>RAPD analysis revealed Y chromosome specific fragment that has a single copy on the Y chromosome. Open reading frame (ORF) corresponding to 285 amino acids in length (ORF285), but no expression of the ORF285 gene was identified.</t>
  </si>
  <si>
    <t>Nakao et al 2002</t>
  </si>
  <si>
    <t>https://doi.org/10.1139/G01-151</t>
  </si>
  <si>
    <t>The two Silene sex chromosomes are easily distinguishable not only by length or DNA amount differences but also by their Giemsa C-banding patterns.</t>
  </si>
  <si>
    <t>Grabowska-Joachimiak and Joachimiak 2002</t>
  </si>
  <si>
    <t>https://doi.org/10.1139/G01-143</t>
  </si>
  <si>
    <t>Analysis of Y deletion mutants by Y-chromosome-specific STS markers. Six new Y-chromosome-specific STS markers were obtained, SmicSy1–6. SmicSy6, is a proximal marker to SPF.</t>
  </si>
  <si>
    <t>Fujita et al 2012</t>
  </si>
  <si>
    <t>https://doi.org/10.1534/g3.111.001420</t>
  </si>
  <si>
    <t>Male-specific STS marker, Y202, was designed based on the sequence adjacent to SlY1. SlX1 and SlY1, which are linked to the X and Y sex chromosomes, respectively, are thought to be closely linked to thePAR - understanding function of PAR boundary.</t>
  </si>
  <si>
    <t>Fujita et al 2008</t>
  </si>
  <si>
    <t>https://doi.org/10.1508/cytologia.73.159</t>
  </si>
  <si>
    <t>Y-gene degeneration studied on numerous genomic scafolds; dense genetic map prepared based on RNAseq in multiple samples; the Y-linked genes were found significantly more degenerated than in the previous transcriptome based studies</t>
  </si>
  <si>
    <t xml:space="preserve">
Papadopulos et al 2015</t>
  </si>
  <si>
    <t>https://www.ncbi.nlm.nih.gov/pmc/articles/PMC4620866/pdf/pnas.201508454.pdf</t>
  </si>
  <si>
    <t>Relevant data</t>
  </si>
  <si>
    <t>Transition to reproductive stage</t>
  </si>
  <si>
    <t>Photoperiod is critical for the induction of gametangiophores formation.</t>
  </si>
  <si>
    <t>Nishihama et al  2015</t>
  </si>
  <si>
    <t>https://link.springer.com/article/10.1007/s10265-015-0724-9</t>
  </si>
  <si>
    <t>Degeneration of Y</t>
  </si>
  <si>
    <t xml:space="preserve">As in humans, the degeneration of the Y chromosome is advanced. Microsatellite expansion is an early event in the degeneration of the Y chromosome, while accumulation of transposable elements, and also shrinkage of the Y chromosome, take place in later evolutionary states. </t>
  </si>
  <si>
    <t>Kejnovský et al  2013</t>
  </si>
  <si>
    <t>https://www.ncbi.nlm.nih.gov/pmc/articles/PMC3547029/</t>
  </si>
  <si>
    <t>Sex chromosomes and autosomes show distinct DNA methylation patterns.</t>
  </si>
  <si>
    <t>Schmid et al  2018</t>
  </si>
  <si>
    <t>https://genomebiology.biomedcentral.com/articles/10.1186/s13059-017-1383-z</t>
  </si>
  <si>
    <t>Gender-speciﬁc-response</t>
  </si>
  <si>
    <r>
      <rPr>
        <i/>
        <sz val="11"/>
        <color rgb="FF000000"/>
        <rFont val="Arial"/>
        <family val="2"/>
      </rPr>
      <t>Mercurialis annua</t>
    </r>
    <r>
      <rPr>
        <sz val="11"/>
        <color rgb="FF000000"/>
        <rFont val="Arial"/>
        <family val="2"/>
      </rPr>
      <t xml:space="preserve"> female plants have a greater response to oxidative and saline stress, mainly associated with the differential expression of the GST isoenzyme superfamily. It is the first documented case of differences in the expression of this type of enzymes depending on sex.</t>
    </r>
  </si>
  <si>
    <t>Differential expression of POD and GSTs enzymes, as well as the synthesis of certain metabolites, give female plants a greater tolerance to stress</t>
  </si>
  <si>
    <t>Orlofsky et al  2016</t>
  </si>
  <si>
    <t>https://www.mdpi.com/2218-1989/6/2/13</t>
  </si>
  <si>
    <t>Gender-inheritance</t>
  </si>
  <si>
    <t>Role of cytoplasmic repressors, allelic variants and cytokinin as mediators of androsterility is studied. Numerous crosses with several pure lines.</t>
  </si>
  <si>
    <t>Louis and Durand  1978</t>
  </si>
  <si>
    <t>https://link.springer.com/article/10.1007/BF00332532</t>
  </si>
  <si>
    <t>YY-individuals</t>
  </si>
  <si>
    <r>
      <rPr>
        <sz val="11"/>
        <color rgb="FF000000"/>
        <rFont val="Arial"/>
        <family val="2"/>
      </rPr>
      <t xml:space="preserve">The male YY individuals of </t>
    </r>
    <r>
      <rPr>
        <i/>
        <sz val="11"/>
        <color rgb="FF000000"/>
        <rFont val="Arial"/>
        <family val="2"/>
      </rPr>
      <t>M. annua</t>
    </r>
    <r>
      <rPr>
        <sz val="11"/>
        <color rgb="FF000000"/>
        <rFont val="Arial"/>
        <family val="2"/>
      </rPr>
      <t xml:space="preserve"> are viable, but have a lower amount of fertile pollen than the XY individuals, so possibly the genes involved in the generation of pollen also map on the X chromosome, explaining the ability of some females to produce pollen in absence of males.</t>
    </r>
  </si>
  <si>
    <t>Li et al  2019</t>
  </si>
  <si>
    <t>https://nph.onlinelibrary.wiley.com/doi/full/10.1111/nph.16016</t>
  </si>
  <si>
    <t>Pattern of sex phenotype  inheritance under the theory of one locus confirmed (versus three independent loci as supposed in the past).</t>
  </si>
  <si>
    <t>Russell et al  2015</t>
  </si>
  <si>
    <t>https://www.nature.com/articles/hdy201495</t>
  </si>
  <si>
    <t>Characterization of flower morphology depending of the sex. Effects of exogenous and endogenous hormones in the development of sex.</t>
  </si>
  <si>
    <t>Durand and Durand 1994</t>
  </si>
  <si>
    <t>https://books.google.es/books?hl=es&amp;lr=&amp;id=yov7iUL7OTAC&amp;oi=fnd&amp;pg=PA295&amp;dq=Cytokinins+and+reproductive+organogenesis+in+Mercurialis&amp;ots=0dF_iUKBwc&amp;sig=Dx4xU8tXOAL5s7AVJmuYfOrZXIc</t>
  </si>
  <si>
    <t>Theory about the manteinance of dioecy in mediterranean metapopulation of M. annua</t>
  </si>
  <si>
    <t>Pannell et al  2004</t>
  </si>
  <si>
    <t>https://academic.oup.com/biolinnean/article/82/4/547/2643086</t>
  </si>
  <si>
    <t xml:space="preserve"> Although the sex chromosomes of M. annua are karyotypically homomorphic, the authors have estimated that about one-third of the Y chromosome, containing 568 transcripts and spanning 22.3 cM in the corresponding female map, had ceased recombining. The origin of sex chromosomes is M. annua Y chromosome is relatively recent (1.5 mya). The existence of two strata has been deduced from the data. The age of the younger stratum is about 1 mya.</t>
  </si>
  <si>
    <t>Veltsos et al  2019</t>
  </si>
  <si>
    <t>https://www.genetics.org/content/212/3/815.abstract</t>
  </si>
  <si>
    <t>Mechanisms of sex-determination system under polyplodization</t>
  </si>
  <si>
    <t>Sex determining region</t>
  </si>
  <si>
    <r>
      <rPr>
        <sz val="11"/>
        <color theme="1"/>
        <rFont val="Arial"/>
        <family val="2"/>
      </rPr>
      <t xml:space="preserve">There is a clear block of about 3 Mb in chromosome 19 showing low inter-species divergence between </t>
    </r>
    <r>
      <rPr>
        <i/>
        <sz val="11"/>
        <color theme="1"/>
        <rFont val="Arial"/>
        <family val="2"/>
      </rPr>
      <t>Populus alba</t>
    </r>
    <r>
      <rPr>
        <sz val="11"/>
        <color theme="1"/>
        <rFont val="Arial"/>
        <family val="2"/>
      </rPr>
      <t xml:space="preserve"> and </t>
    </r>
    <r>
      <rPr>
        <i/>
        <sz val="11"/>
        <color theme="1"/>
        <rFont val="Arial"/>
        <family val="2"/>
      </rPr>
      <t>Populus tremula</t>
    </r>
    <r>
      <rPr>
        <sz val="11"/>
        <color theme="1"/>
        <rFont val="Arial"/>
        <family val="2"/>
      </rPr>
      <t>, which may indicate introgression of of this part of an incipient sex chromosome.</t>
    </r>
  </si>
  <si>
    <t>Stölting et al2013</t>
  </si>
  <si>
    <t>https://onlinelibrary.wiley.com/doi/full/10.1111/mec.12011</t>
  </si>
  <si>
    <r>
      <rPr>
        <sz val="11"/>
        <color theme="1"/>
        <rFont val="Arial"/>
        <family val="2"/>
      </rPr>
      <t xml:space="preserve">The distal part of the short arm of chromosome 19 in </t>
    </r>
    <r>
      <rPr>
        <i/>
        <sz val="11"/>
        <color theme="1"/>
        <rFont val="Arial"/>
        <family val="2"/>
      </rPr>
      <t>Populus deltoides</t>
    </r>
    <r>
      <rPr>
        <sz val="11"/>
        <color theme="1"/>
        <rFont val="Arial"/>
        <family val="2"/>
      </rPr>
      <t xml:space="preserve"> and </t>
    </r>
    <r>
      <rPr>
        <i/>
        <sz val="11"/>
        <color theme="1"/>
        <rFont val="Arial"/>
        <family val="2"/>
      </rPr>
      <t>P. tomentosa</t>
    </r>
    <r>
      <rPr>
        <sz val="11"/>
        <color theme="1"/>
        <rFont val="Arial"/>
        <family val="2"/>
      </rPr>
      <t xml:space="preserve">, is not painted by the probe prepared from chromosome XIX  of </t>
    </r>
    <r>
      <rPr>
        <i/>
        <sz val="11"/>
        <color theme="1"/>
        <rFont val="Arial"/>
        <family val="2"/>
      </rPr>
      <t>P. trichocarpa</t>
    </r>
    <r>
      <rPr>
        <sz val="11"/>
        <color theme="1"/>
        <rFont val="Arial"/>
        <family val="2"/>
      </rPr>
      <t>. The unpainted part of this chromosome did not pair in ca. 23% of male meiotic cells in both species, suggesting structural divergence between sex chromosomes.</t>
    </r>
  </si>
  <si>
    <t>Xin et al 2018</t>
  </si>
  <si>
    <t>https://link.springer.com/article/10.1007%2Fs00412-018-0664-y</t>
  </si>
  <si>
    <t>Crossover interference</t>
  </si>
  <si>
    <r>
      <rPr>
        <sz val="11"/>
        <color theme="1"/>
        <rFont val="Arial"/>
        <family val="2"/>
      </rPr>
      <t xml:space="preserve">There is an extensive occurrence of crossover (CO) interference (a universal phenomenon by which the occurrence of one crossing over event inhibits the simultaneous occurrence of other CO along the chromosome), whose strength depends on chromosome length and locations in the chromosome. The paper analyses genome-wide pattern of the recombination frequences and CO interference in </t>
    </r>
    <r>
      <rPr>
        <i/>
        <sz val="11"/>
        <color theme="1"/>
        <rFont val="Arial"/>
        <family val="2"/>
      </rPr>
      <t>Populus eufratica</t>
    </r>
    <r>
      <rPr>
        <sz val="11"/>
        <color theme="1"/>
        <rFont val="Arial"/>
        <family val="2"/>
      </rPr>
      <t xml:space="preserve"> using four point test</t>
    </r>
    <r>
      <rPr>
        <i/>
        <sz val="11"/>
        <color theme="1"/>
        <rFont val="Arial"/>
        <family val="2"/>
      </rPr>
      <t>.</t>
    </r>
  </si>
  <si>
    <t>Wang et al2019</t>
  </si>
  <si>
    <t>https://www.frontiersin.org/articles/10.3389/fgene.2019.00440/full</t>
  </si>
  <si>
    <t xml:space="preserve">Populus sp. </t>
  </si>
  <si>
    <t>Chromosome 19 presents abundant micro RNAs targeting and regulating the expression of the R-genes.</t>
  </si>
  <si>
    <t>Caseys et al 2015</t>
  </si>
  <si>
    <t>https://link.springer.com/article/10.1007/s11295-015-0904-8</t>
  </si>
  <si>
    <t>The sex-determining locus is not located in the short arm of chromosome 19, as it is in many Populus species but in its centromeric region.  This chromosome did not pair in ca. 23% of meiotic cells, resulting in a reduced paired frequency.</t>
  </si>
  <si>
    <t>There is a clear block of about 3 Mb in chromosome 19 showing low inter-species divergence between Populus alba and Populus tremula, which may indicate introgression of of this part of an incipient sex chromosome.</t>
  </si>
  <si>
    <t>Stölting et al 2013</t>
  </si>
  <si>
    <t>There is a putative sex-determining region on chromosome 19, showing suppresed recombination. The male sex trait was determined close to the centromeric region, while the cosexual trait was linked to chromosome 19 in the female.</t>
  </si>
  <si>
    <t>sabatti 2019</t>
  </si>
  <si>
    <t>https://link.springer.com/article/10.1007/s00497-019-00378-5</t>
  </si>
  <si>
    <t>Supermales</t>
  </si>
  <si>
    <t>Supermale (YY) are rare in nature and even in breeding, but when they appear they can be equally viable to male or female specimens.</t>
  </si>
  <si>
    <t>Fladung et al 2019</t>
  </si>
  <si>
    <t>https://link.springer.com/article/10.1007/s00468-019-01817-6</t>
  </si>
  <si>
    <t>The sex determining region (SDR) is located in pericentromeric position of chromosome 19</t>
  </si>
  <si>
    <t>https://onlinelibrary.wiley.com/doi/full/10.1111/plb.12048</t>
  </si>
  <si>
    <t>Sequence/loci</t>
  </si>
  <si>
    <t>MADC2</t>
  </si>
  <si>
    <t>MADC2 is a male associated DNA marker (390 bp). It is also absent in monoecious hemp cultivars.</t>
  </si>
  <si>
    <t>Faux et al 2014</t>
  </si>
  <si>
    <t>https://link.springer.com/content/pdf/10.1007/s10681-013-1023-y.pdf</t>
  </si>
  <si>
    <t>QTL</t>
  </si>
  <si>
    <t>Found 5 sex-linked markers in monoecious hemp, 5 QTLs associated with quantitative varitions in sex expression and 4 markers associated with variations in sex expression.</t>
  </si>
  <si>
    <t>AFLP fragments</t>
  </si>
  <si>
    <t>A total of 16 and 17 male-specifc fragments were obtained for two dioecious hemp accessions (Can18 and Can17), respectively. Eleven fragments exhibited the same fragment size in both accessions (AFLP)</t>
  </si>
  <si>
    <t>Flachowsky et al 2001</t>
  </si>
  <si>
    <t>https://onlinelibrary.wiley.com/doi/abs/10.1046/j.1439-0523.2001.00620.x</t>
  </si>
  <si>
    <t>MADC1</t>
  </si>
  <si>
    <t>The male-associated DNA sequence in Cannabis sativa (MASC) (identified based on RAPD; male specific hybridisation in FISH and gel blot), size 730 bp, does not include a long ORF and it is highly amplified, so it may not be a transcribed gene. It is possibly a linker or a sequence involved in the construction of the sex chromosomes. Amplification of the male-associated sequence might occur on the Y chromosome.</t>
  </si>
  <si>
    <t>Sakamoto et al 1995</t>
  </si>
  <si>
    <t>https://academic.oup.com/pcp/article-abstract/36/8/1549/1819656?redirectedFrom=fulltext</t>
  </si>
  <si>
    <t>MADC5, MADC6</t>
  </si>
  <si>
    <t>Male-associated DNA markers MADC5 (SCAR323; 961 bp) and MADC6 (SCAR119; 151 bp), with no homology with other dioecious plant species. The highest similarity was found with retrotransposon sequences of different plant species. MADC5 (OPD05961; 961 bp) - GenBank accession No. AF36495 , MADC6 (UBC354151) - GenBank accession No. AF364955)</t>
  </si>
  <si>
    <t>Törjék et al 2002</t>
  </si>
  <si>
    <t>https://link.springer.com/article/10.1023%2FA%3A1020204729122</t>
  </si>
  <si>
    <t>Female-associated polymorphic fragments (870 bp and 1160 bp, amplified by primer OPA-04; 1680 bp by primer OPF-05) (RAPD) were found, and these were absent in the male genomes.</t>
  </si>
  <si>
    <t>Shao et al 2003</t>
  </si>
  <si>
    <t>https://www.tandfonline.com/doi/abs/10.1300/J237v08n01_02</t>
  </si>
  <si>
    <t>Several male associated DNA sequences were used in FISH experiments (SCARopa08, C11Komp, C11Seq, AAT_330Komp, 330_GW) by Riedel (2005).C11Komp and 330_GW are distributed uniformly on all chromosomes, but SCARopa08 and AAT_330Komp shows more intense signal in one chromosome (likely, chromosome Y). The CS11Seq was found in a single chromosome pair.</t>
  </si>
  <si>
    <t>Male-specific genes</t>
  </si>
  <si>
    <t xml:space="preserve">Twelve specific products of PCR in males have been obtained, physically close to the region of sex determination (SDR). </t>
  </si>
  <si>
    <t>gene expression - GO:0010468 protein binding (GO:0005515) and floral meristem determinacy (GO:0010582)</t>
  </si>
  <si>
    <t>Veltsos et al  2018</t>
  </si>
  <si>
    <t>SCAR</t>
  </si>
  <si>
    <t>Sequence Characterized Ampliﬁed Regions detected by RAPDs: 1562 bp fragment (named OPB01-1562) obtained with the primer OPB-01 and 303 bp fragment (named OPC07303) obtained with the primer OPC-07 are male speciﬁc.</t>
  </si>
  <si>
    <t>Khadka et al  2002</t>
  </si>
  <si>
    <t>A 771 bp fragment isolated from a diploid female, named fem771, was homologous to the 5 end of OPB01-1562</t>
  </si>
  <si>
    <t>Khadka et al  2005</t>
  </si>
  <si>
    <t>https://link.springer.com/article/10.1007/s00425-005-0046-6</t>
  </si>
  <si>
    <t>OPB01-1562 and OPC07-303</t>
  </si>
  <si>
    <t>DNA markers male-asociated</t>
  </si>
  <si>
    <t>Sex-biased genes</t>
  </si>
  <si>
    <t>AMS</t>
  </si>
  <si>
    <t>Aborted Microspores - gene that encodes a MYC class basic helix loop–helix (bHLH) transcription factor that is expressed specifically in the tapetum of A. thaliana anthers.</t>
  </si>
  <si>
    <t>AOMADS1 (AOM1)</t>
  </si>
  <si>
    <t>SEP-like gene, closely related to SEP3 from Arabidopsis, AOM1 is expressed not only in flower organs but also in inflorescence and flower meristems, does not seems to be involved in asparagus sex differentiation.</t>
  </si>
  <si>
    <t>Caporali et al 2000</t>
  </si>
  <si>
    <t>https://link.springer.com/article/10.1007/s004970000049</t>
  </si>
  <si>
    <t>AOMADS2 (AOM4)</t>
  </si>
  <si>
    <t>SEP-like gene, closely related to SEP3 from Arabidopsis.</t>
  </si>
  <si>
    <t>Kanno et al 2006</t>
  </si>
  <si>
    <t>https://link.springer.com/article/10.1007/s00497-006-0030-8</t>
  </si>
  <si>
    <t>AOMADS3</t>
  </si>
  <si>
    <t>SEP-like gene, far-related to SEP3.</t>
  </si>
  <si>
    <t>bHLH89</t>
  </si>
  <si>
    <t>Tapetum-related transcription factor, which has been shown to interact with AMS during anther development</t>
  </si>
  <si>
    <t>Genes involved in phenylpropanoid biosynthesis
pathway</t>
  </si>
  <si>
    <t>The general phenylpropanoid and flavonoid pathway is well described, and has been shown to affect pollen development and male sterility. Genes encoding these pathways showed differential expression between female and male individuals.</t>
  </si>
  <si>
    <t>MS2</t>
  </si>
  <si>
    <t>Male Sterility 2 (MS2) exhibits male-specific expression in A. officinalis, encoding a fatty acid reductase that is primarily expressed in the A. thaliana tapetum during pollen tetrad release.</t>
  </si>
  <si>
    <t>Ovule development genes</t>
  </si>
  <si>
    <t>A small number of asparagus transcripts with Arabidopsis homologs influencing ovule development exhibited female-biased expression relative to males or supermales.</t>
  </si>
  <si>
    <t>QRT1</t>
  </si>
  <si>
    <t>Pectinesterase expressed in Arabidopsis thaliana anthers shortly after microspore meiosis is completed. QRT1 is required for proper microspore separation.</t>
  </si>
  <si>
    <t>sex-biased sRNAs</t>
  </si>
  <si>
    <t>Comparisons of small RNA abundance between male and female vegetative and reproductive tissues in garden asparagus show differential sRNA patterns between sexes. (but none of the genes within the non-recombining region of the Y exhibit evidence of post-transcriptional regulation involving sRNAs).</t>
  </si>
  <si>
    <t>Around 16&gt;% of the genes expressed in flower buds are expressed differentially in males and females. Male-biased genes are more abundant than female biased genes. Sex-biased genes are found over the whole species genome. Sex-linked genes are enriched in the pool of sex-biased genes.</t>
  </si>
  <si>
    <t>Prentout et al 2020</t>
  </si>
  <si>
    <t>https://genome.cshlp.org/content/early/2020/02/05/gr.251207.119.full.pdf+html</t>
  </si>
  <si>
    <t xml:space="preserve">Transcription Factors </t>
  </si>
  <si>
    <t>Genes controlling the expression of transcription factors during gametophyte development. Several transcription factors are differentially expressed to form anteidiophore in male talus and archegoniophore in female talus.</t>
  </si>
  <si>
    <t>Flores-Sandoval et al  2018</t>
  </si>
  <si>
    <t>https://www.frontiersin.org/articles/10.3389/fpls.2018.01345/full</t>
  </si>
  <si>
    <t>Antheridium specific trascription factors</t>
  </si>
  <si>
    <t>Higo et al  2015</t>
  </si>
  <si>
    <t>https://academic.oup.com/pcp/article/57/2/325/2461069</t>
  </si>
  <si>
    <t>Antheridium-speciﬁc or -enriched genes for histones</t>
  </si>
  <si>
    <t>Mpduo1-1ko (Transcription Factor)</t>
  </si>
  <si>
    <t>Knockout male mutants in this gene produce a sterile phenotype, this does not occur in females.</t>
  </si>
  <si>
    <t>Higo et al  2018</t>
  </si>
  <si>
    <t>https://www.nature.com/articles/s41467-018-07728-3</t>
  </si>
  <si>
    <t>MpCLE1</t>
  </si>
  <si>
    <t>Negative regulator of gametangiophore development.</t>
  </si>
  <si>
    <t>Hirakawa et al  2019</t>
  </si>
  <si>
    <t>https://journals.plos.org/plosgenetics/article?id=10.1371/journal.pgen.1007997</t>
  </si>
  <si>
    <t>MpFGMYB</t>
  </si>
  <si>
    <t>MYB-type transcription factor expressed in females and silenced in males due to antisense RNA.</t>
  </si>
  <si>
    <t>Hisanaga et al  2019</t>
  </si>
  <si>
    <t>https://www.embopress.org/doi/full/10.15252/embj.2018100240</t>
  </si>
  <si>
    <t>Developmental genes</t>
  </si>
  <si>
    <t>Sex-biased gene expression in different developmental stages of both sexes; focused in flowered males.</t>
  </si>
  <si>
    <t>gene expression (GO:0010468) : protein binding : (GO:0005515) ; floral meristem determinacy (GO:0010582)</t>
  </si>
  <si>
    <t>Cossard et al  2019</t>
  </si>
  <si>
    <t>https://www.ncbi.nlm.nih.gov/pubmed/30289430</t>
  </si>
  <si>
    <t>Differential gender-speciﬁc-genes</t>
  </si>
  <si>
    <t>A total of 1385 male-biased genes (pollen tube, anther-wall tapetum, etc.) and 325 female-biased genes (seed maturation, meristem identity, etc) have been mapped</t>
  </si>
  <si>
    <t>Peroxidase gene</t>
  </si>
  <si>
    <t>Expression of a specific peroxidase during the development of stamens</t>
  </si>
  <si>
    <t>Boissay et al  1996</t>
  </si>
  <si>
    <t>https://onlinelibrary.wiley.com/doi/abs/10.1111/j.1399-3054.1996.tb00210.x</t>
  </si>
  <si>
    <t>Function of sex-biased genes</t>
  </si>
  <si>
    <t>Sex-biased expression mainly in floral tissue, almost nothing in leaf tissue. Female- biased genes associated with photosynthesis,male-biased genes with mitochondrial function. No elevated rates of protein evolution in sex-biased genes. Sex-biased expression probably due to energetic reasons associated with flowering.</t>
  </si>
  <si>
    <t>Sanderson et al 2019</t>
  </si>
  <si>
    <t>https://doi.org/10.1111/nph.15421</t>
  </si>
  <si>
    <t>ARR17</t>
  </si>
  <si>
    <t xml:space="preserve">Orthologue of Arabidopsis response regulator 17 (ARR17).  Type-A response regulator implicated
in the negative regulation of the plant hormone cytokinin. Regulation of hormone signaling pathways are crucial for the development of female/male patterns. Inverted repeats of this gene were found in the male-specific region on chr Y, producing small non-coding RNAs, which are affecting the expression of the actual ARR17, by producing male-specific methylation patterns (viz. Loci/sequence category). </t>
  </si>
  <si>
    <t>Orthologue of Arabidopsis response regulator 17 (ARR17).</t>
  </si>
  <si>
    <t>RAD1 and RAD2</t>
  </si>
  <si>
    <t>Both appear to represent DEFIClENS and APETALA3 homologs, and the deduced proteins show 86.2 and 82.8% amino acid similarity within the MADS box. The expression of RAD2 is very much weaker than RAD1 expression in both male and female flowers.</t>
  </si>
  <si>
    <t>Ainsworth et al 1995</t>
  </si>
  <si>
    <t>https://doi.org/10.1105/tpc.7.10.1583</t>
  </si>
  <si>
    <t>RAP1</t>
  </si>
  <si>
    <t>It is PLENA and AGAMOUS homolog. C-function organ-identity gene, expressed in the inner two whorls (stamen and carpel whorls) of young male and female floral primordia, but in older primordia expression was lost. Thus organ arrest was associated with the apparent switching off of the C gene. Whether the lack of C-gene expression is the cause of organ arrest, or a consequence of it, is not known.</t>
  </si>
  <si>
    <t>FEM32</t>
  </si>
  <si>
    <t>Flower-specific aerolysin-like protein, able to alter floral organ growth and pollen fertility.</t>
  </si>
  <si>
    <t>Manzano et al 2017</t>
  </si>
  <si>
    <t>https://doi.org/10.1111/tpj.13322</t>
  </si>
  <si>
    <t>SlSUP1</t>
  </si>
  <si>
    <t>Female sex specific, positive role in the female flower development.</t>
  </si>
  <si>
    <t>Kazama et al 2009</t>
  </si>
  <si>
    <t>https://doi.org/10.1093/pcp/pcp064</t>
  </si>
  <si>
    <t>SlSTM1, SlSTM2 and SlCUC</t>
  </si>
  <si>
    <t>Genes involved in male-specific meristem function.</t>
  </si>
  <si>
    <t>Zluvova et al 2006</t>
  </si>
  <si>
    <t>https://doi.org/10.1073/pnas.0606622103</t>
  </si>
  <si>
    <t>Men-1 to Men-8 sequences</t>
  </si>
  <si>
    <t>Male-specfic sequences.</t>
  </si>
  <si>
    <t>Scutt et al 1997b</t>
  </si>
  <si>
    <t>https://doi.org/10.1104/pp.114.3.969</t>
  </si>
  <si>
    <t>STA1</t>
  </si>
  <si>
    <t xml:space="preserve">Expressed in immature gynoecium primordia of male flowers. STA1 and TASSELSEED2 have similar DNA sequences, and encode similar protein sequences. </t>
  </si>
  <si>
    <t>Lebel‐Hardenack et al 1997</t>
  </si>
  <si>
    <t>https://doi.org/10.1046/j.1365-313X.1997.d01-4.x</t>
  </si>
  <si>
    <t>SlCLV1</t>
  </si>
  <si>
    <t>Orthologue of CLAVATA1, might also be engaged in carpel suppression.</t>
  </si>
  <si>
    <t>Koizumi et al 2010</t>
  </si>
  <si>
    <t>https://doi.org/10.1093/pcp/pcp187</t>
  </si>
  <si>
    <t>SlWUS1</t>
  </si>
  <si>
    <t>Is the homologue of WUSCHEL (SlWUS1) which has also been reported to contribute to meristem maintenance and anther development in Arabidopsis thaliana.</t>
  </si>
  <si>
    <t>Deyhle et al 2007</t>
  </si>
  <si>
    <t>https://doi.org/10.1016/j.ydbio.2006.09.013</t>
  </si>
  <si>
    <t>MROS1, MROS2, MROS4</t>
  </si>
  <si>
    <t xml:space="preserve">Autosomal copies of MROS genes.
</t>
  </si>
  <si>
    <t>Kejnovský et al 2001</t>
  </si>
  <si>
    <t>https://www.ncbi.nlm.nih.gov/pmc/articles/PMC1461734/</t>
  </si>
  <si>
    <t>Analysis of the DNA methylation patterns of the MROS1 gene, which is expressed in the late phases of pollen development in Silene latifolia.</t>
  </si>
  <si>
    <t>Janousek et al 2002</t>
  </si>
  <si>
    <t>https://doi.org/10.1139/G02-052</t>
  </si>
  <si>
    <t>CCLSl, 6, 30.2, 54 and 62</t>
  </si>
  <si>
    <t>Homologies with pathogen and wound (stress) response genes involved. Appear to be expressed in response to both developmental and environmental signals.</t>
  </si>
  <si>
    <t>Barbacar et al 1997</t>
  </si>
  <si>
    <t>https://doi.org/10.1046/j.1365-313X.1997.12040805.x</t>
  </si>
  <si>
    <t>CCLS30.3 and 65</t>
  </si>
  <si>
    <t>Potential cytoskeletal and nuclear integrity genes.</t>
  </si>
  <si>
    <t>CCLS30.1, 52, 57.05, 57.1 or 65</t>
  </si>
  <si>
    <t>Candidates for transcription factors and genes controlling cellular
interactions.</t>
  </si>
  <si>
    <t>CCLS4</t>
  </si>
  <si>
    <t>May fulfil different functions during pre- and post-meiotic anther development and reveal the complex role parietal cells may play during early stamen formation.</t>
  </si>
  <si>
    <t>Hinnisdaels et al 1997</t>
  </si>
  <si>
    <t>https://www.ncbi.nlm.nih.gov/pubmed/9426622</t>
  </si>
  <si>
    <t>SLM1, SLM2 and SLM3</t>
  </si>
  <si>
    <t>These are orthologs of AGAMOUS (AG), PISTILLATA (PI) and APETALA3 (AP3) , respectively, show different patterns of expression in male and female flower buds.
Three AP3 homologs, i.e. SLM3 in the eu-AP3 lineage and SlAP3A and SlAP3Y in the TM6 lineage, they are thought to be functionally differentiated.</t>
  </si>
  <si>
    <t>Kazama et al 2005</t>
  </si>
  <si>
    <t>https://doi.org/10.1093/pcp/pci080</t>
  </si>
  <si>
    <t>SLM4 and SLM5</t>
  </si>
  <si>
    <t>SLM4 and SLM5 were most similar to the early acting SQUAMOSA gene of snapdragon and the homologous APETALA1 gene of Arabidopsis; expressed in floral meristems as soon as they form on the flanks of the inflorescence meristem.</t>
  </si>
  <si>
    <t>Hardenack et al 1994</t>
  </si>
  <si>
    <t>https://doi.org/10.1105/tpc.6.12.1775</t>
  </si>
  <si>
    <t>SlZPT</t>
  </si>
  <si>
    <t>Zinc finger transcription factors, possible role for SlZPT2-1 in filament elongation and SlZPT4-1 in aspects of male fertility during stamen differentiation.</t>
  </si>
  <si>
    <t>Jenkins et al 2005</t>
  </si>
  <si>
    <t>https://doi.org/10.1007/s00425-004-1365-8</t>
  </si>
  <si>
    <t>Sex-linked genes</t>
  </si>
  <si>
    <t>AoMYB35</t>
  </si>
  <si>
    <t xml:space="preserve">Male-specific gene encoding a putative transcription factor that acts in tapetal cells at an early stage of flower development in A. officinalis. </t>
  </si>
  <si>
    <t>Putative ortholog of MYB35, which is indispensable for tapetal cell development in Arabidopsis thaliana.</t>
  </si>
  <si>
    <t>Tsugama et al 2017</t>
  </si>
  <si>
    <t>https://www.nature.com/articles/srep41497</t>
  </si>
  <si>
    <t>AP2</t>
  </si>
  <si>
    <t>Ethylene-responsive transcription factor.</t>
  </si>
  <si>
    <t>Multi-copy ethylene response gene with an APETALA 2 (AP2) domain</t>
  </si>
  <si>
    <t>aspTDF1</t>
  </si>
  <si>
    <t>Potential candidate for the recessive male-sterility locus in dioecious garden asparagus.</t>
  </si>
  <si>
    <t>Causes male sterility by affecting tapetum development in Arabidopsis thaliana anthers.</t>
  </si>
  <si>
    <t>Sex-linked region M (Y)</t>
  </si>
  <si>
    <t>Containing 13 genes on the 132 Mb Y chromosome.</t>
  </si>
  <si>
    <t>SOFF</t>
  </si>
  <si>
    <t>Supressor of female function.</t>
  </si>
  <si>
    <t>C1.A (218bp)</t>
  </si>
  <si>
    <t>Sex-associated expression genes in female apices. Involved in  phosphate metabolism.</t>
  </si>
  <si>
    <t>Acid phosphatase like protein</t>
  </si>
  <si>
    <t>Moliterni et al 2004</t>
  </si>
  <si>
    <t>https://link.springer.com/article/10.1007/s10681-004-4758-7</t>
  </si>
  <si>
    <t xml:space="preserve">C1.B (212bp) </t>
  </si>
  <si>
    <t>Sex-associated expression genes in female apices. Adds phosphate to proteins.</t>
  </si>
  <si>
    <t>ADP ribosilation factor/ Calcium dependent protein kinase</t>
  </si>
  <si>
    <t xml:space="preserve">C2.A (283bp) </t>
  </si>
  <si>
    <t>Sex-associated expression genes in female apices. Ubiquitin family.</t>
  </si>
  <si>
    <t>SMT3 ubiquitin protein (Ubiquitin like protein)</t>
  </si>
  <si>
    <t>The SMT3 protein belongs to the family of ubiquitins that are involved in the post-translational modification of the most plant’s proteins.</t>
  </si>
  <si>
    <t xml:space="preserve">C3.A (435bp) </t>
  </si>
  <si>
    <t>Sex-associated expression genes in female apices. Motor protein.</t>
  </si>
  <si>
    <t>Kinesin heavy chain</t>
  </si>
  <si>
    <t xml:space="preserve">C3.B (476bp) </t>
  </si>
  <si>
    <t>Sex-associated expression genes in female apices. Likely involved in ribosomal assembly</t>
  </si>
  <si>
    <t xml:space="preserve">Putative ribosomal protein  </t>
  </si>
  <si>
    <t xml:space="preserve">T1.A (106bp) </t>
  </si>
  <si>
    <t xml:space="preserve">PPA1 LYCES acid phosphatase precursor </t>
  </si>
  <si>
    <t xml:space="preserve">T2.A  </t>
  </si>
  <si>
    <t>Sex-associated expression genes in female apices. Protein membrane.</t>
  </si>
  <si>
    <t>Putative permease</t>
  </si>
  <si>
    <t>The permeases are a heterogeneous family of membrane’s proteins that mediate the ions or metabolites exchange between cells or within cell.</t>
  </si>
  <si>
    <t xml:space="preserve">T2.B (435bp)  </t>
  </si>
  <si>
    <t>Sex-associated expression genes in female apices. Activation of auxin induced genes.</t>
  </si>
  <si>
    <t>Rac-GTP binding protein like</t>
  </si>
  <si>
    <t>Rac-GTP binding proteins could be functional to the activation of auxin-induced genes, probably involved in the female sex differentiation.</t>
  </si>
  <si>
    <t>T2.C</t>
  </si>
  <si>
    <t>Sex-associated expression genes in female apices. Involved in ribosome assembly.</t>
  </si>
  <si>
    <t>Ribosomal protein</t>
  </si>
  <si>
    <t>565 sex-linked genes were found: 363 were mapped on chromosome 1, indicating this is the sex chromosome. Additional 192 sex-linked genes were mapped to other chromosomes. They also found gene density on the X chromosome is the same as on autosomes. They estimate that the age of C. sativa sex chromosomes ranges from ~12 My to ~29 My years. It has (nearly) homomorphic sex chromosomes with a large non-recombining region. The sex chromosome pair is the largest in the Cannabis sativa genome.</t>
  </si>
  <si>
    <t>Gene 1</t>
  </si>
  <si>
    <t>X allele encoded 684 amino acids in 19 exons, closest match is a protein kinase-like protein from At (AT5G14720).
The Y allele encoded 678 amino acids, with a deletion of six amino acid residues in exon 15 (truncated sequence LLNFTA).</t>
  </si>
  <si>
    <t>protein kinase-like protein</t>
  </si>
  <si>
    <t>X alleles of genes 1–3 in papaya were located on the X-specific BAC SH53E18, Y allele located on MSY BAC SH69A08 - 1.7 Mb away from BAC SH85B24.</t>
  </si>
  <si>
    <t>https://doi.org/10.1111/j.1365-313X.2007.03329.x</t>
  </si>
  <si>
    <t>Gene 2</t>
  </si>
  <si>
    <t>Phosphoglucosamine mutase (Medicago truncatula)</t>
  </si>
  <si>
    <t xml:space="preserve">X alleles of genes 1–3 in papaya were located on the X-specific BAC SH53E18, the Y allele of
gene 2 was on the Y-specific BAC SH85B24 </t>
  </si>
  <si>
    <t xml:space="preserve">Gene 3 </t>
  </si>
  <si>
    <t>Involved in symmetry</t>
  </si>
  <si>
    <t>Ortholog in Arabidopsis encodes ASYMMETRIC LEAVES 2</t>
  </si>
  <si>
    <t>X alleles of genes 1–3 in papaya were located on the X-specific BAC SH53E18, gene 3 was deleted from the MSY</t>
  </si>
  <si>
    <t>Gene 4</t>
  </si>
  <si>
    <t>SEC6 (Arabidopsis thaliana)</t>
  </si>
  <si>
    <t>Located on X/Y homologous BACs SH61H02 and SH95B12</t>
  </si>
  <si>
    <t>Gene 5</t>
  </si>
  <si>
    <t>Involved in embryogenesis</t>
  </si>
  <si>
    <t>Somatic embryogenesis receptor kinase 1 (Citrus unshiu)</t>
  </si>
  <si>
    <t>Located on X/Y homologous BACs SH61H02 and SH95B13</t>
  </si>
  <si>
    <t>Gene 6</t>
  </si>
  <si>
    <t>Hypothetical protein (Solanum tuberosum)</t>
  </si>
  <si>
    <t>Located on X/Y homologous BACs SH61H02 and SH95B14</t>
  </si>
  <si>
    <t xml:space="preserve">Gene 7 </t>
  </si>
  <si>
    <t>Nucleotide binding (Arabidopsis thaliana)</t>
  </si>
  <si>
    <t>CpDRT101X/Y</t>
  </si>
  <si>
    <t>DNA damage repair</t>
  </si>
  <si>
    <t>DNA damage-repair toleration</t>
  </si>
  <si>
    <t>Weingartner and Moore 2012</t>
  </si>
  <si>
    <t>https://academic.oup.com/mbe/article/29/12/3909/1010407</t>
  </si>
  <si>
    <t>CpSEC6X/Y</t>
  </si>
  <si>
    <t>CpSERK1X/Y</t>
  </si>
  <si>
    <t>Somatic embryogenesis receptor-like kinase 1 (SERK).  SERKs are a large family of highly conserved, leucine-rich repeat receptor-like kinases (LRR-LKs).</t>
  </si>
  <si>
    <t>Roles of SERKs - male sporogenesis, separation of floral organs, and embryo development are important for plant reproduction.</t>
  </si>
  <si>
    <t>Lee et al 2018</t>
  </si>
  <si>
    <t>https://doi.org/10.1371/journal.pone.0194605</t>
  </si>
  <si>
    <t>CpMDAR4X/Y</t>
  </si>
  <si>
    <t>Monodehydroascorbate reductase 4.</t>
  </si>
  <si>
    <t>66.104</t>
  </si>
  <si>
    <t>Homeostasis</t>
  </si>
  <si>
    <t>The putative ortholog of gene 66.104, forms haploid and binucleate cells 1D (FAB1D).</t>
  </si>
  <si>
    <t>FAB1D is a member of a small gene family of phosphatidylinositol 3,5-bisphosphate kinases that regulates endomembrane homeostasis that act redundantly and/or additively to regulate pollen development and male fertility.</t>
  </si>
  <si>
    <t>CpSVPL</t>
  </si>
  <si>
    <t>Regulates flowering</t>
  </si>
  <si>
    <t>Short vegetative phase-like</t>
  </si>
  <si>
    <t>SVP gene plays an important role in the response of plants to ambient temperatures with respect to regulating the flowering time and affects the development of the B and C models. SVP also controls the transition of plants from vegetative growth to reproductive growth.</t>
  </si>
  <si>
    <t>CpCAF1AL</t>
  </si>
  <si>
    <t>Epigenetic control</t>
  </si>
  <si>
    <t>The chromatin assembly factor 1 subunit A-like</t>
  </si>
  <si>
    <t>Regulates DNA methylation and RNA alternative splicing (AS).</t>
  </si>
  <si>
    <t>ARSFL007 and F.v.A108</t>
  </si>
  <si>
    <r>
      <rPr>
        <sz val="11"/>
        <color theme="1"/>
        <rFont val="Arial"/>
        <family val="2"/>
      </rPr>
      <t xml:space="preserve">Male sterility was linked to markers ARSFL007 and F.v.A108. There are differences in the position of these genes between the species </t>
    </r>
    <r>
      <rPr>
        <i/>
        <sz val="11"/>
        <color theme="1"/>
        <rFont val="Arial"/>
        <family val="2"/>
      </rPr>
      <t xml:space="preserve">F.virginiana </t>
    </r>
    <r>
      <rPr>
        <sz val="11"/>
        <color theme="1"/>
        <rFont val="Arial"/>
        <family val="2"/>
      </rPr>
      <t xml:space="preserve">and </t>
    </r>
    <r>
      <rPr>
        <i/>
        <sz val="11"/>
        <color theme="1"/>
        <rFont val="Arial"/>
        <family val="2"/>
      </rPr>
      <t>F. chiloensis</t>
    </r>
    <r>
      <rPr>
        <sz val="11"/>
        <color theme="1"/>
        <rFont val="Arial"/>
        <family val="2"/>
      </rPr>
      <t>.</t>
    </r>
  </si>
  <si>
    <t>GMEW and RPP0W</t>
  </si>
  <si>
    <t>Two coding genes, GMEW and RPP0W were identified in the SDR. GMEW homologs appear on the Z chromosome BACs and at Fvb6 (position 1 Mb). However, gene RPP0W falls in a 1.2kb W-specific insertion, showing a 99% of similiarty to a gene at Fvb7 (position 18 Mb), responsible for the female-specific 31-mers homologous to that location.</t>
  </si>
  <si>
    <t>GDP-mannose 3,5-epimerase 2 and 60S acidic ribosomal protein P0</t>
  </si>
  <si>
    <t>EMFv104</t>
  </si>
  <si>
    <t xml:space="preserve">A single major QTL for female function was linked to male function on VI.A. Also, a new QTL for female function was linked to EMFv104 on VI.B, clearly representing a new location relative to published maps, and coincides with the QTL for male sterility. </t>
  </si>
  <si>
    <t>The Marchantia U and V SDRs contain 75 and 99 total genes, respectively, including 20
gametologs that are expressed primarily in the vegetative phase and encode conserved green-
lineage proteins</t>
  </si>
  <si>
    <t>ORF162+other genes</t>
  </si>
  <si>
    <t>The V chromosome contains five genes (besides ORF162). The ORF162 is present in the repeat region specific of chromosome V. One of the genes is similar to a male gamete specific protein in lilies and is only expressed in male sex organs, which points to the function on the male reproductive system of this gene.</t>
  </si>
  <si>
    <t>Ishizaki et al 2002</t>
  </si>
  <si>
    <t>https://academic.oup.com/nar/article/30/21/4675/1105300</t>
  </si>
  <si>
    <t>Similarity searches against the public sequence databases and M. polymorpha ESTs detected 64 genes, 9 in YR1 (Y chromosome region 1) (V chromosome) and 55 in YR2 (Y cromosome region 2) (V chromosome) Genomic PCR and/or Southern blotting shows for 25 of the Y-chromosome genes similar sequences also in female DNA, while the remaining 39 genes appear to be present only in the male DNA. Fourteen genes, one in YR1 and 13 in YR2 (V chromosome), are unique to the male genome and in addition show sexual organ-specific expression. These genes are thus candidates for male reproductive functions.</t>
  </si>
  <si>
    <t>Ohyama et al 2009</t>
  </si>
  <si>
    <t>https://www.jstage.jst.go.jp/article/pjab/85/3/85_3_108/_pdf</t>
  </si>
  <si>
    <t>RING (ORF162)</t>
  </si>
  <si>
    <t>A novel Y (V) chromosome-specific gene family was found embedded among these repeat sequences.
This gene family encodes a putative protein with a RING finger motif and is expressed specifically in male sexual organs.</t>
  </si>
  <si>
    <t>Putative protein with a RING finger motif.</t>
  </si>
  <si>
    <t>Okada et al 2001</t>
  </si>
  <si>
    <t>https://onlinelibrary.wiley.com/doi/full/10.1046/j.1365-313x.2000.00882.x</t>
  </si>
  <si>
    <t>On the 10-Mb Y (V) chromosome, 64 genes are identified, 14 of which are detected only in the male genome and are expressed in reproductive organs but not in vegetative thalli, suggesting their participation in male reproductive functions. Another 40 genes on the Y (V) chromosome are expressed in thalli and male sexual organs. At least six of these genes have diverged X-linked (U) counterparts that are in turn expressed in thalli and sexual organs in female plants, suggesting that these X- (U) and Y- (V) linked genes have essential cellular functions.</t>
  </si>
  <si>
    <t>Yamato et al  2007</t>
  </si>
  <si>
    <t>https://www.pnas.org/content/pnas/104/15/6472.full.pdf</t>
  </si>
  <si>
    <t xml:space="preserve">The long established V chromosome carries genes of which only half have putative homologues on the U chromosome and those that do have homologs show signs of 6–30% divergence </t>
  </si>
  <si>
    <t>Y chromosome genes expressed in antheridium, including homologues of mammalian genes for flagela development.</t>
  </si>
  <si>
    <t>48 protein homologies. Extended data can be found in suplementary data file S6 of the source paper (Higo et al. 2015)</t>
  </si>
  <si>
    <t>EST (expressed sequence tag) M01-017</t>
  </si>
  <si>
    <t>Sex-linked to male individuals.</t>
  </si>
  <si>
    <t>Similar to Transformer-2 (tra2) protein of Drosophila melanogaster, involved in gene determination.</t>
  </si>
  <si>
    <t>Nishiyama et al 2000</t>
  </si>
  <si>
    <t>https://academic.oup.com/dnaresearch/article/7/3/165/343815</t>
  </si>
  <si>
    <t>EST (expressed sequence tag) M01-E030</t>
  </si>
  <si>
    <t>Similar to Vitellogenin,  a female-specific lipoprotein of iguana, with a estrogenic function and involved in the development of vitellus.</t>
  </si>
  <si>
    <t>Numerous candidate transcripts to be associated with the region of sex determination, with different functions in development (transcriptome data and annotation in the supplementary material).</t>
  </si>
  <si>
    <t>SEPALATA1 (AT5G15800), SEPALATA 3 (AT1G24260) and SHP2/AGL5 (ATG42830)</t>
  </si>
  <si>
    <t xml:space="preserve">Different genes are expressed in male and female plants. Study of the changes induced in male via cytokinine treatment </t>
  </si>
  <si>
    <t>Kadhka et al  2019</t>
  </si>
  <si>
    <t>https://academic.oup.com/jxb/article/70/21/6245/5555983</t>
  </si>
  <si>
    <t>PbRR9</t>
  </si>
  <si>
    <r>
      <rPr>
        <sz val="11"/>
        <color theme="1"/>
        <rFont val="Arial"/>
        <family val="2"/>
      </rPr>
      <t xml:space="preserve">Gene present within SDR. Thought to be a master regulator of sex determination in </t>
    </r>
    <r>
      <rPr>
        <i/>
        <sz val="11"/>
        <color theme="1"/>
        <rFont val="Arial"/>
        <family val="2"/>
      </rPr>
      <t>P. balsamifera</t>
    </r>
    <r>
      <rPr>
        <sz val="11"/>
        <color theme="1"/>
        <rFont val="Arial"/>
        <family val="2"/>
      </rPr>
      <t>. Sex-biased expression in floral tissues.</t>
    </r>
  </si>
  <si>
    <t xml:space="preserve">Homolog of AAR16 (AT2G40670.1) in Arabidopsis (AT3G56380.1), where it has the function of the phosphorylation signal transduction system. </t>
  </si>
  <si>
    <t>elevated expression in stamens compared to carpels (Arabidopsis)</t>
  </si>
  <si>
    <r>
      <rPr>
        <sz val="11"/>
        <color theme="1"/>
        <rFont val="Arial"/>
        <family val="2"/>
      </rPr>
      <t xml:space="preserve">Gene present within SDR. Thought to be a master regulator of sex determination in </t>
    </r>
    <r>
      <rPr>
        <i/>
        <sz val="11"/>
        <color theme="1"/>
        <rFont val="Arial"/>
        <family val="2"/>
      </rPr>
      <t>P. balsamifera</t>
    </r>
    <r>
      <rPr>
        <sz val="11"/>
        <color theme="1"/>
        <rFont val="Arial"/>
        <family val="2"/>
      </rPr>
      <t>. Sex-biased expression in floral tissues.</t>
    </r>
  </si>
  <si>
    <t>Differential methylation, mainly male-biased, in the promoter and the first intron. PbRR9 could be a direct, epigenetically mediated, player in poplar sex determination.</t>
  </si>
  <si>
    <t>http://dx.doi.org/10.1038/srep45388</t>
  </si>
  <si>
    <t>PbCLCc</t>
  </si>
  <si>
    <t>Gene present within SDR. Sex-biased expression in floral tissues.</t>
  </si>
  <si>
    <t>Homolog of Arabidopsis AtCLCc (At5G49890.1) - chloride channel gene, which is important for nitrate accumulation and pH adjustment in intracellular organelles.</t>
  </si>
  <si>
    <t>Strong expression in guard cells and pollen (Arabidopsis).
Chloride transport is important in pollen germination and growth.</t>
  </si>
  <si>
    <t>PbTCP-1</t>
  </si>
  <si>
    <t>It is a homolog of a TCP-1.cpn60 chaperonin family protein in Arabidopsis (At5 g26360.1)</t>
  </si>
  <si>
    <t>the lowest expression in stamens and pollen (Arabidopsis)</t>
  </si>
  <si>
    <t>Potri.019G047300 (TOZ19)</t>
  </si>
  <si>
    <t>This gene is male-specific. The authors describe a simple PCR-based marker to determine sex in Populus.In P. tremuloides the gene is missing in females, but a short fragment is present in P. tremula females. This gene is probably related with early stepds of flower development.</t>
  </si>
  <si>
    <t>Pakull et al 2015</t>
  </si>
  <si>
    <t>https://onlinelibrary.wiley.com/doi/epdf/10.1111/plb.12217</t>
  </si>
  <si>
    <t>R-gene clusters: NBS-LRR</t>
  </si>
  <si>
    <t>Resistance (R) genes that incorporate nucleotide binding sites and leucine-rich repeat domains (NBS-LRR). The cluster in chromosome 19 presents levels of genetic variability comparable to other chromosomes. The evolution of the R-genes in chromosome 19 may be linked to the evolution of sex determination, that is, resistance and sex determination co-evolved in this chromosome region.</t>
  </si>
  <si>
    <t>POPTR_0019s02280; POPTR_0019s00820; POPTR_0019s01080; POPTR_0019s00970; POPTR_0019s01010</t>
  </si>
  <si>
    <t>5 novel miRNAs and 33 targets genes were located on chromosome XIX, indicating that these miRNAs might be involved in sex determination of poplar. The annotated results revealed that over one-third of targets were annotated as disease resistance genes</t>
  </si>
  <si>
    <t>member of Myosin-like proteins;
ENTH/VHS/GAT family protein;
NB-ARC domain-containing disease resistance protein;
negative regulation of catalytic activity, proteolysis;
NB-ARC domain-containing disease resistance protein</t>
  </si>
  <si>
    <t>Song et al 2013</t>
  </si>
  <si>
    <t>https://doi.org/10.1371/journal.pone.0062681</t>
  </si>
  <si>
    <t>METHYLTRANSFERASE 1 (MET1) and DECREASED DNA METHYLATION (DDM1)</t>
  </si>
  <si>
    <r>
      <rPr>
        <sz val="11"/>
        <color theme="1"/>
        <rFont val="Arial"/>
        <family val="2"/>
      </rPr>
      <t xml:space="preserve">Genes related with DNA methylation, found in the SDR of chromosome 19, are differently expressed in male or female flowers, producing different methylation levels in male and female flowers. Study was done on andromonoecious line of </t>
    </r>
    <r>
      <rPr>
        <i/>
        <sz val="11"/>
        <color theme="1"/>
        <rFont val="Arial"/>
        <family val="2"/>
      </rPr>
      <t>P. tomentosa</t>
    </r>
  </si>
  <si>
    <t>BPCA90</t>
  </si>
  <si>
    <t>Marker with paternal alleles that shows an inheritance from the father in a 100% sex-linked way.</t>
  </si>
  <si>
    <t>BPTGG82</t>
  </si>
  <si>
    <t>BPTTG60</t>
  </si>
  <si>
    <t>Transcription factors and other genes involved in flower development</t>
  </si>
  <si>
    <t>The sex determining region (SDR), corresponding to about 2 Mbp long  region in P. trichocarpa (pseudoautosomal), comprising 65 gene loci, including three putative transcription factors and four genes related to flower development</t>
  </si>
  <si>
    <t>Populus x sibirica</t>
  </si>
  <si>
    <t xml:space="preserve">METHYLTRANSFERASE 1 (MET1) </t>
  </si>
  <si>
    <t>Localized in a sex-linked region; containing some sex-associated SNP (from 80 to 179). 11 sex-specific SNP, present in all males but absent in all females.</t>
  </si>
  <si>
    <t>Melnikova et al 2019</t>
  </si>
  <si>
    <t>https://www.sciencedirect.com/science/article/pii/S0300908419300872</t>
  </si>
  <si>
    <t>Homolog of ARABIDOPSIS RESPONSE REGULATOR 17 (ARR17)</t>
  </si>
  <si>
    <t>Localized in a sex-linked region; containing some sex-associated SNP (from 16 to 49). 6 sex-specific SNP, present in all males but absent in all females.</t>
  </si>
  <si>
    <t>SIAP3Y</t>
  </si>
  <si>
    <t>MADS box genes encode transcription factors that share a common DNA-binding domain and represent regulatory genes in plant development.</t>
  </si>
  <si>
    <t>MADS box gene</t>
  </si>
  <si>
    <t>Has no X-linked homologs, only an autosomal paralog, SlAP3A, possible X linkage.</t>
  </si>
  <si>
    <t>Penny et al 2011</t>
  </si>
  <si>
    <t>https://doi.org/10.1371/journal.pone.0018972</t>
  </si>
  <si>
    <t>DD44Y/X</t>
  </si>
  <si>
    <t>Housekeeping gene, homologous to the oliogmycin sensitivity-conferring protein (OSCP), essential part of the mitochondrial ATP synthase. It is necessary for oxidative phosphorylation and essential for proper growth and development.</t>
  </si>
  <si>
    <t>Homologous to the oligomycin sensitivity-conferring protein, component of the mitochondrial ATP synthase</t>
  </si>
  <si>
    <t>Moore et al 2003</t>
  </si>
  <si>
    <t>http://www.genetics.org/content/163/1/321.long</t>
  </si>
  <si>
    <t>SlX1/SlY1</t>
  </si>
  <si>
    <t>Included in variety of processes such as regulation of transcription, control of cell growth and differentiation, and chromatin structure.</t>
  </si>
  <si>
    <t>WD-repeat family of proteins</t>
  </si>
  <si>
    <t>Much lower nucleotide polymorphism in a Y-linked gene (SlY1) of the plant Silene latifolia than in the homologous X-linked gene (SlX1).SlY1 is 20 times less polymorphic than SlX1.</t>
  </si>
  <si>
    <t>Delichère et al 1999</t>
  </si>
  <si>
    <t>https://doi.org/10.1093/emboj/18.15.4169</t>
  </si>
  <si>
    <t>Monéger 2001</t>
  </si>
  <si>
    <t>https://doi.org/10.1016/S0764-4469(01)01322-1</t>
  </si>
  <si>
    <t>Filatov et al 2001</t>
  </si>
  <si>
    <t>https://doi.org/10.1093/oxfordjournals.molbev.a003930</t>
  </si>
  <si>
    <t>SlX3/SlY3</t>
  </si>
  <si>
    <t>CDPKs are associated with various kinds of stress responses.</t>
  </si>
  <si>
    <t>Protein sequence similar to calcium-dependent protein kinases (CDPKs) from tobacco, rice, and A. thaliana.</t>
  </si>
  <si>
    <t>https://doi.org/10.1371/journal.pbio.0030004</t>
  </si>
  <si>
    <t>SlX4/SlY4</t>
  </si>
  <si>
    <t xml:space="preserve">Probably involved in carbohydrate metabolism. </t>
  </si>
  <si>
    <t>Potentially encode fructose-2,6-bisphosphatases</t>
  </si>
  <si>
    <t>Atanassov et al 2001</t>
  </si>
  <si>
    <t>https://doi.org/10.1093/oxfordjournals.molbev.a003762</t>
  </si>
  <si>
    <t>SlX6a/SlY6a; SlX6b/SlY6b</t>
  </si>
  <si>
    <t>39% amino acid identity with an At unknown protein (AT2G34570)</t>
  </si>
  <si>
    <t>Each gene pair (a, b) stopped recombining at different times.</t>
  </si>
  <si>
    <t>Bergero et al 2007</t>
  </si>
  <si>
    <t>https://doi.org/10.1534/genetics.106.070110</t>
  </si>
  <si>
    <t>SlX7/SlY7</t>
  </si>
  <si>
    <t>75% amino acid identity with an A. thaliana unknown protein (locus AT5G48020)</t>
  </si>
  <si>
    <t>SlX9/SlY9</t>
  </si>
  <si>
    <t>Similarity to the photosystem I subunit of A. thaliana (At1g08380)</t>
  </si>
  <si>
    <t>close to SlCypX/SlCypY.</t>
  </si>
  <si>
    <t>https://doi.org/10.1038/hdy.2010.76</t>
  </si>
  <si>
    <t>SlCypX/SlCypY</t>
  </si>
  <si>
    <t>80% amino acid identity to the A. thaliana peptidyl-prolyl cis-trans isomerase locus.</t>
  </si>
  <si>
    <t>SlCytX/Y</t>
  </si>
  <si>
    <t>Encodes a cytochrome B protein.</t>
  </si>
  <si>
    <t>Recently translocated from an autosome and inserted close to the PAR of the X chromosome.</t>
  </si>
  <si>
    <t>Kaiser et al 2009</t>
  </si>
  <si>
    <t>https://doi.org/10.1093/molbev/msp141</t>
  </si>
  <si>
    <t>SlMF1</t>
  </si>
  <si>
    <t>Specifically expressed in stamens and petals.</t>
  </si>
  <si>
    <t xml:space="preserve">
Longest ORF encoded a 50-amino acid protein that did not show significant homology with other reported proteins.</t>
  </si>
  <si>
    <t>Multicopy gene with homologous sequences on autosomes and the X and Y chromosomes.</t>
  </si>
  <si>
    <t>Matsunaga et al 2005</t>
  </si>
  <si>
    <t>https://doi.org/10.1266/ggs.80.395</t>
  </si>
  <si>
    <t>MROS3</t>
  </si>
  <si>
    <t>Its expression is limited to the developing male flower tissue. MROS3 is a member of low-copy gene family, connected with the proper pollen development, which is present not only in dioecious but also in other dicot plant species.</t>
  </si>
  <si>
    <t>Protein with no similarity to known proteins.</t>
  </si>
  <si>
    <t>Linked to the X chromosome in the dioecious plant Silene latifolia (in at least two copies tandemly arranged), and that it has a degenerate homologue in the non-pairing region of the Y chromosome. MROS1, 2 and 4 are located on the autosomes.</t>
  </si>
  <si>
    <t>Matsunaga et al 1997</t>
  </si>
  <si>
    <t>https://doi.org/10.1093/oxfordjournals.pcp.a029196</t>
  </si>
  <si>
    <t>Guttman et al 1998</t>
  </si>
  <si>
    <t>https://www.nature.com/articles/30492</t>
  </si>
  <si>
    <t>http://www.genetics.org/content/158/3/1269</t>
  </si>
  <si>
    <t>https://www.ncbi.nlm.nih.gov/pubmed/9177037</t>
  </si>
  <si>
    <t>Matsunaga et al 1996</t>
  </si>
  <si>
    <t>https://www.ncbi.nlm.nih.gov/pubmed/8893544</t>
  </si>
  <si>
    <t>Slss</t>
  </si>
  <si>
    <t>Strong homology to spermidine synthase genes of other species.</t>
  </si>
  <si>
    <t>Filatov 2004</t>
  </si>
  <si>
    <t>https://doi.org/10.1093/molbev/msi003</t>
  </si>
  <si>
    <t>Y-linked copy of this gene has
apparently lost its function.</t>
  </si>
  <si>
    <t>Filatov 2008</t>
  </si>
  <si>
    <t>https://doi.org/10.1017/S0016672307009056</t>
  </si>
  <si>
    <t>SlWUS</t>
  </si>
  <si>
    <t>It has been reported to contribute to meristem maintenance and anther development in Arabidopsis thaliana.</t>
  </si>
  <si>
    <t>Homologue of WUSCHEL in Arabidopsis thaliana.</t>
  </si>
  <si>
    <t>There are two copies of SlWUS in S. latifolia (SlWUS1 and SlWUS2), one located on the X chromosome with no homologous copy on the Y chromosome</t>
  </si>
  <si>
    <t>Kazama et al 2012</t>
  </si>
  <si>
    <t>https://doi.org/10.1534/g3.112.003749</t>
  </si>
  <si>
    <t>RING</t>
  </si>
  <si>
    <t>Flanking the region of satellite DNA.</t>
  </si>
  <si>
    <t>Zinc finger homologue (Oryza sativa) and putative protein (At)</t>
  </si>
  <si>
    <t>Homologous for Xq arm and chromosome 7</t>
  </si>
  <si>
    <t>Ishii et al 2010</t>
  </si>
  <si>
    <t>https://doi.org/10.1139/g10-008</t>
  </si>
  <si>
    <t>Sex-linked sequences</t>
  </si>
  <si>
    <t>OPJ9</t>
  </si>
  <si>
    <t>The RAPD primer OPJ9 (5'-TGAGCCTCAC-3') amplified a relatively weak male-specific fragment of 1.2 kb. Also, there were found three molecular markers (with RAPD) suitable for rapid identification of the sex in hop plants (it is a male specific marker, located on the Y chromosome, only transmitted from male to male).</t>
  </si>
  <si>
    <t>Tandemly repeated sequences</t>
  </si>
  <si>
    <t xml:space="preserve">CS-1 </t>
  </si>
  <si>
    <t>Y chromosome has CS-1 repeats at the end of only one chromosome arm. In X chromosome was the presence of CS-1 at terminal positions on both arms.</t>
  </si>
  <si>
    <t>HSY-R29 and HSY-R162</t>
  </si>
  <si>
    <t>HSY-specific repeats, many HSY-R29 flanking sequences (~500 bp) showed similarity to chloroplast DNA of papaya and other plant species.</t>
  </si>
  <si>
    <t>Na et al 2014</t>
  </si>
  <si>
    <t>https://doi.org/10.1186/1471-2164-15-335</t>
  </si>
  <si>
    <t>X-R55</t>
  </si>
  <si>
    <t>X-specific repeat, the tandem duplication of X-R55 was quite similar to the ZNF91 subfamily of primate-specific zinc finger genes, consisting of large gene clusters with some dysfunctional copies.</t>
  </si>
  <si>
    <t>cp-derived DNA</t>
  </si>
  <si>
    <t>Papaya HSY and MSY in the absence of recombination have accumulated nearly
12 times the amount of chloroplast-derived DNA than the corresponding region of the X chromosome and 4 times the papaya genome-wide average.</t>
  </si>
  <si>
    <t xml:space="preserve">VanBuren and Ming 2013 </t>
  </si>
  <si>
    <t>https://link.springer.com/article/10.1007%2Fs00438-013-0747-7</t>
  </si>
  <si>
    <t>rsp15</t>
  </si>
  <si>
    <t>The rsp15 fragment is likely integrated from the chloroplast to the protoY in proximity to an active Ty3-gypsy retrotransposon.
Chloroplast genome fragment containing the rsp15 gene has been amplified 23 times in the HSY, evidence of retrotransposon-mediated duplication.</t>
  </si>
  <si>
    <t>mt-derived DNA</t>
  </si>
  <si>
    <t>Mitochondria-derived sequences are less abundant in the X and HSY compared to the whole genome.</t>
  </si>
  <si>
    <t>gene04153</t>
  </si>
  <si>
    <t>Gene similar to a F-box/LRR-repeat required for pollen mitosis II. Putatively involved in male sterility.</t>
  </si>
  <si>
    <t xml:space="preserve">The short arm of the X - chromosome displayed a specific interstitial DAPI signal. This might be caused by tandem repeats of DNA rich in AT monomers. The Y-chromosome was the smallest one of the karyotype and it did not show any DAPI band nor FISH signal.  </t>
  </si>
  <si>
    <t>Karlov et al 2003</t>
  </si>
  <si>
    <t>https://doi.org/10.1023/A:1024646818324</t>
  </si>
  <si>
    <r>
      <rPr>
        <sz val="11"/>
        <color theme="1"/>
        <rFont val="Arial"/>
        <family val="2"/>
      </rPr>
      <t xml:space="preserve">Using STS analyses and RAPD, it appears that there are differences in the distribution and proportion of simple repetitive elements in the Y chromosome between </t>
    </r>
    <r>
      <rPr>
        <i/>
        <sz val="11"/>
        <color theme="1"/>
        <rFont val="Arial"/>
        <family val="2"/>
      </rPr>
      <t>H. lupulus</t>
    </r>
    <r>
      <rPr>
        <sz val="11"/>
        <color theme="1"/>
        <rFont val="Arial"/>
        <family val="2"/>
      </rPr>
      <t xml:space="preserve"> from North America and Europe. Markers using these approachs shows that exists differences in the molecular structure of this male sex chromosome between both regions.</t>
    </r>
  </si>
  <si>
    <t>HSR1</t>
  </si>
  <si>
    <t xml:space="preserve">HSR1 is a satellite region of 380 bp. It is a telomere-associated repeat (checked with BLAST), with a motive in the 124-134 bp position. The HSR1 repeat has shown subtelomeric location on autosomes with the same intensity of the signal. The signal has been present in the subtelomeric region of the long arm and in the near-centromeric region but absent in the telomeric region of the short arm of the X chromosome. At the same time the signal has been found in the telomeric region only of the long arm of the Y chromosome. This finding indicates that the sex chromosomes of hop have evolved from a pair of autosomes via ancient translocation or inversion. 
</t>
  </si>
  <si>
    <t>There is a region about 4 Mb of low complexity repeats in males in the V chromosome. The U chromosome has a larger repeat region, in which rDNA repeats probably take part.</t>
  </si>
  <si>
    <t>5S rRNA gene (fragment rbf62)</t>
  </si>
  <si>
    <t>There is a fragment in the U chromosome (rbf62) which holds a 5S rRNA gene</t>
  </si>
  <si>
    <t>https://www.genetics.org/content/159/3/981</t>
  </si>
  <si>
    <t>rRNA genes</t>
  </si>
  <si>
    <t>There are sequences of rDNA (5S, 17S, 5.8S and 26S) with more than 99% identity between the U chromosome an the autosomal rDNA repeat units, although the IGS (intergenic spacer) are considerably different.</t>
  </si>
  <si>
    <t>https://link.springer.com/content/pdf/10.1023/A:1025941206391.pdf</t>
  </si>
  <si>
    <t>There are specific heterochromatic tandem repeats in a quarter of the length of the V chromosome. These are organized in a mosaic-like structure of nested repeats, including various levels of repeats and subrepeats.</t>
  </si>
  <si>
    <t>https://www.karger.com/Article/Abstract/121075</t>
  </si>
  <si>
    <t>17S rDNA</t>
  </si>
  <si>
    <t>The U chromosome contains sequences of 17S rDNA</t>
  </si>
  <si>
    <t>Nakayama et al 2001</t>
  </si>
  <si>
    <t>https://link.springer.com/content/pdf/10.1023/A:1011676328165.pdf</t>
  </si>
  <si>
    <t>Several chromosome-specific sequence elements of 70 to 400 nt are combined into larger arrangements, which in turn are assembled into extensive Y (V) chromosome-specific stretches.</t>
  </si>
  <si>
    <t>5S and 17S rDNA</t>
  </si>
  <si>
    <t>Diversity of the FISH rDNA patterns between female and male.</t>
  </si>
  <si>
    <t>Hur et al 2004</t>
  </si>
  <si>
    <t>https://www.researchgate.net/publication/287851210_Variability_of_rDNA_loci_in_dioecious_Rumex_acetosa_L_detected_by_fluorescence_in_situ_hybridization</t>
  </si>
  <si>
    <t>RAYS I</t>
  </si>
  <si>
    <t>CL30 - was localized in four loci on each arm of the Y1 chromosome and in two large loci at the p arm and two minor loci on the q arm of the Y2 chromosome.</t>
  </si>
  <si>
    <t>Shibata et al 1999</t>
  </si>
  <si>
    <t>https://doi.org/10.1007/s004120050377</t>
  </si>
  <si>
    <t>Steflova et al 2013</t>
  </si>
  <si>
    <t>https://doi.org/10.1093/gbe/evt049</t>
  </si>
  <si>
    <t>Shibata et al 2000b</t>
  </si>
  <si>
    <t>https://link.springer.com/article/10.1023/A:1009252913344</t>
  </si>
  <si>
    <t>R. acetosa and R. intermedius have two subfamilies (the RAYSI-S and RAYSI-J subfamilies and the INT-A and INT-B subfamilies, respectively),</t>
  </si>
  <si>
    <t>https://doi.org/10.1016/j.gene.2005.10.013</t>
  </si>
  <si>
    <t>RAYS II</t>
  </si>
  <si>
    <t>CL221 - was present on the Y1 chromosome but was absent on the Y2 chromosome.</t>
  </si>
  <si>
    <t>Mariotti et al 2009</t>
  </si>
  <si>
    <t>https://doi.org/10.1007/s00438-008-0405-7</t>
  </si>
  <si>
    <t>RAYS III</t>
  </si>
  <si>
    <t>CL109, CL126, and CL158 - was found in four strong loci on the Y2 chromosome and three minor loci on the Y1 chromosome.</t>
  </si>
  <si>
    <t>RAE180</t>
  </si>
  <si>
    <t>Satellite representing 2.72% of the male genome. More abundant in males because of accumulation on both Y chromosomes. CL32 and CL73 - was found in many loci on both Y chromosomes and on almost all autosomes and the X chromosome.</t>
  </si>
  <si>
    <t>Navajas-Pérez et al 2005</t>
  </si>
  <si>
    <t>https://doi.org/10.1007/s00239-004-0199-0</t>
  </si>
  <si>
    <t>RAE 730</t>
  </si>
  <si>
    <t>730 bp and AT-rich (71% AT-content)
Present as a strong signal on one autosomal pair and as a minor signal on both arms of the Y1 chromosome.</t>
  </si>
  <si>
    <t>Shibata et al 2000a</t>
  </si>
  <si>
    <t>https://www.ncbi.nlm.nih.gov/pubmed/10791829</t>
  </si>
  <si>
    <t>RA160</t>
  </si>
  <si>
    <t>Satellite dominating on the X chromosome. gave two strong and one weak signals on the p arm and two minor signals on the q arm of the X, weaker signal on both arms of the Y1 chromosomes, three minor signals on the q arm of the Y2 chromosome, and minor signals on two autosomal pairs.</t>
  </si>
  <si>
    <t>RA690</t>
  </si>
  <si>
    <t>Localized mostly on the Y1 chromosome.One minor signal was present on the q arm of the Y2 chromosome, in the centromere of the X chromosome, and on two autosomal pairs.</t>
  </si>
  <si>
    <t>rDNA</t>
  </si>
  <si>
    <t>The unexpected difference in proportion of rDNA in male (0.18%) and female (0.21%) was probably caused by higher sensitivity of GC-rich sequences (such as rDNA)</t>
  </si>
  <si>
    <t>DOP-20</t>
  </si>
  <si>
    <t>Repetitive DNA sequence isolated from the microdissection of sex chromosomes. Did not show no homology with other sequences in databases.</t>
  </si>
  <si>
    <t>Mariotti et al 2006</t>
  </si>
  <si>
    <t>https://doi.org/10.1139/G05-089</t>
  </si>
  <si>
    <t>RAY-1.5</t>
  </si>
  <si>
    <t>R. acetosa Y-chromosome enriched 1.5 kb long sequence. RAPD-isolated male-specific sequence.</t>
  </si>
  <si>
    <t>Park et al 2004</t>
  </si>
  <si>
    <t>https://www.researchgate.net/publication/286981393_Identification_of_a_long_Y-chromosome_enriched_repetitive_sequence_in_Rumex_acetosa_L</t>
  </si>
  <si>
    <t>TRAYC</t>
  </si>
  <si>
    <t>Satellite DNA - highly abundant in the non-recombining centromeric and pericentromeric region of the Y.</t>
  </si>
  <si>
    <t>Hobza et al 2006a</t>
  </si>
  <si>
    <t>https://doi.org/10.1007/s00412-006-0065-5</t>
  </si>
  <si>
    <t>SacI (family)</t>
  </si>
  <si>
    <t>Family of satellite DNA sequences on subtelomeric positions of sex chromosomes.</t>
  </si>
  <si>
    <t>Garrido-Ramos et al 1999</t>
  </si>
  <si>
    <t>https://www.researchgate.net/publication/292328703_A_subtelomeric_satellite_DNA_family_isolated_from_the_genome_of_the_dioecious_plant_Silene_latifolia</t>
  </si>
  <si>
    <t>X43.1</t>
  </si>
  <si>
    <t>Member of SacI family. Structure creating junctions between telomeres and a major subtelomeric repeat. Located at both ends of six pairs of autosomes and the X chromosome, and at one end of four pairs of autosomes and the Y chromosome + sequences X-3, X-41 and X-36.</t>
  </si>
  <si>
    <t>Sykorova et al 2003</t>
  </si>
  <si>
    <t>https://www.researchgate.net/publication/10787588_Characterization_of_telomere-subtelomere_junctions_in_Silene_latifolia</t>
  </si>
  <si>
    <t>RMY1</t>
  </si>
  <si>
    <t>Subtelomeric repetitive sequence. Detected at both ends of the X chromosome and at one end near the pseudoautosomal region of the Y chromosome. high similarityto X-43.1, identical localization. Homology to rDNA genes.</t>
  </si>
  <si>
    <t>Matsunaga et al 1999</t>
  </si>
  <si>
    <t>https://www.ncbi.nlm.nih.gov/pubmed/10189703</t>
  </si>
  <si>
    <t>KpnI</t>
  </si>
  <si>
    <t>Family of satellite DNA on the distal ends of chromosomes. (“Sl-distal-satDNA”).</t>
  </si>
  <si>
    <t>Kazama et al 2003</t>
  </si>
  <si>
    <t>https://doi.org/10.1007/s10265-003-0106-6</t>
  </si>
  <si>
    <t>ITR</t>
  </si>
  <si>
    <t xml:space="preserve">Interstitial telomere-like repeats; ITRs and ITR-adjacent sequences (IASs). </t>
  </si>
  <si>
    <t>Uchida et al 2002</t>
  </si>
  <si>
    <t>https://doi.org/10.1007/s00412-002-0213-5</t>
  </si>
  <si>
    <t>YG6, XG2, and YC7</t>
  </si>
  <si>
    <t>Repeat sequences common for X, Y and A.</t>
  </si>
  <si>
    <t>Scutt et al 1997a</t>
  </si>
  <si>
    <t>https://doi.org/10.1139/g97-793</t>
  </si>
  <si>
    <t>STAR-C</t>
  </si>
  <si>
    <t>Centromeric satellite.</t>
  </si>
  <si>
    <t>Cermak et al 2008</t>
  </si>
  <si>
    <t>https://doi.org/10.1007/s10577-008-1254-2</t>
  </si>
  <si>
    <t>STAR-Y</t>
  </si>
  <si>
    <t>Tandem repeat, carrying a small deletion, specifically localized on the q-arm of the Y chromosome.</t>
  </si>
  <si>
    <t>TR1</t>
  </si>
  <si>
    <t>Tandem repeat with monomer length of 53 bp. Localized in 45S rDNA loci.</t>
  </si>
  <si>
    <t>Microsatellites</t>
  </si>
  <si>
    <t>Majority of microsatellites are accumulated on the q arm of the Y chromosome.</t>
  </si>
  <si>
    <t>Kubat et al 2008</t>
  </si>
  <si>
    <t>https://doi.org/10.1139/G08-024</t>
  </si>
  <si>
    <t>Transposable elements</t>
  </si>
  <si>
    <r>
      <rPr>
        <sz val="11"/>
        <color theme="1"/>
        <rFont val="Arial"/>
        <family val="2"/>
      </rPr>
      <t>DNA transposons</t>
    </r>
    <r>
      <rPr>
        <sz val="11"/>
        <color theme="1"/>
        <rFont val="Arial"/>
        <family val="2"/>
      </rPr>
      <t xml:space="preserve"> </t>
    </r>
  </si>
  <si>
    <t>Including CACTA, Ac/Ds, MULE, Mariner, ping/pong/SNOOPY. 3.6% of the genome in total. Within them, the CACTA subclass is the most abundant element, which involves more than half of all transposon sequences and comprises 2.1% of the Asparagus genome.</t>
  </si>
  <si>
    <t>Li et al 2014</t>
  </si>
  <si>
    <t>https://doi.org/10.1371/journal.pone.0097189</t>
  </si>
  <si>
    <t>LINE/SINE</t>
  </si>
  <si>
    <t>Low abundance</t>
  </si>
  <si>
    <t>MITE</t>
  </si>
  <si>
    <t>1.6% of genome</t>
  </si>
  <si>
    <t>Ty1/copia</t>
  </si>
  <si>
    <t>Most abundant throughout the genome, 2x more than gypsy. Most of the repeat groups had similar abundance in males and females, which was in agreement with the fact that the sex chromosomes of asparagus are in the early stages of sex chromosome evolution.</t>
  </si>
  <si>
    <t>Ty3/gypsy</t>
  </si>
  <si>
    <t>One of the most abundant TE families</t>
  </si>
  <si>
    <t>Copia-like</t>
  </si>
  <si>
    <t>Homology to the RAPD markers obtained male specific sequences (MADC3 and MADC4). FISH using MADC3 and MADC4 as probes detected numerous intense signals on the Y chromosome as well as dispersed signals on all chromosomes, and there were no extensive differences between the copia-like retrotransposon distribution on the Y chromosome and other chromosomes.</t>
  </si>
  <si>
    <t>Sakamoto et al 2005</t>
  </si>
  <si>
    <t>https://doi.org/10.1139/g05-056</t>
  </si>
  <si>
    <t>LINE-CS</t>
  </si>
  <si>
    <t>Found in male-associated DNA sequence (MADC1) and its flanking sequence, strongly homologous to LINE-like retrotransposons. 100 to 200 copies of the LINE located in tandem on the Y chromosome. Represented in the X chromosome and in the autosomes too, but their concentration at the end of Y chromosome is particularly high.</t>
  </si>
  <si>
    <t>Sakamoto et al 2000</t>
  </si>
  <si>
    <t>https://www.ncbi.nlm.nih.gov/pubmed/11202435</t>
  </si>
  <si>
    <t>Ty3-Gypsy</t>
  </si>
  <si>
    <t>The most abundant - 54.1% in MSY (male specific region of the Y chromosome).</t>
  </si>
  <si>
    <t>Ming et al 2008</t>
  </si>
  <si>
    <t>https://doi.org/10.1038/nature06856</t>
  </si>
  <si>
    <t>Copia</t>
  </si>
  <si>
    <t>1.9% in MSY (male specific region of the Y chromosome).</t>
  </si>
  <si>
    <t>Class II DNA transposons</t>
  </si>
  <si>
    <t>Found on the X chromosome.</t>
  </si>
  <si>
    <t>gypsy LTR, copia LTR and L1 LINE retrotransposons</t>
  </si>
  <si>
    <t>Two-thirds of de M. annua genome is formed by repetitive sequences</t>
  </si>
  <si>
    <t>MARL-1 to MARL-5</t>
  </si>
  <si>
    <t>Similar to pineapple retrotransposon dea1</t>
  </si>
  <si>
    <t>Chromovirus-CRM</t>
  </si>
  <si>
    <t>CL25 - gave specific centromeric signals on all chromosomes. CL42 - Y-accumulated CRM subfamily.</t>
  </si>
  <si>
    <t>Chromovirus-Tekay/Del</t>
  </si>
  <si>
    <t>CL22 and CL37, like Ty1-copia elements, were absent from both Y chromosomes.</t>
  </si>
  <si>
    <t>Tat/Ogre</t>
  </si>
  <si>
    <t>Large transposable element from the LTR family Ty3-gypsy.</t>
  </si>
  <si>
    <t>Athila</t>
  </si>
  <si>
    <t>Athila (CL41) was absent on the X chromosome.</t>
  </si>
  <si>
    <t>Copia superfamily</t>
  </si>
  <si>
    <t>Ty1 Copia.</t>
  </si>
  <si>
    <t>Maximus/Sireviruses</t>
  </si>
  <si>
    <t>The most abundant of Ty1-copia retrotransposons. (34.9%
in male and 35.6% in female genomes).</t>
  </si>
  <si>
    <t>Bianca</t>
  </si>
  <si>
    <t>Lineage of Ty1-copia.</t>
  </si>
  <si>
    <t>TAR</t>
  </si>
  <si>
    <t>Belonging to TORK lineageo of Ty1-copia.</t>
  </si>
  <si>
    <t>LINE</t>
  </si>
  <si>
    <t>Non-LTR retrotransposon.</t>
  </si>
  <si>
    <t>Mutator</t>
  </si>
  <si>
    <t>DNA transposon. Considerably smaller genome propor-
tions.</t>
  </si>
  <si>
    <t>CACTA</t>
  </si>
  <si>
    <t>DOP-8</t>
  </si>
  <si>
    <t>Repetitive DNA sequence isolated from the microdissection of sex chromosomes. Homologous at the amino-acid level with reverse transcriptase of plant non-LTR retrotransposons,and Ty1-copia-like polyproteins of LTR retroelements, respectively.</t>
  </si>
  <si>
    <t>DOP-60</t>
  </si>
  <si>
    <t>DOP-47</t>
  </si>
  <si>
    <t>Repetitive DNA sequence isolated from the microdissection of sex chromosomes. A higher homology was found between DOP-47
and DOP-61 and Ty3-gypsy-like polyproteins of LTR retroelements. No homology was detected among the isolated R. acetosa retroelements at the DNA level.</t>
  </si>
  <si>
    <t>DOP-61</t>
  </si>
  <si>
    <t>Ty3-gypsy-like</t>
  </si>
  <si>
    <t>Group of LTR retrotransposons. Particular families are dispersed in all of the chromosome except the p-arm of Y chromosome.</t>
  </si>
  <si>
    <t>Matsunaga et al 2002</t>
  </si>
  <si>
    <t>https://www.ncbi.nlm.nih.gov/pubmed/12175078</t>
  </si>
  <si>
    <t>Degenerate Ty3-gypsy retrotransposon sequence exists, that is linked to the Y chromosome.</t>
  </si>
  <si>
    <t>Obara et al 2002</t>
  </si>
  <si>
    <t>https://doi.org/10.1266/ggs.77.393</t>
  </si>
  <si>
    <t>Retand</t>
  </si>
  <si>
    <t>Belongs to gypsy-like family. They are consisting of a non-autonomous element Retand-1 and its autonomous partner Retand-2. They share similar long terminal repeat (LTR) sequences.
Missing on subtelomere of short arm of Y.</t>
  </si>
  <si>
    <t>https://doi.org/10.1007/s00438-006-0140-x</t>
  </si>
  <si>
    <t>Ogre</t>
  </si>
  <si>
    <t>Ty3-gypsy long terminal repeat. Three Ogre families ubiquitous in the S. latifolia genome. One family is nearly absent on the Y chromosome. Genome size expanded due to amplification of this giant gypsy- type retrotransposon.</t>
  </si>
  <si>
    <t>Kubat et al 2014</t>
  </si>
  <si>
    <t>https://doi.org/10.1111/nph.12669</t>
  </si>
  <si>
    <t xml:space="preserve">Gypsy element. Is almost missing in the Y chromosome. One of the most abundant TEs in the S. latifolia genome. </t>
  </si>
  <si>
    <t>Kralova et al 2014</t>
  </si>
  <si>
    <t>https://doi.org/10.1159/000362142</t>
  </si>
  <si>
    <t>Angela</t>
  </si>
  <si>
    <t>Ty1-copia retrotransposon from lineage TORK.</t>
  </si>
  <si>
    <t>Puterova et al 2018</t>
  </si>
  <si>
    <t>https://doi.org/10.1186/s12864-018-4547-7</t>
  </si>
  <si>
    <t>Peabody</t>
  </si>
  <si>
    <t>Ty3-gypsy element bearing chromodomain integrase, from the Chromoviridae branch.</t>
  </si>
  <si>
    <t>Cegan et al 2012</t>
  </si>
  <si>
    <t>https://doi.org/10.1371/journal.pone.0031898</t>
  </si>
  <si>
    <t>Ty1-copia-like</t>
  </si>
  <si>
    <t>Retrotransposons, homogeneously distributed throughtout the genome including Y chromosomes. Families I and II consist of elements derived from species of
various sections.</t>
  </si>
  <si>
    <t>LINEs - long interspersed nuclear elements, non-LTR retrotransposons terminating at the 39 end with a poly(A) tract.</t>
  </si>
  <si>
    <t>Thelma</t>
  </si>
  <si>
    <t>Tag2-like transposase belonging to hAT superfamily of DNA transposons, branching with the Ac/Tam3 clade.</t>
  </si>
  <si>
    <t>Pritham et al 2003</t>
  </si>
  <si>
    <t>https://www.ncbi.nlm.nih.gov/pmc/articles/PMC1462803/</t>
  </si>
  <si>
    <t>Thelma 7</t>
  </si>
  <si>
    <t>Tag2-like transposase belonging to hAT superfamily of DNA transposons, branching with the Ac/Tam3 clade. Y-linked copy, has acquired several mutations, large indels disruptin coding region (assumed to be connected to the Y degradation).</t>
  </si>
  <si>
    <t>Thelma 13</t>
  </si>
  <si>
    <t>Tag2-like transposase belonging to hAT superfamily of DNA transposons, branching with the Ac/Tam3 clade. Functional, likely to be linked to the X or autosomes.</t>
  </si>
  <si>
    <t>Miniature inverted-repeat transposable element, non-autonomous DNA transposon.</t>
  </si>
  <si>
    <t>Bergero et al 2008</t>
  </si>
  <si>
    <t>https://doi.org/10.1534/genetics.107.081745</t>
  </si>
  <si>
    <t>Version</t>
  </si>
  <si>
    <t>Extracted hyperlink</t>
  </si>
  <si>
    <t>Year</t>
  </si>
  <si>
    <t>Genomics/Cytological</t>
  </si>
  <si>
    <t>Category</t>
  </si>
  <si>
    <t>Reference</t>
  </si>
  <si>
    <t>new</t>
  </si>
  <si>
    <t>NGS</t>
  </si>
  <si>
    <t>Gong, W., &amp; Filatov, D. A. (2022). Evolution of the sex-determining region in Ginkgo biloba. Philosophical Transactions of the Royal Society B, 377(1850), 20210229.</t>
  </si>
  <si>
    <t>NA</t>
  </si>
  <si>
    <t>Review</t>
  </si>
  <si>
    <t>Marais, G. A., &amp; Lemaître, J. F. (2022). Sex chromosomes, sex ratios and sex gaps in longevity in plants. Philosophical Transactions of the Royal Society B, 377(1850), 20210219.</t>
  </si>
  <si>
    <t>G</t>
  </si>
  <si>
    <t>Others</t>
  </si>
  <si>
    <t>Morgan, E. J., Kaiser-Bunbury, C. N., Edwards, P. J., Scharmann, M., Widmer, A., Fleischer-Dogley, F., &amp; Kettle, C. J. (2020). Identification of sex-linked markers in the sexually cryptic coco de mer: are males and females produced in equal proportions?. AoB Plants, 12(1), plz079.</t>
  </si>
  <si>
    <t>Shelton, A. O. (2010). The origin of female‐biased sex ratios in intertidal seagrasses (Phyllospadix spp.). Ecology, 91(5), 1380-1390.</t>
  </si>
  <si>
    <t>Esfandiyari, B., Davarynejad, G. H., Shahriari, F., Kiani, M., &amp; Mathe, A. (2012). Data to the sex determination in Pistacia species using molecular markers. Euphytica, 185(2), 227-231.</t>
  </si>
  <si>
    <t>Müller, N. A., Kersten, B., Leite Montalvão, A. P., Mähler, N., Bernhardsson, C., Bräutigam, K., ... &amp; Fladung, M. (2020). A single gene underlies the dynamic evolution of poplar sex determination. Nature plants, 6(6), 630-637.</t>
  </si>
  <si>
    <t>Yang, W., Wang, D., Li, Y., Zhang, Z., Tong, S., Li, M., ... &amp; Ma, T. (2021). A general model to explain repeated turnovers of sex determination in the Salicaceae. Molecular biology and evolution, 38(3), 968-980.</t>
  </si>
  <si>
    <t xml:space="preserve">No hyperlink available </t>
  </si>
  <si>
    <t>C</t>
  </si>
  <si>
    <t>Kihara, H., &amp; Ono, T. (1926). Chromosomenzahlen und systematische gruppierung der Rumex-arten. Zeitschrift für Zellforschung und mikroskopische Anatomie, 4(3), 475-481.</t>
  </si>
  <si>
    <t>Sinoto, Y. (1929). Chromosome studies in some dioecious plants, with special reference to the allosomes. Cytologia, 1(2), 109-191.</t>
  </si>
  <si>
    <t>https://doi.org/10.1111/j.1601-5223.1944.tb03303.x</t>
  </si>
  <si>
    <t>Löve, A. (1944). Cytogenetic studies on Rumex subgenus Acetosella. Hereditas, 30, 1-136.</t>
  </si>
  <si>
    <t>Lee, C. L. (1954). Sex chromosomes in Ginkgo biloba. American Journal of Botany, 545-549.</t>
  </si>
  <si>
    <t>Grant, W. F. (1959). Cytogenetic studies in Amaranthus: I. cytological aspects of sex determination in dioecious species. Canadian Journal of Botany, 37(3), 413-417.</t>
  </si>
  <si>
    <t>Mehra, P. N., &amp; Pathania, R. S. (1959). Chromosome numbers in some western Himalayan acrogynous Jungermanniales. The Bryologist, 62(4), 242-247.</t>
  </si>
  <si>
    <t>Van Buijtenen, J. P., &amp; Einspahr, D. W. (1959). Note on the presence of sex chromosomes in Populus tremuloides. Botanical Gazette, 121(1), 60-61.</t>
  </si>
  <si>
    <t>Zuk, J. 1963. An investigation on polyploidy and sex determination within the genus Rumex. Acta Soc. Bot. Pol. 32: 5-67</t>
  </si>
  <si>
    <t>Flach, M. (1966). Nutmeg cultivation and its sex-problem: an agronomical and cytogenetical study of the dioecy in Myristica fragrans Houtt. and Myristica argentea Warb (Doctoral dissertation, Veenman).</t>
  </si>
  <si>
    <t>Marchant, C. J. (1968). Chromosome patterns and nuclear phenomena in the cycad families Stangeriaceae and Zamiaceae. Chromosoma, 24(1), 100-134.</t>
  </si>
  <si>
    <t>Varghese, B. M. (1971). Cytology of Trichosanthes palmata Roxb. Cytologia, 36(2), 205-209.</t>
  </si>
  <si>
    <t>Ahmadi, H., &amp; Bringhurst, R. S. (1991). GENETICS OF SEX EXPRESSION IN FRAGARIA SPECIES. American Journal of Botany, 78(4), 504-514.</t>
  </si>
  <si>
    <t>Guijun, Y., Ferguson, A. R., &amp; McNeilage, M. A. (1994). Ploidy races in Actinidia chinensis. Euphytica, 78(3), 175-183.</t>
  </si>
  <si>
    <t>Kondo, K., Kokubugata, G., Hizume, M., Tanaka, R., &amp; Satake, T. (1995). A karyomorphological study of five species and one variety of Cycas. Cytologia, 60(2), 141-147.</t>
  </si>
  <si>
    <t>Siljak-Yakovlev, S., Cerbah, M., Sarr, A., Benmalek, S., Bounaga, N., de la Pena, T. C., &amp; Brown, S. C. (1996). Chromosomal sex determination and heterochromatin structure in date palm. Sexual Plant Reproduction, 9(3), 127-132.</t>
  </si>
  <si>
    <t>Sakamoto et al 1998</t>
  </si>
  <si>
    <t>Sakamoto, K., Akiyama, Y., Fukui, K., Kamada, H., &amp; Satoh, S. (1998). Characterization; genome sizes and morphology of sex chromosomes in hemp (Cannabis sativa L.). Cytologia, 63(4), 459-464.</t>
  </si>
  <si>
    <t>Kokubugata et al 2000</t>
  </si>
  <si>
    <t>Kokubugata, G., Kondo, K., Wilson, G. W., Randall, L. M., Van Der Schans, A., &amp; Morris, D. K. (2000). Comparison of karyotype and rDNA-distribution in somatic chromosomes of Bowenia species (Stangeriaceae, Cycadales). Australian Systematic Botany, 13(1), 15-20.</t>
  </si>
  <si>
    <t>Mathews et al 2014</t>
  </si>
  <si>
    <t>Mathews, P.M., Mathew, J., Christopher, C. &amp; Haridas, P. (2014). Cytological studies with reference to karyomorphology of Gnetum and Ephedra. Journal of Cytology and Genetics15:123–34</t>
  </si>
  <si>
    <t>Picq, S., Santoni, S., Lacombe, T., Latreille, M., Weber, A., Ardisson, M., ... &amp; Bacilieri, R. (2014). A small XY chromosomal region explains sex determination in wild dioecious V. vinifera and the reversal to hermaphroditism in domesticated grapevines. BMC plant biology, 14(1), 1-17.</t>
  </si>
  <si>
    <t>Renner et al 2017</t>
  </si>
  <si>
    <t>CG</t>
  </si>
  <si>
    <t>Renner, S. S., Heinrichs, J., &amp; Sousa, A. (2017). The sex chromosomes of bryophytes: Recent insights, open questions, and reinvestigations of Frullania dilatata and Plagiochila asplenioides. Journal of Systematics and Evolution, 55(4), 333-339.</t>
  </si>
  <si>
    <t>Anger et al 2017</t>
  </si>
  <si>
    <t>Anger, N., Fogliani, B., Scutt, C. P., &amp; Gâteblé, G. (2017). Dioecy in Amborella trichopoda: evidence for genetically based sex determination and its consequences for inferences of the breeding system in early angiosperms. Annals of Botany, 119(4), 591-597.</t>
  </si>
  <si>
    <t>Scharmann, M., Grafe, T. U., Metali, F., &amp; Widmer, A. (2019). Sex is determined by XY chromosomes across the radiation of dioecious Nepenthes pitcher plants. Evolution letters, 3(6), 586-597.</t>
  </si>
  <si>
    <t>Zhang et al 2019</t>
  </si>
  <si>
    <t>https://doi.org/10.1101/517946</t>
  </si>
  <si>
    <t>Zhang, H., Zhang, R., Yang, X., Gu, K. J., Chen, W., Chang, Y., ... &amp; Zhao, Y. P. (2019). Recent origin of an XX/XY sex-determination system in the ancient plant lineage Ginkgo biloba. BioRxiv, 517946.</t>
  </si>
  <si>
    <t>Carey, S. B., Jenkins, J., Lovell, J. T., Maumus, F., Sreedasyam, A., Payton, A. C., ... &amp; McDaniel, S. F. (2020). The Ceratodon purpureus genome uncovers structurally complex, gene rich sex chromosomes. bioRxiv.</t>
  </si>
  <si>
    <t>NGS + G</t>
  </si>
  <si>
    <t>He, L., Jia, K. H., Zhang, R. G., Wang, Y., Shi, T. L., Li, Z. C., ... &amp; Mao, J. F. (2020). Chromosome-scale assembly of the genome of Salix dunnii reveals a male-heterogametic sex determination system on chromosome 7. bioRxiv.</t>
  </si>
  <si>
    <t>Käfer et al 2020</t>
  </si>
  <si>
    <t>https://doi.org/10.1111/nph.17662</t>
  </si>
  <si>
    <t>Käfer, J., Bewick, A., Andres-Robin, A., Lapetoule, G., Harkess, A., Caius, J., ... &amp; Marais, G. A. (2020). A derived ZW chromosome system in Amborella trichopoda, representing the sister lineage to all other extant flowering plants. New Phytologist in press</t>
  </si>
  <si>
    <t>Liao et al 2020</t>
  </si>
  <si>
    <t>Liao, Q., Du, R., Gou, J., Guo, L., Shen, H., Liu, H., ... &amp; Yan, J. (2020). The genomic architecture of the sex‐determining region and sex‐related metabolic variation in Ginkgo biloba. The Plant Journal, 104(5), 1399-1409.</t>
  </si>
  <si>
    <t>Sousa et al 2021</t>
  </si>
  <si>
    <t>Sousa, A., Schubert, V., &amp; Renner, S. S. (2021). Centromere organization and UU/V sex chromosome behavior in a liverwort. The Plant Journal, 106(1), 133-141.</t>
  </si>
  <si>
    <t>Silva, A. T., Gao, B., Fisher, K. M., Mishler, B. D., Ekwealor, J. T., Stark, L. R., ... &amp; Oliver, M. J. (2021). To dry perchance to live: Insights from the genome of the desiccation-tolerant biocrust moss Syntrichia caninervis. The Plant Journal.</t>
  </si>
  <si>
    <t>Sanderson, B. J., Feng, G., Hu, N., Carlson, C. H., Smart, L. B., Keefover-Ring, K., ... &amp; Olson, M. S. (2021). Sex determination through X–Y heterogamety in Salix nigra. Heredity, 126(4), 630-639.</t>
  </si>
  <si>
    <t>Li, N., Li, X., Zhou, J., Yu, L. A., Li, S., Zhang, Y., ... &amp; Deng, C. (2021). Genome-Wide Analysis of Transposable Elements and Satellite DNAs in Spinacia Species to Shed Light on Their Roles in Sex Chromosome Evolution. Frontiers in plant science, 11, 2211.</t>
  </si>
  <si>
    <t>Renner and Müller 2021</t>
  </si>
  <si>
    <t>https://doi.org/10.1038/s41477-021-00884-3</t>
  </si>
  <si>
    <t>Reviews</t>
  </si>
  <si>
    <t>Renner, S. S., &amp; Müller, N. A. (2021). Plant sex chromosomes defy evolutionary models of expanding recombination suppression and genetic degeneration. Nature Plants, 7(4), 392-402.</t>
  </si>
  <si>
    <t>old</t>
  </si>
  <si>
    <t xml:space="preserve">Allen, C. (1919). The basis of sex inheritance in Sphaerocarpos. Proceedings of the American Philosophical Society, 58(5), 289-316. </t>
  </si>
  <si>
    <t>Schacke, M. A. (1919). A chromosome difference between the sexes of Sphaerocarpos texanus. Science, 49(1261), 218-219.</t>
  </si>
  <si>
    <t>Blackburn, K. B. (1923). Sex chromosomes in plants. Nature, 112(2819), 687.</t>
  </si>
  <si>
    <t>Winge 1923</t>
  </si>
  <si>
    <t>Winge, 0. (1923). On sex chromosomes, sex determination and preponderance of females in some dioecious plants. -- Compt. Rend. Trav. Lab. Carlsberg. 15: 1-26.</t>
  </si>
  <si>
    <t>Blackburn, K. B. (1924). The cytological aspects of the determination of sex in the dioecious forms of Lychnis. Journal of Experimental Biology, 1(3), 413-430.</t>
  </si>
  <si>
    <t>Santos, J. K. (1924). Determination of sex in Elodea. Botanical Gazette, 77(4), 353-376.</t>
  </si>
  <si>
    <t>Kihara, H., &amp; Ono, T. (1925). The sex-chromosomes of Rumex acetosa. Molecular and General Genetics MGG, 39(1), 1-7.</t>
  </si>
  <si>
    <t>Correns, C. (1929). Bestimmung, vererbung und verteilung des geschlechts bei den höheren pflanzen. Molecular and General Genetics MGG, 49(1), 168-168.</t>
  </si>
  <si>
    <t>Kuhn 1930</t>
  </si>
  <si>
    <t>Kuhn, E. (1930) Uber Kreuzungen des getrenntgeschlechtigen Thallictrum fendleri mit gemischtgeschlechtigen. Arten. Biol. Zentr. 50, 79– 102.</t>
  </si>
  <si>
    <t>McKay, J. W. (1930). Chromosome numbers in the Cucurbitaceae. Botanical Gazette, 89(4), 416-417.</t>
  </si>
  <si>
    <t>Kihara and Hiratoshi 1932</t>
  </si>
  <si>
    <t>Kihara, H. and Hirayoshi, I. (1932). Die Geschlechtschromosomen von Humulus japonicus Sieb. Et Zucc. 8th Congr. Jap. Ass. Adr. Sci. 363-368</t>
  </si>
  <si>
    <t>Lorbeer 1934</t>
  </si>
  <si>
    <t>Lorbeer, G. (1934). Die Zytologie der Lebermoose mit besonderer Berücksichtigung allgemeiner Chromosomenfragen: Tl 1. Borntraeger. (Doctoral dissertation)</t>
  </si>
  <si>
    <t>Lilienfeld 1936</t>
  </si>
  <si>
    <t>Lilienfeld, F. A., 1936. Karyologische und genetische Studien an Fragaria. 111. Mem. Coll. Agri. Kyoto Univ. 38, 1-58.</t>
  </si>
  <si>
    <t>Von Ubisch, G. (1936). Genetic studies on the nature of hermaphroditic plants in Antennaria dioica (L) Gaertn. Genetics, 21(3), 282.</t>
  </si>
  <si>
    <t>Ono 1937</t>
  </si>
  <si>
    <t>https://www.jstage.jst.go.jp/article/jplantres1887/51/603/51_603_110/_pdf/-char/en</t>
  </si>
  <si>
    <t>Ono, T. (1937). On sex-chromosomes in wild hops. Botanical Magazine, 51, 110-115.</t>
  </si>
  <si>
    <t>Kuhn 1939</t>
  </si>
  <si>
    <t>Kuhn, E. (1939) Selbstbestäubungen subdiözischer Blütenpflanzen, ein neuer Beweis für die genetische Theorie der Geschlechtsbestimmung. Planta, 30, 457– 470.</t>
  </si>
  <si>
    <t>Murray 1940</t>
  </si>
  <si>
    <t>Murray, M. J. (1940). The genetics of sex determination in the family Amaranthaceae. Genetics, 25(4), 409.</t>
  </si>
  <si>
    <t>Tatuno 1941</t>
  </si>
  <si>
    <t>Tatuno, S. (1941). Zytologische Untersuchungen über die Lebermoose von Japan. Journal of Science Hiroshima University series B, div, 2 4: 73–187.</t>
  </si>
  <si>
    <t>Galan 1946 reviewed by Mather 1949</t>
  </si>
  <si>
    <t>Galan, F. (1946). "Analysis of the Genetic Differences between the Monoecia and Dioecia Zygotes in Ecballium elaterium" &amp; "Analyse genetique de Ia monoecie et de Ia dioecie zygotiques et leur difference dans Ecballium elaterium (Cucurb)"</t>
  </si>
  <si>
    <t>Chakravorti, A. K. (1948, March). Cytology of Coccinia indica W. &amp; A. with reference to the behaviour of its sex-chromosomes. In Proceedings of the Indian Academy of Sciences-Section B (Vol. 27, No. 3, pp. 74-86). Springer India.</t>
  </si>
  <si>
    <t>Mather 1949</t>
  </si>
  <si>
    <t>Mather, K. (1949). Genetics of dioecy and monoecy in Ecballium. Nature 163(926), 1949.</t>
  </si>
  <si>
    <t>Kumar, L. S. S., &amp; Viseveshwaraiah, S. (1952). Sex mechanism in Coccinia indica Wight and Arn. Nature, 170(4321), 330-331.</t>
  </si>
  <si>
    <t>Newcomer 1954</t>
  </si>
  <si>
    <t>https://www.jstor.org/stable/2438712</t>
  </si>
  <si>
    <t>Newcomer, E. H. (1954). The karyotype and possible sex chromosomes of Ginkgo biloba. American Journal of Botany, 542-545.</t>
  </si>
  <si>
    <t>Bateman, A. J. (1995). Note on dioecy in the cruciferae. Heredity, 9, 415.</t>
  </si>
  <si>
    <t>Janick and Stevenson 1955</t>
  </si>
  <si>
    <t>Janick, J., &amp; Stevenson, E. C. (1955). Genetics of the monoecious character in spinach. Genetics, 40(4), 429.</t>
  </si>
  <si>
    <t>Pollock 1957</t>
  </si>
  <si>
    <t>https://academic.oup.com/jhered/article-abstract/48/6/290/905759/</t>
  </si>
  <si>
    <t>Pollock, E. G. (1957). The sex chromosomes of the maidenhair tree. Journal of Heredity, 48(6), 290-294.</t>
  </si>
  <si>
    <t>Jacobsen 1957</t>
  </si>
  <si>
    <t>Jacobsen, P. (1957). The sex chromosomes in Humulus. Hereditas, 43(2), 357-370.</t>
  </si>
  <si>
    <t>Malling, H. (1957). The chromosome number of Honckenya peploides (L.) Ehrh., with a note on its mode of sex determination. Hereditas, 43(3‐4), 517-524.</t>
  </si>
  <si>
    <t>Berrie, G. K. (1957). Cytological examination of herbarium material of hepatics. Nature, 179(4570), 1143.</t>
  </si>
  <si>
    <t>Hair et al 1958</t>
  </si>
  <si>
    <t>https://link.springer.com/content/pdf/10.1038/1811584a0.pdf</t>
  </si>
  <si>
    <t>Hair, J. B., &amp; Beuzenberg, E. J. (1958). Chromosomal evolution in the Podocarpaceae. Nature, 181(4623), 1584-1586.</t>
  </si>
  <si>
    <t xml:space="preserve">Westergaard, M. (1958). The mechanism of sex determination in dioecious flowering plants. Advances in Genetics (Academic Press) 9, 217-281. </t>
  </si>
  <si>
    <t>Abraham, A., &amp; Mathew, P. M. (1962). Cytological studies in the cycads: sex chromosomes in Cycas. Annals of Botany, 26(2), 261-266.</t>
  </si>
  <si>
    <t>Smith, B. W. (1963). The mechanism of sex determination in Rumex hastatulus. Genetics, 48(10), 1265.</t>
  </si>
  <si>
    <t>Rao 1970</t>
  </si>
  <si>
    <t>https://link.springer.com/chapter/10.1007%2F978-94-007-0944-7_21</t>
  </si>
  <si>
    <t>Rao, C. P. (1970). Morphology of the chromosomes of red algae. Indian Biol, 2, 37-40.</t>
  </si>
  <si>
    <t>Żuk, J. (1970). Structure and function of sex chromosomes in Rumex thyrsiflorus. Acta Societatis Botanicorum Poloniae, 39(3), 539-564.</t>
  </si>
  <si>
    <t>Roy and Roy 1971</t>
  </si>
  <si>
    <t>Roy, R. P., Roy, P. M.  (1971). Mechanism of sex determination in Coccinia indica. J. Indian Bot. Soc., 50, 391-400.</t>
  </si>
  <si>
    <t>Segawa, M., Kishi, S., &amp; Tatuano, S. (1971). Sex chromosomes of Cycas revoluta. The Japanese Journal of Genetics, 46(1), 33-39.</t>
  </si>
  <si>
    <t>Rao 1971</t>
  </si>
  <si>
    <t>https://www.degruyter.com/view/j/botm.1971.14.issue-2/botm.1971.14.2.113/botm.1971.14.2.113.xml</t>
  </si>
  <si>
    <t>Rao, C. P. (1971). Sex Chromosomes of Wrangelia argus Mont. Botanica Marina, 14(2), 113-115.</t>
  </si>
  <si>
    <t>Bartkowiak, E. (1971). Mechanism of sex determination in Rumex hastatulus Baldw. Theoretical and Applied Genetics, 41(7), 320-326.</t>
  </si>
  <si>
    <t>Singh, R. B., &amp; Smith, B. W. (1971). The mechanism of sex determination in Rumex acetosella. Theoretical and Applied Genetics, 41(8), 360-364.</t>
  </si>
  <si>
    <t>Vitis</t>
  </si>
  <si>
    <t>Negi, S. S., &amp; Olmo, H. P. (1971). Conversion and determination of sex in Vitis vinifera L.(sylvestris). Vitis 9(4), 265-279.</t>
  </si>
  <si>
    <t>D'Cruz, R., Vyahalkar, G. R., &amp; Ugale, S. D. (1972). Cytogenetic Studies in Tetraploid Coccinia indica W. and A. Caryologia, 25(4), 505-512.</t>
  </si>
  <si>
    <t>Grewal, M. S., &amp; Ellis, J. R. (1972). Sex determination in Potentilla fruticosa. Heredity, 29(3), 359.</t>
  </si>
  <si>
    <t>Meyer, Y., &amp; Herrmann, R. G. (1973). Analysis of DNA of male and female Sphaerocarpos donnellii Aust.(Liverwort). Molecular and General Genetics, 124(2), 167-176.</t>
  </si>
  <si>
    <t>Lloyd, D. G. (1975). Breeding systems in Cotula III. Dioecious populations. New Phytologist, 74(1), 109-123.</t>
  </si>
  <si>
    <t>Storey 1976</t>
  </si>
  <si>
    <t>Storey, W. B. (1976). In The Evolution of Crop Plants (ed. Simmonds, N. W.) Longman, London, pp. 21–24</t>
  </si>
  <si>
    <t>Degreave 1976</t>
  </si>
  <si>
    <t>Degraeve N. 1976. Contribution a l’etude cytotaxonomique des Rumex. IV Le gene Acetosa Mill. Cellule 71:231–240.</t>
  </si>
  <si>
    <t>Phoenix</t>
  </si>
  <si>
    <t>Leshem, Y., &amp; Ophir, D. (1977). Differences in endogenous levels of gibberellin activity in male and female partners of two dioecious tree species. Annals of Botany, 41(2), 375-379.</t>
  </si>
  <si>
    <t>Louis and Durand 1978</t>
  </si>
  <si>
    <t>Louis, J. P., &amp; Durand, B. (1978). Studies with the dioecious angiosperm Mercurialis annua L.(2n= 16): correlation between genic and cytoplasmic male sterility, sex segregation and feminizing hormones (cytokinins). Molecular and General Genetics MGG, 165(3), 309-322.</t>
  </si>
  <si>
    <t>https://ci.nii.ac.jp/naid/10006433850/</t>
  </si>
  <si>
    <t>Asparagus</t>
  </si>
  <si>
    <t>Loptien, H. (1979). Identification of the sex chromosome pair in asparagus (Asparagus officinalis L.). Z. Pflanzenzuchtg., 82, 162-175.</t>
  </si>
  <si>
    <t>Shchapov 1979</t>
  </si>
  <si>
    <t>https://ci.nii.ac.jp/naid/10021852346/</t>
  </si>
  <si>
    <t>Hippophae</t>
  </si>
  <si>
    <t>Shchapov, N. S. (1979). On the karyology of Hippophae rhamnoides L. Citologija i Genetika, 13, 45-47.</t>
  </si>
  <si>
    <t>Wiens, D., &amp; Barlow, B. A. (1979). Translocation heterozygosity and the origin of dioecy in Viscum. Heredity, 42(2), 201.</t>
  </si>
  <si>
    <t>BB, B. (1980). Sex chromosomes in Dioscorea deltoidea wall. Cytologia, 45(4), 739-742.</t>
  </si>
  <si>
    <t>Khitha, S. C. (1981). Karyotype and mechanism of sex determination in Ephedra foliata Boiss.-A dioecious gymnosperm. Cytologia, 46(1-2), 173-181.</t>
  </si>
  <si>
    <t>Barlow, B. A. (1981). Viscum album in Japan: Chromosomal translocations, maintenance of heterozygosity and the evolution of dioecy. The botanical magazine= Shokubutsu-gaku-zasshi, 94(1), 21-34.</t>
  </si>
  <si>
    <t>Ramsay, H.P. &amp; Berrie, G.K. (1982). Sex determination in bryophytes. Journal of the Hattori Botanical Laboratory. ISSN : 0073-0912</t>
  </si>
  <si>
    <t>Jie, Z., &amp; Beuzenberg, E. J. (1983). Chromosome numbers in two varieties of Actinidia chinensis Planch. New Zealand Journal of Botany, 21(3), 353-355.</t>
  </si>
  <si>
    <t>Delaigue, M., Poulain, T., &amp; Durand, B. (1984). Phytohormone control of translatable RNA populations in sexual organogenesis of the dioecious plant Mercurialis annua L.(2n= 16). Plant Molecular Biology, 3(6), 419-429.</t>
  </si>
  <si>
    <t>De Sarker, D., &amp; Datta, K. B. (1988). Cytological basis of sex expression in Trichosanthes L. Cytologia, 53(3), 475-483.</t>
  </si>
  <si>
    <t>Hizume et al 1988</t>
  </si>
  <si>
    <t>https://www.jstage.jst.go.jp/article/ggs1921/63/5/63_5_413/_article/-char/ja/</t>
  </si>
  <si>
    <t>Hizume, M., Shiraishi, H., &amp; Tanaka, A. (1988). A cytological study of Podocarpus macrophyllus with special reference to sex chromosomes. The Japanese Journal of Genetics, 63(5), 413-423.</t>
  </si>
  <si>
    <t>Roy and Saran 1990</t>
  </si>
  <si>
    <t>Roy R. P. and Saran S. (1990). Sex expression in the Cucurbitaceae. In Biology and utilization of the Cucurbitaceae (ed. D. M. Bates, R. W. Robinson and C. Jeffrey), pp. 251-268. Comstock Publishing Associates, Cornell University Press, Ithaca, London.</t>
  </si>
  <si>
    <t>Chattopadhyay, D. (1991). Chromosome studies and nuclear DNA in relation to sex difference and plant habit in two species of Cucurbitaceae. Cytologia, 56(3), 409-417.</t>
  </si>
  <si>
    <t>Durand, B., &amp; Durand, R. (1991). Sex determination and reproductive organ differentiation in Mercurialis. Plant Science, 80(1-2), 49-65.</t>
  </si>
  <si>
    <t>Marchetti, S., Zampa, C., &amp; Chiesa, F. (1992). Sex modification in Actinidia deliciosa var. deliciosa. Euphytica, 64(3), 205-213.</t>
  </si>
  <si>
    <t>Aparicio, A. (1993). Sex-determining and floating translocation complexes in Viscum cruciatum Sieber ex Boiss.(Viscaceae) in southern Spain. Some evolutionary and ecological comments. Botanical Journal of the Linnean Society, 111(3), 359-369.</t>
  </si>
  <si>
    <t>Durand, R., &amp; Durand, B. (1994). Cytokinins and reproductive organogenesis In: Mok, D.W.S &amp; Mok, M, C. (eds.) Cytokinins: Chemistry, activity, and function (pp. 295-304), CRC Press.</t>
  </si>
  <si>
    <t>Silene</t>
  </si>
  <si>
    <t>Hardenack, S., Ye, D., Saedler, H., &amp; Grant, S. (1994). Comparison of MADS box gene expression in developing male and female flowers of the dioecious plant white campion. The Plant Cell, 6(12), 1775-1787.</t>
  </si>
  <si>
    <t>Testolin, R., Cipriani, G., &amp; Costa, G. (1995). Sex segregation ratio and gender expression in the genus Actinidia. Sexual Plant Reproduction, 8(3), 129-132.</t>
  </si>
  <si>
    <t>Biffi, R., Restivo, F. M., Tassi, F., Caporali, E., Carboni, A., Marziani, G. P., ... &amp; Falavigna, A. (1995). A restriction fragment length polymorphism probe for early diagnosis of gender in Asparagus officinalis L. HortScience, 30(7), 1463-1464.</t>
  </si>
  <si>
    <t>Sakamoto, K., Shimomura, K., Komeda, Y., Kamada, H., &amp; Satoh, S. (1995). A male-associated DNA sequence in a dioecious plant, Cannabis sativa L. Plant and Cell Physiology, 36(8), 1549–1554.</t>
  </si>
  <si>
    <t>Ainsworth, C., Crossley, S., Buchanan-Wollaston, V., Thangavelu, M., &amp; Parker, J. (1995). Male and female flowers of the dioecious plant sorrel show different patterns of MADS box gene expression. The Plant Cell, 7(10), 1583-1598.</t>
  </si>
  <si>
    <t>Boissay, E., Delaigue, M., Sallaud, C., Esnault, R., &amp; Kahlem, G. (1996). Predominant expression of a peroxidase gene in staminate flowers of Mercurialis annua. Physiologia Plantarum, 96(2), 251-257.</t>
  </si>
  <si>
    <t>Matsunaga, S., Kawano, S., Takano, H., Uchida, H., Sakai, A., &amp; Kuroiwa, T. (1996). Isolation and developmental expression of male reproductive organ‐specific genes in a dioecious campion, Melandrium album (Silene latifolia). The Plant Journal, 10(4), 679-689.</t>
  </si>
  <si>
    <t>Polley, A., Ganal, M. W., &amp; Seigner, E. (1997). Identification of sex in hop (Humulus lupulus) using molecular markers. Genome, 40(3), 357-361.</t>
  </si>
  <si>
    <t>Barbacar, N., Hinnisdaels, S., Farbos, I., Monéger, F., Lardon, A., Delichère, C., ... &amp; Negrutiu, I. (1997). Isolation of early genes expressed in reproductive organs of the dioecious white campion (Silene latifolia) by subtraction cloning using an asexual mutant. The Plant Journal, 12(4), 805-817.</t>
  </si>
  <si>
    <t>Bůzek et al 1997</t>
  </si>
  <si>
    <t>https://www.ncbi.nlm.nih.gov/pubmed/9088644</t>
  </si>
  <si>
    <t>GC</t>
  </si>
  <si>
    <t>Bůžek, J., Koutníková, H., Houben, A., Říha, K., Janousśek, B., Široký, J., ... &amp; Vyskot, B. (1997). Isolation and characterization of X chromosome-derived DNA sequences from a dioecious plant Melandrium album. Chromosome Research, 5(1), 57-65.</t>
  </si>
  <si>
    <t>Hinnisdaels, S., Lardon, A., Barbacar, N., &amp; Negrutiu, I. (1997). A floral third whorl-specific marker gene in the dioecious species white campion is differentially expressed in mutants defective in stamen development. Plant Molecular Biology, 35(6), 1009-1014.</t>
  </si>
  <si>
    <t>Lebel‐Hardenack, S., Ye, D., Koutnikova, H., Saedler, H., &amp; Grant, S. R. (1997). Conserved expression of a TASSELSEED2 homolog in the tapetum of the dioecious Silene latifolia and Arabidopsis thaliana. The Plant Journal, 12(3), 515-526.</t>
  </si>
  <si>
    <t>Matsunaga, S., Kawano, S., &amp; Kuroiwa, T. (1997). MROS1, a male stamen-specific gene in the dioecious campion Silene latifolia is expressed in mature pollen. Plant and Cell Physiology, 38(4), 499-502.</t>
  </si>
  <si>
    <t>Scutt, C. P., Kamisugi, Y., Gilmartin, P. M., &amp; Sakai, F. (1997). Laser isolation of plant sex chromosomes: studies on the DNA composition of the X and Y sex chromosomes of Silene latifolia. Genome, 40(5), 705-715.</t>
  </si>
  <si>
    <t>Scutt, C. P., Li, Y., Robertson, S. E., Willis, M. E., &amp; Gilmartin, P. M. (1997). Sex Determination in Dioecious Silene Iatifolia (Effects of the Y Chromosome and the Parasitic Smut Fungus (Ustilago violacea) on Gene Expression during Flower Development). Plant Physiology, 114(3), 969-979.</t>
  </si>
  <si>
    <t>Gill, G. P., Harvey, C. F., Gardner, R. C., &amp; Fraser, L. G. (1998). Development of sex-linked PCR markers for gender identification in Actinidia. Theoretical and Applied Genetics, 97(3), 439-445.</t>
  </si>
  <si>
    <t>Spada, A., Caporali, E., Marziani, G., Portaluppi, P., Restivo, F. M., Tassi, F., &amp; Falavigna, A. (1998). A genetic map of Asparagus officinalis based on integrated RFLP, RAPD and AFLP molecular markers. Theoretical and Applied Genetics, 97(7), 1083-1089.</t>
  </si>
  <si>
    <t>Persson and Nybon 1998</t>
  </si>
  <si>
    <t>Persson, H. A., &amp; Nybom, H. (1998). Genetic sex determination and RAPD marker segregation in the dioecious species sea buckthorn (Hippophae rhamnoides L.). Hereditas, 129(1), 45-51.</t>
  </si>
  <si>
    <t>Ruas, C. F., Fairbanks, D. J., Evans, R. P., Stutz, H. C., Andersen, W. R., &amp; Ruas, P. M. (1998). Male‐specific DNA in the dioecious species Atriplex garrettii (Chenopodiaceae). American Journal of Botany, 85(2), 162-167.</t>
  </si>
  <si>
    <t>Guttman, D. S., &amp; Charlesworth, D. (1998). An X-linked gene with a degenerate Y-linked homologue in a dioecious plant. Nature, 393(6682), 263.</t>
  </si>
  <si>
    <t>Zhang, Y. H., Stilio, V. S., Rehman, F., Avery, A., Mulcahy, D., &amp; Kesseli, R. (1998). Y chromosome specific markers and the evolution of dioecy in the genus Silene. Genome, 41(2), 141-147.</t>
  </si>
  <si>
    <t>Srivastava, P., &amp; Srivastava, S. (1999). Karyological studies in root-tip cells of Cannabis sativa var. indica. Cytologia, 64(4), 435-440.</t>
  </si>
  <si>
    <t>Terauchi, R., &amp; Kahl, G. (1999). Mapping of the Dioscorea tokoro genome: AFLP markers linked to sex. Genome, 42(4), 752-762.</t>
  </si>
  <si>
    <t>Banerjee, N. S., Manoj, P., &amp; Das, M. R. (1999). Male-sex-associated RAPD markers in Piper longum L. Current Science, 693-695.</t>
  </si>
  <si>
    <t>Shibata, F., Hizume, M., &amp; Kuroki, Y. (1999). Chromosome painting of Y chromosomes and isolation of a Y chromosome-specific repetitive sequence in the dioecious plant Rumex acetosa. Chromosoma, 108(4), 266-270.</t>
  </si>
  <si>
    <t>Delichere, C., Veuskens, J., Hernould, M., Barbacar, N., Mouras, A., Negrutiu, I., &amp; Moneger, F. (1999). SlY1, the first active gene cloned from a plant Y chromosome, encodes a WD‐repeat protein. The EMBO Journal, 18(15), 4169-4179.</t>
  </si>
  <si>
    <t>Garrido-Ramos, M. A., De la Herran, R., Rejón, M. R., &amp; Rejón, C. R. (1999). A subtelomeric satellite DNA family isolated from the genome of the dioecious plant Silene latifolia. Genome, 42(3), 442-446.</t>
  </si>
  <si>
    <t>Matsunaga, S., Kawano, S., Michimoto, T., Higashiyama, T., Nakao, S., Sakai, A., &amp; Kuroiwa, T. (1999). Semi-automatic laser beam microdissection of the Y chromosome and analysis of Y chromosome DNA in a dioecious plant, Silene latifolia. Plant and Cell Physiology, 40(1), 60-68.</t>
  </si>
  <si>
    <t>Scutt, C. P., Oliveira, M., Gilmartin, P. M., &amp; Negrutiu, I. (1999). Morphological and molecular analysis of a double‐flowered mutant of the dioecious plant white campion showing both meristic and homeotic effects. Developmental Genetics, 25(3), 267-279.</t>
  </si>
  <si>
    <t>Caporali, E., Spada, A., Losa, A., &amp; Marziani, G. (2000). The MADS box gene AOM1 is expressed in reproductive meristems and flowers of the dioecious species Asparagus officinalis. Sexual Plant Reproduction, 13(3), 151-156.</t>
  </si>
  <si>
    <t>Sakamoto, K., Ohmido, N., Fukui, K., Kamada, H., &amp; Satoh, S. (2000). Site-specific accumulation of a LINE-like retrotransposon in a sex chromosome of the dioecious plant Cannabis sativa. Plant Molecular Biology, 44(6), 723-732.</t>
  </si>
  <si>
    <t>Shephard et al 2000</t>
  </si>
  <si>
    <t>Shephard, H. L., Parker, J. S., Darby, P., &amp; Ainsworth, C. C. (2000). Sexual development and sex chromosomes in hop. New Phytologist, 148(3), 397-411.</t>
  </si>
  <si>
    <t>Nishiyama, R., Yamato, K. T., Miura, K., Sakaida, M., Okada, S., Kono, K., ... &amp; Ohyama, K. (2000). Comparison of expressed sequence tags from male and female sexual organs of Marchantia polymorpha. DNA Research, 7(3), 165-174.</t>
  </si>
  <si>
    <t>Okada, S., Fujisawa, M., Sone, T., Nakayama, S., Nishiyama, R., Takenaka, M., ... &amp; Yamato, K. T. (2000). Construction of male and female PAC genomic libraries suitable for identification of Y‐chromosome‐specific clones from the liverwort, Marchantia polymorpha. The Plant Journal, 24(3), 421-428.</t>
  </si>
  <si>
    <t>Shibu, M. P., Ravishankar, K. V., Lalitha, A., Ganeshaiah, K. N., &amp; Shaanker, R. U. (2000). Identification of sex-specific DNA markers in the dioecious tree, nutmeg (Myristica fragrans Houtt.). Plant Genetic Resources Newsletter, (121), 59-61.</t>
  </si>
  <si>
    <t>Sheppard, L. A., Brunner, A. M., Krutovskii, K. V., Rottmann, W. H., Skinner, J. S., Vollmer, S. S., &amp; Strauss, S. H. (2000). A DEFICIENS homolog from the dioecious tree black cottonwood is expressed in female and male floral meristems of the two-whorled, unisexual flowers. Plant Physiology, 124(2), 627-640.</t>
  </si>
  <si>
    <t>Shibata, F., Hizume, M., &amp; Kuroki, Y. (2000). Molecular cytogenetic analysis of supernumerary heterochromatic segments in Rumex acetosa. Genome, 43(2), 391-397.</t>
  </si>
  <si>
    <t>Shibata, F., Hizume, M., &amp; Kuroki, Y. (2000). Differentiation and the polymorphic nature of the Y chromosomes revealed by repetitive sequences in the dioecious plant, Rumex acetosa. Chromosome Research, 8(3), 229-236.</t>
  </si>
  <si>
    <t>Monéger, F., Barbacar, N., &amp; Negrutiu, I. (2000). Dioecious Silene at the X-road: the reasons Y. Sexual Plant Reproduction, 12(4), 245-249.</t>
  </si>
  <si>
    <t>Flachowsky, H., Schumann, E., Weber, W. E., &amp; Peil, A. (2001). Application of AFLP for the detection of sex-specific markers in hemp. Plant Breeding, 120(4), 305–309.</t>
  </si>
  <si>
    <t>Fujisawa, M., Hayashi, K., Nishio, T., Bando, T., Okada, S., Yamato, K. T., ... &amp; Ohyama, K. (2001). Isolation of X and Y chromosome-specific DNA markers from a liverwort, Marchantia polymorpha, by representational difference analysis. Genetics, 159(3), 981-985.</t>
  </si>
  <si>
    <t>Nakayama, S., Fujishita, M., Sone, T., &amp; Ohyama, K. (2001). Additional locus of rDNA sequence specific to the X chromosome of the liverwort, Marchantia polymorpha. Chromosome Research, 9(6), 469-473.</t>
  </si>
  <si>
    <t>Sinha, S., Debnath, B., &amp; Guha, A. (2001). Sex linked polypeptides in dioecious Momordica dioica. Cytologia, 66(1), 55-58.</t>
  </si>
  <si>
    <t>Jung, J. S., Han, H. S., Lee, K. Y., Bae, C. H., &amp; Lee, H. Y. (2001). A male-associated DNA sequence in a dioecious plant, Schisandra nigra. Breeding Science, 51(4), 219-223.</t>
  </si>
  <si>
    <t>Wolf, D. E., Satkoski, J. A., White, K., &amp; Rieseberg, L. H. (2001). Sex determination in the androdioecious plant Datisca glomerata and its dioecious sister species D. cannabina. Genetics, 159(3), 1243-1257.</t>
  </si>
  <si>
    <t>Atanassov, I., Delichere, C., Filatov, D. A., Charlesworth, D., Negrutiu, I., &amp; Monéger, F. (2001). Analysis and evolution of two functional Y-linked loci in a plant sex chromosome system. Molecular Biology and Evolution, 18(12), 2162-2168.</t>
  </si>
  <si>
    <t>Filatov, D. A., Laporte, V., Vitte, C., &amp; Charlesworth, D. (2001). DNA diversity in sex-linked and autosomal genes of the plant species Silene latifolia and Silene dioica. Molecular Biology and Evolution, 18(8), 1442-1454.</t>
  </si>
  <si>
    <t>Kejnovský, E., Vrána, J., Matsunaga, S., Souček, P., Široký, J., Doležel, J., &amp; Vyskot, B. (2001). Localization of male-specifically expressed MROS genes of Silene latifolia by PCR on flow-sorted sex chromosomes and autosomes. Genetics, 158(3), 1269-1277.</t>
  </si>
  <si>
    <t>Monéger, F. (2001). Molecular and evolutionary analysis of a plant Y chromosome. Comptes Rendus de l'Académie des Sciences-Series III-Sciences de la Vie, 324(6), 531-535.</t>
  </si>
  <si>
    <t>McLetchie, D. N., &amp; Collins, A. L. (2001). Identification of DNA regions specific to the X and Y chromosomes in Sphaerocarpos texanus. The Bryologist, 104(4), 543-548.</t>
  </si>
  <si>
    <t>Mandolino, G., Carboni, A., Bagatta, M., Moliterni, V. C., &amp; Ranalli, P. (2002). Occurrence and frequency of putatively Y chromosome linked DNA markers in Cannabis sativa L. Euphytica, 126(2), 211-218.</t>
  </si>
  <si>
    <t>Törjék, O., Bucherna, N., Kiss, E., Homoki, H., Finta-Korpelová, Z., Bócsa, I., … Heszky, L. E. (2002). Novel male-specific molecular markers (MADC5, MADC6) in hemp. Euphytica, 127(2), 209–218.</t>
  </si>
  <si>
    <t>Zhang, P., Pwee, K. H., Tan, H. T., &amp; Kumar, P. P. (2002). Cloning and characterization of Fortune-1, a novel gene with enhanced expression in male reproductive organs of Cycas edentata. Mechanisms of Development, 114(1-2), 149-152.</t>
  </si>
  <si>
    <t>Ishizaki, K., Shimizu‐Ueda, Y., Okada, S., Yamamoto, M., Fujisawa, M., Yamato, K. T., ... &amp; Ohyama, K. (2002). Multicopy genes uniquely amplified in the Y chromosome‐specific repeats of the liverwort Marchantia polymorpha. Nucleic Acids Research, 30(21), 4675-4681.</t>
  </si>
  <si>
    <t>Khadka, D. K., Nejidat, A., Tal, M., &amp; Golan-Goldhirsh, A. (2002). DNA markers for sex: Molecular evidence for gender dimorphism in dioecious Mercurialis annua L. Molecular Breeding, 9(4), 251-257.</t>
  </si>
  <si>
    <t>Hunziker, J. H., Wulff, A. F., &amp; Escobar, A. (2002). Permanent translocation heterozygosity in dioecious Baccharis coridifolia DC.(Asteraceae). Hereditas, 137(2), 132-139.</t>
  </si>
  <si>
    <t>Grabowska-Joachimiak, A., &amp; Joachimiak, A. (2002). C-banded karyotypes of two Silene species with heteromorphic sex chromosomes. Genome, 45(2), 243-252.</t>
  </si>
  <si>
    <t>Janousek, B., Matsunaga, S., Kejnovsky, E., Zluvova, J., &amp; Vyskot, B. (2002). DNA methylation analysis of a male reproductive organ specific gene (MROS1) during pollen development. Genome, 45(5), 930-938.</t>
  </si>
  <si>
    <t>Lebel-Hardenack, S., Hauser, E., Law, T. F., Schmid, J., &amp; Grant, S. R. (2002). Mapping of sex determination loci on the white campion (Silene latifolia) Y chromosome using amplified fragment length polymorphism. Genetics, 160(2), 717-725.</t>
  </si>
  <si>
    <t>Matsunaga, S., Yagisawa, F., Yamamoto, M., Uchida, W., Nakao, S., &amp; Kawano, S. (2002). LTR retrotransposons in the dioecious plant Silene latifolia. Genome, 45(4), 745-751.</t>
  </si>
  <si>
    <t>Nakao, S., Matsunaga, S., Sakai, A., Kuroiwa, T., &amp; Kawano, S. (2002). RAPD isolation of a Y chromosome specific ORF in a dioecious plant, Silene latifolia. Genome, 45(2), 413-420.</t>
  </si>
  <si>
    <t>Obara, M., Matsunaga, S., Nakao, S., &amp; Kawano, S. (2002). A plant Y chromosome-STS marker encoding a degenerate retrotransposon. Genes &amp; Genetic Systems, 77(6), 393-398.</t>
  </si>
  <si>
    <t>Uchida, W., Matsunaga, S., Sugiyama, R., Shibata, F., Kazama, Y., Miyazawa, Y., ... &amp; Kawano, S. (2002). Distribution of interstitial telomere-like repeats and their adjacent sequences in a dioecious plant, Silene latifolia. Chromosoma, 111(5), 313-320.</t>
  </si>
  <si>
    <t>Peil, A., Flachowsky, H., Schumann, E., &amp; Weber, W. E. (2003). Sex-linked AFLP markers indicate a pseudoautosomal region in hemp (Cannabis sativa L.). Theoretical and Applied Genetics, 107(1), 102-109.</t>
  </si>
  <si>
    <t>Shao, H., Song, S.-J., &amp; Clarke, R. C. (2003). Female-associated DNA polymorphisms of hemp (Cannabis sativa L.). Journal of Industrial Hemp, 8(1), 5–9.</t>
  </si>
  <si>
    <t>Karlov, G. I., Danilova, T. V., Horlemann, C., &amp; Weber, G. (2003). Molecular cytogenetics in hop (Humulus lupulus L.) and identification of sex chromosomes by DAPI-banding. Euphytica, 132(2), 185-190.</t>
  </si>
  <si>
    <t>Fujisawa, M., Nakayama, S., Nishio, T., Fujishita, M., Hayashi, K., Ishizaki, K., ... &amp; Ohyama, K. (2003). Evolution of ribosomal DNA unit on the X chromosome independent of autosomal units in the liverwort Marchantia polymorpha. Chromosome Research, 11(7), 695-703.</t>
  </si>
  <si>
    <t>Semerikov et al. 2003</t>
  </si>
  <si>
    <t>Semerikov, V., Lagercrantz, U., Tsarouhas, V., Rönnberg-Wästljung, A., Alström-Rapaport, C., &amp; Lascoux, M. (2003). Genetic mapping of sex-linked markers in Salix viminalis L. Heredity, 91(3), 293-299.</t>
  </si>
  <si>
    <t>Kazama, Y., Sugiyama, R., Matsunaga, S., Shibata, F., Uchida, W., Hizume, M., &amp; Kawano, S. (2003). Organization of the KpnI family of chromosomal distal-end satellite DNAs in Silene latifolia. Journal of Plant Research, 116(4), 317-326.</t>
  </si>
  <si>
    <t>Lengerova, M., Moore, R. C., Grant, S. R., &amp; Vyskot, B. (2003). The sex chromosomes of Silene latifolia revisited and revised. Genetics, 165(2), 935-938.</t>
  </si>
  <si>
    <t>Matsunaga, S., Isono, E., Kejnovsky, E., Vyskot, B., Dolezel, J., Kawano, S., &amp; Charlesworth, D. (2003). Duplicative transfer of a MADS box gene to a plant Y chromosome. Molecular Biology and Evolution, 20(7), 1062-1069.</t>
  </si>
  <si>
    <t>Moore, R. C., Kozyreva, O., Lebel-Hardenack, S., Siroky, J., Hobza, R., Vyskot, B., &amp; Grant, S. R. (2003). Genetic and functional analysis of DD44, a sex-linked gene from the dioecious plant Silene latifolia, provides clues to early events in sex chromosome evolution. Genetics, 163(1), 321-334.</t>
  </si>
  <si>
    <t>Pritham, E. J., Zhang, Y. H., Feschotte, C., &amp; Kesseli, R. V. (2003). An Ac-like transposable element family with transcriptionally active Y-linked copies in the white campion, Silene latifolia. Genetics, 165(2), 799-807.</t>
  </si>
  <si>
    <t>Sugiyama, R., Kazama, Y., Miyazawa, Y., Matsunaga, S., &amp; Kawano, S. (2003). CCLS96. 1, a member of a multicopy gene family, may encode a non-coding RNA preferentially transcribed in reproductive organs of Silene latifolia. DNA Research, 10(5), 213-220.</t>
  </si>
  <si>
    <t>Sýkorová, E., Cartagena, J., Horakova, M., Fukui, K., &amp; Fajkus, J. (2003). Characterization of telomere-subtelomere junctions in Silene latifolia. Molecular Genetics and Genomics, 269(1), 13-20.</t>
  </si>
  <si>
    <t>Moliterni, V. C., Cattivelli, L., Ranalli, P., &amp; Mandolino, G. (2004). The sexual differentiation of Cannabis sativa L.: a morphological and molecular study. Euphytica, 140(1-2), 95-106.</t>
  </si>
  <si>
    <t>Liu, Z., Moore, P. H., Ma, H., Ackerman, C. M., Ragiba, M., Yu, Q., ... &amp; Zee, F. T. (2004). A primitive Y chromosome in papaya marks incipient sex chromosome evolution. Nature, 427(6972), 348-352.</t>
  </si>
  <si>
    <t>Chah et al 2004</t>
  </si>
  <si>
    <t>Chah, O. K., Lee, I. K., &amp; Kim, G. H. (2004). Karyology and sex determination in Aglaothamnion oosumiense Itono (Ceramiaceae, Rhodophyta). Hydrobiologia, 512(1-3), 157-164.</t>
  </si>
  <si>
    <t>Dorken, M. E., &amp; Barrett, S. C. (2004). Sex determination and the evolution of dioecy from monoecy in Sagittaria latifolia (Alismataceae). Proceedings of the Royal Society of London. Series B: Biological Sciences, 271(1535), 213-219.</t>
  </si>
  <si>
    <t>Parrish, T. L., Koelewijn, H. P., &amp; van Dijk, P. J. (2004). Identification of a male-specific AFLP marker in a functionally dioecious fig, Ficus fulva Reinw. ex Bl.(Moraceae). Sexual Plant Reproduction, 17(1), 17-22.</t>
  </si>
  <si>
    <t>Suda, J., Malcová, R., Abazid, D., Banaš, M., Procházka, F., Šída, O., &amp; Štech, M. (2004). Cytotype distribution in Empetrum (Ericaceae) at various spatial scales in the Czech Republic. Folia Geobotanica, 39(2), 161-171.</t>
  </si>
  <si>
    <t>Xu, W. J., Wang, B. W., &amp; Cui, K. M. (2004). RAPD and SCAR markers linked to sex determination in Eucommia ulmoides Oliv. Euphytica, 136(3), 233-238.</t>
  </si>
  <si>
    <t>Nicolas, M., Marais, G., Hykelova, V., Janousek, B., Laporte, V., Vyskot, B., ... &amp; Monéger, F. (2004). A gradual process of recombination restriction in the evolutionary history of the sex chromosomes in dioecious plants. PLoS Biology, 3(1), e4.</t>
  </si>
  <si>
    <t>Pannell et al 2004</t>
  </si>
  <si>
    <t>Pannell, J. R., OBBARD, D. J., &amp; BUGGS, R. J. (2004). Polyploidy and the sexual system: what can we learn from Mercurialis annua?. Biological Journal of the Linnean Society, 82(4), 547-560.</t>
  </si>
  <si>
    <t>Hur, Y. K., &amp; Bang, J. W. (2004). Variability of rDNA loci in dioecious Rumex acetosa L. detected by fluorescence in situ hybridization. Genes &amp; Genomics (구 한국유전학회지), 26(1), 9-13.</t>
  </si>
  <si>
    <t>Park, J. Y., Jin, D. C., Bang, J. W., &amp; Hur, Y. K. (2004). Identification of a long Y-chromosome enriched repetitive sequence in Rumex acetosa L. Genes &amp; Genomics (구 한국유전학회지), 26(2), 163-170.</t>
  </si>
  <si>
    <t>Stehlik, I., &amp; Blattner, F. R. (2004). Sex-specific SCAR markers in the dioecious plant Rumex nivalis (Polygonaceae) and implications for the evolution of sex chromosomes. Theoretical and Applied Genetics, 108(2), 238-242.</t>
  </si>
  <si>
    <t>Filatov, D. A. (2004). Substitution rates in a new Silene latifolia sex-linked gene, SlssX/Y. Molecular Biology and Evolution, 22(3), 402-408.</t>
  </si>
  <si>
    <t>Riedei, M. (2005). In situ Hybridisierung an Hanf (Cannabis sativa L.) Chromosomen. PhD thesis. Institut für Pflanzenzüchtung un Pflanzenschutz Der Landwrirtschaftlichen Fakultät der Martin-Luther-Universität Halle-Wittenberg.</t>
  </si>
  <si>
    <t>Sakamoto, K., Abe, T., Matsuyama, T., Yoshida, S., Ohmido, N., Fukui, K., &amp; Satoh, S. (2005). RAPD markers encoding retrotransposable elements are linked to the male sex in Cannabis sativa L. Genome, 48(5), 931-936.</t>
  </si>
  <si>
    <t>Danilova, T. V., &amp; Henning, J. A. (2004, August). Sex molecular markers reveal differences of Y-chromosome molecular structure among hops of European and American origin. In I International Humulus Symposium 668 (pp. 85-92).</t>
  </si>
  <si>
    <t>Khadka et al 2005</t>
  </si>
  <si>
    <t>Khadka, D. K., Nejidat, A., Tal, M., &amp; Golan-Goldhirsh, A. (2005). Molecular characterization of a gender-linked DNA marker and a related gene in Mercurialis annua L. Planta, 222(6), 1063-1070.</t>
  </si>
  <si>
    <t>Di Stilio, V. S., Kramer, E. M., &amp; Baum, D. A. (2005). Floral MADS box genes and homeotic gender dimorphism in Thalictrum dioicum (Ranunculaceae)–a new model for the study of dioecy. The Plant Journal, 41(5), 755-766.</t>
  </si>
  <si>
    <t>Renganayaki, K., Jessup, R. W., Burson, B. L., Hussey, M. A., &amp; Read, J. C. (2005). Identification of male-specific AFLP markers in dioecious Texas bluegrass. Crop Science, 45(6), 2529-2539.</t>
  </si>
  <si>
    <t>Yakubov et al 2005</t>
  </si>
  <si>
    <t>Yakubov, B., Barazani, O., &amp; Golan-Goldhirsh, A. (2005). Combination of SCAR primers and Touchdown-PCR for sex identification in Pistacia vera L. Scientia Horticulturae, 103(4), 473-478.</t>
  </si>
  <si>
    <t>Jin, D. C., Kim, J. S., Bong, J. W., &amp; Hur, Y. K. (2005). Application of Chromosome Manipulation, DOP-PCR and AFLP Methods to Isolate Sex-Specific DNAs from Rumex acetosa L. Journal of Photoscience, 12.</t>
  </si>
  <si>
    <t>Navajas-Perez, R., De La Herrán, R., Jamilena, M., Lozano, R., Rejon, C. R., Rejon, M. R., &amp; Garrido-Ramos, M. A. (2005). Reduced rates of sequence evolution of Y-linked satellite DNA in Rumex (Polygonaceae). Journal of Molecular Evolution, 60(3), 391-399.</t>
  </si>
  <si>
    <t>Ironside, J. E., &amp; Filatov, D. A. (2005). Extreme population structure and high interspecific divergence of the Silene Y chromosome. Genetics, 171(2), 705-713.</t>
  </si>
  <si>
    <t>Jenkins, T. H., Li, J., Scutt, C. P., &amp; Gilmartin, P. M. (2005). Analysis of members of the Silene latifolia Cys 2/His 2 zinc-finger transcription factor family during dioecious flower development and in a novel stamen-defective mutant ssf1. Planta, 220(4), 559-571.</t>
  </si>
  <si>
    <t>Kazama, Y., Koizumi, A., Uchida, W., Ageez, A., &amp; Kawano, S. (2005). Expression of the floral B-function gene SLM2 in female flowers of Silene latifolia infected with the smut fungus Microbotryum violaceum. Plant and Cell Physiology, 46(5), 806-811.</t>
  </si>
  <si>
    <t>Matsunaga, S., Lebel-Hardenack, S., Kejnovsky, E., Vyskot, B., Grant, S. R., &amp; Kawano, S. (2005). An anther-and petal-specific gene SlMF1 is a multicopy gene with homologous sequences on sex chromosomes. Genes &amp; Genetic Systems, 80(6), 395-401.</t>
  </si>
  <si>
    <t>Zluvova, J., Janousek, B., Negrutiu, I., &amp; Vyskot, B. (2005). Comparison of the X and Y chromosome organization in Silene latifolia. Genetics, 170(3), 1431-1434.</t>
  </si>
  <si>
    <t>Kanno, A., Hienuki, H., Ito, T., Nakamura, T., Fukuda, T., Yun, P. Y., ... &amp; Maki, M. (2006). The structure and expression of SEPALLATA-like genes in Asparagus species (Asparagaceae). Sexual Plant Reproduction, 19(3), 133-144.</t>
  </si>
  <si>
    <t>Prakash, S., &amp; Van Staden, J. (2006). Sex identification in Encephalartos natalensis (Dyer and Verdoorn) using RAPD markers. Euphytica, 152(2), 197-200.</t>
  </si>
  <si>
    <t>Mariotti, B., Navajas-Pérez, R., Lozano, R., Parker, J. S., De La Herrán, R., Rejón, C. R., ... &amp; Jamilena, M. (2006). Cloning and characterization of dispersed repetitive DNA derived from microdissected sex chromosomes of Rumex acetosa. Genome, 49(2), 114-121.</t>
  </si>
  <si>
    <t>Navajas-Pérez, R., Schwarzacher, T., de la Herrán, R., Rejón, C. R., Rejón, M. R., &amp; Garrido-Ramos, M. A. (2006). The origin and evolution of the variability in a Y-specific satellite-DNA of Rumex acetosa and its relatives. Gene, 368, 61-71.</t>
  </si>
  <si>
    <t>Hobza, R., Lengerova, M., Svoboda, J., Kubekova, H., Kejnovsky, E., &amp; Vyskot, B. (2006). An accumulation of tandem DNA repeats on the Y chromosome in Silene latifolia during early stages of sex chromosome evolution. Chromosoma, 115(5), 376.</t>
  </si>
  <si>
    <t>Hobza, R., Hrusakova, P., Safar, J., Bartos, J., Janousek, B., Zluvova, J., ... &amp; Vyskot, B. (2006). MK17, a specific marker closely linked to the gynoecium suppression region on the Y chromosome in Silene latifolia. Theoretical and Applied Genetics, 113(2), 280.</t>
  </si>
  <si>
    <t>Kejnovsky et al 2006a</t>
  </si>
  <si>
    <t>Kejnovsky, E., Kubat, Z., Hobza, R., Lengerova, M., Sato, S., Tabata, S., ... &amp; Vyskot, B. (2006). Accumulation of chloroplast DNA sequences on the Y chromosome of Silene latifolia. Genetica, 128(1-3), 167-175.</t>
  </si>
  <si>
    <t>Kejnovsky et al 2006b</t>
  </si>
  <si>
    <t>Kejnovsky, E., Kubat, Z., Macas, J., Hobza, R., Mracek, J., &amp; Vyskot, B. (2006). Retand: a novel family of gypsy-like retrotransposons harboring an amplified tandem repeat. Molecular Genetics and Genomics, 276(3), 254-263.</t>
  </si>
  <si>
    <t>Zluvova, J., Nicolas, M., Berger, A., Negrutiu, I., &amp; Monéger, F. (2006). Premature arrest of the male flower meristem precedes sexual dimorphism in the dioecious plant Silene latifolia. Proceedings of the National Academy of Sciences, 103(49), 18854-18859.</t>
  </si>
  <si>
    <t>Khattak, J. Z., Torp, A. M., &amp; Andersen, S. B. (2006). A genetic linkage map of Spinacia oleracea and localization of a sex determination locus. Euphytica, 148(3), 311-318.</t>
  </si>
  <si>
    <t>Chen, C., Yu, Q., Hou, S., Li, Y., Eustice, M., Skelton, R. L., ... &amp; Feng, Y. (2007). Construction of a sequence-tagged high-density genetic map of papaya for comparative structural and evolutionary genomics in Brassicales. Genetics, 177(4), 2481-2491.</t>
  </si>
  <si>
    <t>Gangopadhyay, G., Roy, S. K., Ghose, K., Poddar, R., Bandyopadhyay, T., Basu, D., &amp; Mukherjee, K. K. (2007). Sex detection of Carica papaya and Cycas circinalis in pre-flowering stage by ISSR and RAPD. Current Science (00113891), 92(4).</t>
  </si>
  <si>
    <t>Yu, Q., Hou, S., Hobza, R., Feltus, F. A., Wang, X., Jin, W., ... &amp; Moore, P. H. (2007). Chromosomal location and gene paucity of the male specific region on papaya Y chromosome. Molecular Genetics and Genomics, 278(2), 177-185.</t>
  </si>
  <si>
    <t>Sinha, S., Guha, A., Sinha, B., Sinha, R. K., &amp; Banerjee, N. (2007). Average packing ratio and evolution of sex chromosomes in dioecious Coccinia indica and Trichosanthes dioica. Cytologia, 72(3), 369-372.</t>
  </si>
  <si>
    <t>George et al 2007</t>
  </si>
  <si>
    <t>George, J., Karun, A., Manimekalai, R., Rajesh, M. K., &amp; Remya, P. (2007). Identification of RAPD markers linked to sex determination in palmyrah (Borassus flabellifer L.). Current Science, 93(8), 1075-1077.</t>
  </si>
  <si>
    <t>McDaniel, S. F., Willis, J. H., &amp; Shaw, A. J. (2007). A linkage map reveals a complex basis for segregation distortion in an interpopulation cross in the moss Ceratodon purpureus. Genetics, 176(4), 2489-2500.</t>
  </si>
  <si>
    <t>Mwase, W. F., Erik-Lid, S., Bjørnstad, Å., Stedje, B., Kwapata, M. B., &amp; Bokosi, J. M. (2007). Application of amplified fragment length polymorphism (AFLPs) for detection of sex–specific markers in dioecious Uapaca kirkiana Muell. Årg. African Journal of Biotechnology, 6(2).</t>
  </si>
  <si>
    <t>Vinod, M. S., Raghavan, P. S., George, S., &amp; Parida, A. (2007). Identification of a sex-specific SCAR marker in dioecious Pandanus fascicularis L.(Pandanaceae). Genome, 50(9), 834-839.</t>
  </si>
  <si>
    <t>Yamato et al 2007</t>
  </si>
  <si>
    <t>Yamato, K. T., Ishizaki, K., Fujisawa, M., Okada, S., Nakayama, S., Fujishita, M., ... &amp; Hasumi, A. (2007). Gene organization of the liverwort Y chromosome reveals distinct sex chromosome evolution in a haploid system. Proceedings of the National Academy of Sciences, 104(15), 6472-6477.</t>
  </si>
  <si>
    <t>Deyhle, F., Sarkar, A. K., Tucker, E. J., &amp; Laux, T. (2007). WUSCHEL regulates cell differentiation during anther development. Developmental Biology, 302(1), 154-159.</t>
  </si>
  <si>
    <t>Ming, R., Wang, J., Moore, P. H., &amp; Paterson, A. H. (2007). Sex chromosomes in flowering plants. American Journal of Botany, 94(2), 141-150.</t>
  </si>
  <si>
    <t>Cuñado, N., Navajas-Pérez, R., de la Herrán, R., Rejón, C. R., Rejón, M. R., Santos, J. L., &amp; Garrido-Ramos, M. A. (2007). The evolution of sex chromosomes in the genus Rumex (Polygonaceae): identification of a new species with heteromorphic sex chromosomes. Chromosome Research, 15(7), 825-833.</t>
  </si>
  <si>
    <t>Korpelainen, H., &amp; Kostamo, K. (2007). Excessive variation in Y chromosomal DNA in Rumex acetosa (Polygonaceae). Plant Biology, 9(03), 383-389.</t>
  </si>
  <si>
    <t>Bergero, R., Forrest, A., Kamau, E., &amp; Charlesworth, D. (2007). Evolutionary strata on the X chromosomes of the dioecious plant Silene latifolia: evidence from new sex-linked genes. Genetics, 175(4), 1945-1954.</t>
  </si>
  <si>
    <t>Zluvova, J., Georgiev, S., Janousek, B., Charlesworth, D., Vyskot, B., &amp; Negrutiu, I. (2007). Early events in the evolution of the Silene latifolia Y chromosome: male specialization and recombination arrest. Genetics, 177(1), 375-386.</t>
  </si>
  <si>
    <t>Agrawal, V., Sharma, K., Gupta, S., Kumar, R., &amp; Prasad, M. (2007). Identification of sex in Simmondsia chinensis (Jojoba) using RAPD markers. Plant Biotechnology Reports, 1(4), 207-210.</t>
  </si>
  <si>
    <t>Rode, J., In‐Chol, K., Saal, B., Flachowsky, H., Kriese, U., &amp; Weber, W. E. (2005). Sex‐linked SSR markers in hemp. Plant Breeding, 124(2), 167-170.</t>
  </si>
  <si>
    <t>Ming, R., Hou, S., Feng, Y., Yu, Q., Dionne-Laporte, A., Saw, J. H., ... &amp; Salzberg, S. L. (2008). The draft genome of the transgenic tropical fruit tree papaya (Carica papaya Linnaeus). Nature, 452(7190), 991.</t>
  </si>
  <si>
    <t>Spigler, R. B., Lewers, K. S., Main, D. S., &amp; Ashman, T. L. (2008). Genetic mapping of sex determination in a wild strawberry, Fragaria virginiana, reveals earliest form of sex chromosome. Heredity, 101(6), 507-517.</t>
  </si>
  <si>
    <t>Jakse, J., Stajner, N., Kozjak, P., Cerenak, A., &amp; Javornik, B. (2008). Trinucleotide microsatellite repeat is tightly linked to male sex in hop (Humulus lupulus L.). Molecular Breeding, 21(2), 139-148.</t>
  </si>
  <si>
    <t>Yin, T., DiFazio, S. P., Gunter, L. E., Zhang, X., Sewell, M. M., Woolbright, S. A., ... &amp; Tuskan, G. A. (2008). Genome structure and emerging evidence of an incipient sex chromosome in Populus. Genome Research, 18(3), 422-430.</t>
  </si>
  <si>
    <t>Jamilena, M., Mariotti, B., &amp; Manzano, S. (2008). Plant sex chromosomes: molecular structure and function. Cytogenetic and Genome Research, 120(3-4), 255-264.</t>
  </si>
  <si>
    <t>Bergero, R., Forrest, A., &amp; Charlesworth, D. (2008). Active miniature transposons from a plant genome and its nonrecombining Y chromosome. Genetics, 178(2), 1085-1092.</t>
  </si>
  <si>
    <t>Cermak, T., Kubat, Z., Hobza, R., Koblizkova, A., Widmer, A., Macas, J., ... &amp; Kejnovsky, E. (2008). Survey of repetitive sequences in Silene latifolia with respect to their distribution on sex chromosomes. Chromosome Research, 16(7), 961-976.</t>
  </si>
  <si>
    <t>Filatov, D. A. (2008). A selective sweep in or near the Silene latifolia X-linked gene SlssX. Genetics Research, 90(1), 85-95.</t>
  </si>
  <si>
    <t>Fujita, N., Ishii, K., &amp; Kawano, S. (2008). An STS marker, Y202, located on the Silene latifolia Y chromosome between the chromosomal distal-end satellite DNA and SlY1. Cytologia, 73(2), 159-165.</t>
  </si>
  <si>
    <t>Hobza, R., &amp; Widmer, A. (2008). Efficient molecular sexing in dioecious Silene latifolia and S. dioica and paternity analysis in F1 hybrids. Molecular Ecology Resources, 8(6), 1274-1276.</t>
  </si>
  <si>
    <t>Kubat, Z., Hobza, R., Vyskot, B., &amp; Kejnovsky, E. (2008). Microsatellite accumulation on the Y chromosome in Silene latifolia. Genome, 51(5), 350-356.</t>
  </si>
  <si>
    <t>Mrackova, M., Nicolas, M., Hobza, R., Negrutiu, I., Monéger, F., Widmer, A., ... &amp; Janousek, B. (2008). Independent origin of sex chromosomes in two species of the genus Silene. Genetics, 179(2), 1129-1133.</t>
  </si>
  <si>
    <t>Fraser, L. G., Tsang, G. K., Datson, P. M., De Silva, H. N., Harvey, C. F., Gill, G. P., ... &amp; McNeilage, M. A. (2009). A gene-rich linkage map in the dioecious species Actinidia chinensis (kiwifruit) reveals putative X/Y sex-determining chromosomes. BMC Genomics, 10(1), 102.</t>
  </si>
  <si>
    <t>Ohyama, K., Takemura, M., Oda, K., Fukuzawa, H., Kohchi, T., Nakayama, S., ... &amp; Yamato, K. (2009). Gene content, organization and molecular evolution of plant organellar genomes and sex chromosomes—insights from the case of the liverwort Marchantia polymorpha. Proceedings of the Japan Academy, Series B, 85(3), 108-124.</t>
  </si>
  <si>
    <t>Vandepitte, K., Roldán‐Ruiz, I., Leus, L., Jacquemyn, H., &amp; Honnay, O. (2009). Canopy closure shapes clonal diversity and fine‐scale genetic structure in the dioecious understorey perennial Mercurialis perennis. Journal of Ecology, 97(3), 404-414.</t>
  </si>
  <si>
    <t>Eppley, S. M., O’Quinn, R., &amp; Brown, A. L. (2009). New sequence‐tagged site molecular markers for identification of sex in Distichlis spicata. Molecular Ecology Resources, 9(5), 1373-1374.</t>
  </si>
  <si>
    <t>Maki, M. (2009). Development of SCAR markers for sex determination in the dioecious shrub Aucuba japonica (Cornaceae). Genome, 52(3), 231-237.</t>
  </si>
  <si>
    <t>Oyama, R. K., Volz, S. M., &amp; Renner, S. S. (2009). A sex‐linked SCAR marker in Bryonia dioica (Cucurbitaceae), a dioecious species with XY sex‐determination and homomorphic sex chromosomes. Journal of Evolutionary Biology, 22(1), 214-224.</t>
  </si>
  <si>
    <t>Simon, L., Narayanaswamy, P., &amp; Joshi, S. (2009). Determination of a DNA marker linked to sex in Simarouba glauca DC, an oil-containing tree. The Journal of Horticultural Science and Biotechnology, 84(5), 510-512.</t>
  </si>
  <si>
    <t>Hou, W., Fan, J., Zhou, F., &amp; Zhao, S. (2009). RAPD markers related to sex locus in Populus tomentosa. Frontiers of Forestry in China, 4(2), 223-226.</t>
  </si>
  <si>
    <t>Klevebring, D., Street, N. R., Fahlgren, N., Kasschau, K. D., Carrington, J. C., Lundeberg, J., &amp; Jansson, S. (2009). Genome-wide profiling of Populus small RNAs. BMC Genomics, 10(1), 620.</t>
  </si>
  <si>
    <t>Pakull, B., Groppe, K., Meyer, M., Markussen, T., &amp; Fladung, M. (2009). Genetic linkage mapping in aspen (Populus tremula L. and Populus tremuloides Michx.). Tree Genetics &amp; Genomes, 5(3), 505-515.</t>
  </si>
  <si>
    <t>Zhu, Z., Zhang, Y., &amp; Long, M. (2009). Extensive structural renovation of retrogenes in the evolution of the Populus genome. Plant Physiology, 151(4), 1943-1951.</t>
  </si>
  <si>
    <t>Kejnovsky, E., Hobza, R., Cermak, T., Kubat, Z., &amp; Vyskot, B. (2009). The role of repetitive DNA in structure and evolution of sex chromosomes in plants. Heredity, 102(6), 533.</t>
  </si>
  <si>
    <t>Mariotti, B., Manzano, S., Kejnovský, E., Vyskot, B., &amp; Jamilena, M. (2009). Accumulation of Y-specific satellite DNAs during the evolution of Rumex acetosa sex chromosomes. Molecular Genetics and Genomics, 281(3), 249.</t>
  </si>
  <si>
    <t>Navajas-Pérez, R., Schwarzacher, T., Rejón, M. R., &amp; Garrido-Ramos, M. A. (2009). Molecular cytogenetic characterization of Rumex papillaris, a dioecious plant with an XX/XY 1 Y 2 sex chromosome system. Genetica, 135(1), 87-93.</t>
  </si>
  <si>
    <t>Howell, E. C., Armstrong, S. J., &amp; Filatov, D. A. (2009). Evolution of neo-sex chromosomes in Silene diclinis. Genetics, 182(4), 1109-1115.</t>
  </si>
  <si>
    <t>Kaiser, V. B., Bergero, R., &amp; Charlesworth, D. (2009). Slcyt, a newly identified sex-linked gene, has recently moved onto the X chromosome in Silene latifolia (Caryophyllaceae). Molecular Biology and Evolution, 26(10), 2343-2351.</t>
  </si>
  <si>
    <t>Kazama, Y., Fujiwara, M. T., Koizumi, A., Nishihara, K., Nishiyama, R., Kifune, E., ... &amp; Kawano, S. (2009). A SUPERMAN-like gene is exclusively expressed in female flowers of the dioecious plant Silene latifolia. Plant and Cell Physiology, 50(6), 1127-1141.</t>
  </si>
  <si>
    <t>Marguerit, E., Boury, C., Manicki, A., Donnart, M., Butterlin, G., Némorin, A., ... &amp; Decroocq, S. (2009). Genetic dissection of sex determinism, inflorescence morphology and downy mildew resistance in grapevine. Theoretical and Applied Genetics, 118(7), 1261-1278.</t>
  </si>
  <si>
    <t>https://academicjournals.org/article/article1380626535_Kim et al.pdf</t>
  </si>
  <si>
    <t>Kim, H. B., Jun, S. S., Choe, S., Cho, J. Y., Choi, S. B., &amp; Kim, S. C. (2010). Identification of differentially expressed genes from male and female flowers of kiwifruit. African Journal of Biotechnology, 9(40), 6684-6694.</t>
  </si>
  <si>
    <t>Li, D., Liu, Y., Zhong, C., &amp; Huang, H. (2010). Morphological and cytotype variation of wild kiwifruit (Actinidia chinensis complex) along an altitudinal and longitudinal gradient in central-west China. Botanical Journal of the Linnean Society, 164(1), 72-83.</t>
  </si>
  <si>
    <t>Techen, N., Chandra, S., Lata, H., ElSohly, M. A., &amp; Khan, I. A. (2010). Genetic identification of female Cannabis sativa plants at early developmental stage. Planta Medica, 76(16), 1938-1939.</t>
  </si>
  <si>
    <t>Wu, X., Wang, J., Na, J. K., Yu, Q., Moore, R. C., Zee, F., ... &amp; Ming, R. (2010). The origin of the non‐recombining region of sex chromosomes in Carica and Vasconcellea. The Plant Journal, 63(5), 801-810.</t>
  </si>
  <si>
    <t>Goldberg, M. T., Spigler, R. B., &amp; Ashman, T. L. (2010). Comparative genetic mapping points to different sex chromosomes in sibling species of wild strawberry (Fragaria). Genetics, 186(4), 1425-1433.</t>
  </si>
  <si>
    <t>Spigler, R. B., Lewers, K. S., &amp; Ashman, T. L. (2011). Genetic architecture of sexual dimorphism in a subdioecious plant with a proto‐sex chromosome. Evolution: International Journal of Organic Evolution, 65(4), 1114-1126.</t>
  </si>
  <si>
    <t>Spigler, R. B., Lewers, K. S., Johnson, A. L., &amp; Ashman, T. L. (2010). Comparative mapping reveals autosomal origin of sex chromosome in octoploid Fragaria virginiana. Journal of Heredity, 101(suppl_1), S107-S117.</t>
  </si>
  <si>
    <t>Ferris, P., Olson, B. J., De Hoff, P. L., Douglass, S., Casero, D., Prochnik, S., ... &amp; Nishii, I. (2010). Evolution of an expanded sex-determining locus in Volvox. Science, 328(5976), 351-354.</t>
  </si>
  <si>
    <t>Gottlieb, A. M., &amp; Poggio, L. (2010). Genomic screening in dioecious “yerba mate” tree (Ilex paraguariensis A. St. Hill., Aquifoliaceae) through representational difference analysis. Genetica, 138(6), 567-578.</t>
  </si>
  <si>
    <t>Harris, M. S., &amp; Pannell, J. R. (2010). Canopy seed storage is associated with sexual dimorphism in the woody dioecious genus Leucadendron. Journal of Ecology, 98(2), 509-515.</t>
  </si>
  <si>
    <t>Samantaray, S., Geetha, K. A., Hidayath, K. P., &amp; Maiti, S. (2010). Identification of RAPD markers linked to sex determination in guggal [Commiphora wightii (Arnott.)] Bhandari. Plant Biotechnology Reports, 4(1), 95-99.</t>
  </si>
  <si>
    <t>Paolucci, I., Gaudet, M., Jorge, V., Beritognolo, I., Terzoli, S., Kuzminsky, E., ... &amp; Sabatti, M. (2010). Genetic linkage maps of Populus alba L. and comparative mapping analysis of sex determination across Populus species. Tree Genetics &amp; Genomes, 6(6), 863-875.</t>
  </si>
  <si>
    <t>Ironside, J. E. (2010). No amicable divorce? Challenging the notion that sexual antagonism drives sex chromosome evolution. BioEssays, 32(8), 718-726.</t>
  </si>
  <si>
    <t>Ishii, K., Amanai, Y., Kazama, Y., Ikeda, M., Kamada, H., &amp; Kawano, S. (2010). Analysis of BAC clones containing homologous sequences on the end of the Xq arm and on chromosome 7 in the dioecious plant Silene latifolia. Genome, 53(4), 311-320.</t>
  </si>
  <si>
    <t>Koizumi, A., Yamanaka, K., Nishihara, K., Kazama, Y., Abe, T., &amp; Kawano, S. (2010). Two separate pathways including SlCLV1, SlSTM and SlCUC that control carpel development in a bisexual mutant of Silene latifolia. Plant and Cell Physiology, 51(2), 282-293.</t>
  </si>
  <si>
    <t>Aleksandrov, O. S., Divashuk, M. G., &amp; Karlov, G. I. (2011). Development of a sex-specific molecular marker for Japanese hop Humulus japonicus Siebold &amp; Zucc. Russian Journal of Genetics, 47(8), 1016.</t>
  </si>
  <si>
    <t>Divashuk, M. G., Alexandrov, O. S., Kroupin, P. Y., &amp; Karlov, G. I. (2011). Molecular cytogenetic mapping of Humulus lupulus sex chromosomes. Cytogenetic and Genome Research, 134(3), 213-219.</t>
  </si>
  <si>
    <t>Grabowska-Joachimiak, A., Mosiolek, M., Lech, A., &amp; Góralski, G. (2011). C-Banding/DAPI and in situ hybridization reflect karyotype structure and sex chromosome differentiation in Humulus japonicus Siebold &amp; Zucc. Cytogenetic and Genome Research, 132(3), 203-211.</t>
  </si>
  <si>
    <t>NGS + C</t>
  </si>
  <si>
    <t>Okada, S., Sone, T., Fujisawa, M., Nakayama, S., Takenaka, M., Ishizaki, K., ... &amp; Fukuzawa, H. (2001). The Y chromosome in the liverwort Marchantia polymorpha has accumulated unique repeat sequences harboring a male-specific gene. Proceedings of the National Academy of Sciences, 98(16), 9454-9459.</t>
  </si>
  <si>
    <t>Bharathi, L. K., Munshi, A. D., Chandrashekaran, S., Behera, T. K., Das, A. B., &amp; John, K. J. (2011). Cytotaxonomical analysis of Momordica L.(Cucurbitaceae) species of Indian occurrence. Journal of Genetics, 90(1), 21-30.</t>
  </si>
  <si>
    <t>Dwarka, A., Ross Friedman, C. M., MacKay, M. E., &amp; Nelson, D. (2011). Polymerase chain reaction identification of a female-specific genetic marker in Arceuthobium americanum (lodgepole pine dwarf mistletoe) and its implications for Arceuthobium sex determination. Botany, 89(6), 369-377.</t>
  </si>
  <si>
    <t>Englund, M., Carlsbecker, A., Engström, P., &amp; Vergara‐Silva, F. (2011). Morphological “primary homology” and expression of AG‐subfamily MADS‐box genes in pines, podocarps, and yews. Evolution &amp; Development, 13(2), 171-181.</t>
  </si>
  <si>
    <t>Milewicz, M., &amp; Sawicki, J. (2011). Molecular identification of sex in dioecious moss Nyholmiella obtusifolia (Orthotrichaceae) on the basis of ISSR markers. Casopis Slezského Zemského Muzea (A), 60(1), 1-6.</t>
  </si>
  <si>
    <t>Zhou, Y. J., Wang, X. G., &amp; Zhang, X. Q. (2011). Development and application of a SRAP marker for the identification of sex in Buchloe dactyloides. Euphytica, 181(2), 261-266.</t>
  </si>
  <si>
    <t>Pakull, B., Groppe, K., Mecucci, F., Gaudet, M., Sabatti, M., &amp; Fladung, M. (2011). Genetic mapping of linkage group XIX and identification of sex-linked SSR markers in a Populus tremula× Populus tremuloides cross. Canadian Journal of Forest Research, 41(2), 245-253.</t>
  </si>
  <si>
    <t>Ming, R., Bendahmane, A., &amp; Renner, S. S. (2011). Sex chromosomes in land plants. Annual Review of Plant Biology, 62, 485-514.</t>
  </si>
  <si>
    <t>Otto, S. P., Pannell, J. R., Peichel, C. L., Ashman, T. L., Charlesworth, D., Chippindale, A. K., ... &amp; McAllister, B. F. (2011). About PAR: the distinct evolutionary dynamics of the pseudoautosomal region. Trends in Genetics, 27(9), 358-367.</t>
  </si>
  <si>
    <t>Quesada del Bosque, M. E., Navajas-Pérez, R., Panero, J. L., Fernández-González, A., &amp; Garrido-Ramos, M. A. (2011). A satellite DNA evolutionary analysis in the North American endemic dioecious plant Rumex hastatulus (Polygonaceae). Genome, 54(4), 253-260.</t>
  </si>
  <si>
    <t>Blavet, N., Charif, D., Oger-Desfeux, C., Marais, G. A., &amp; Widmer, A. (2011). Comparative high-throughput transcriptome sequencing and development of SiESTa, the Silene EST annotation database. BMC Genomics, 12(1), 376.</t>
  </si>
  <si>
    <t>Kaiser, V. B., Bergero, R., &amp; Charlesworth, D. (2011). A new plant sex-linked gene with high sequence diversity and possible introgression of the X copy. Heredity, 106(2), 339.</t>
  </si>
  <si>
    <t>Marais, G. A., Forrest, A., Kamau, E., Käfer, J., Daubin, V., &amp; Charlesworth, D. (2011). Multiple nuclear gene phylogenetic analysis of the evolution of dioecy and sex chromosomes in the genus Silene. PLoS One, 6(8), e21915.</t>
  </si>
  <si>
    <t>Penny, R. H., Montgomery, B. R., &amp; Delph, L. F. (2011). X Linkage of AP3A, a Homolog of the Y-Linked MADS-Box Gene AP3Y in Silene latifolia and S. dioica. PloS One, 6(4), e18972.</t>
  </si>
  <si>
    <t>Hosseini, F. S., Shahsav, H., Arvin, M. J., Baghizadeh, A., &amp; Mohammadi-Nejad, G. (2011). Sex determination of jojoba (Simmondsia chinensis cv. Arizona) by random amplified polymorphic DNA (RAPD) molecular markers. African Journal of Biotechnology, 10(4), 470-474.</t>
  </si>
  <si>
    <t>Ince, A. G., &amp; Karaca, M. (2011). Early determination of sex in jojoba plant by CAPS assay. The Journal of Agricultural Science, 149(3), 327-336.</t>
  </si>
  <si>
    <t>Seal, A. G., Ferguson, A. R., de Silva, H. N., &amp; Zhang, J. L. (2012). The effect of 2n gametes on sex ratios in Actinidia. Sexual Plant Reproduction, 25(3), 197-203.</t>
  </si>
  <si>
    <t>Wai, C. M., Moore, P. H., Paull, R. E., Ming, R., &amp; Yu, Q. (2012). An integrated cytogenetic and physical map reveals unevenly distributed recombination spots along the papaya sex chromosomes. Chromosome Research, 20(6), 753-767.</t>
  </si>
  <si>
    <t>Wang, J., Na, J. K., Yu, Q., Gschwend, A. R., Han, J., Zeng, F., ... &amp; Navajas-Pérez, R. (2012). Sequencing papaya X and Yh chromosomes reveals molecular basis of incipient sex chromosome evolution. Proceedings of the National Academy of Sciences, 109(34), 13710-13715.</t>
  </si>
  <si>
    <t>Weingartner, L. A., &amp; Moore, R. C. (2012). Contrasting patterns of X/Y polymorphism distinguish Carica papaya from other sex chromosome systems. Molecular Biology and Evolution, 29(12), 3909-3920.</t>
  </si>
  <si>
    <t>Alexandrov, O. S., Divashuk, M. G., Yakovin, N. A., &amp; Karlov, G. I. (2012). Sex chromosome differentiation in Humulus japonicus Siebold &amp; Zuccarini, 1846 (Cannabaceae) revealed by fluorescence in situ hybridization of subtelomeric repeat. Comparative Cytogenetics, 6(3), 239.</t>
  </si>
  <si>
    <t>Lianjun, W., Changbo, D., Degao, L., &amp; Qingchang, L. (2012). Identification of a male-specific amplified fragment length polymorphism (AFLP) marker in Broussonetia papyrifera. African Journal of Biotechnology, 11(33), 8196-8201.</t>
  </si>
  <si>
    <t>Nanda, S., Kar, B., Nayak, S., Jha, S., &amp; Joshi, R. K. (2013). Development of an ISSR based STS marker for sex identification in pointed gourd (Trichosanthes dioica Roxb.). Scientia Horticulturae, 150, 11-15.</t>
  </si>
  <si>
    <t>Panigrahi, J., &amp; Mishra, R. R. (2012). Identification of sex in spiny gourd (Momordica dioica) using RAPD marker analysis and its validation in four F1 progenies. The Journal of Horticultural Science and Biotechnology, 87(2), 107-112.</t>
  </si>
  <si>
    <t>Patil, C. G., Baratakke, R. C., &amp; Sandigwad, A. M. (2012). Development of a RAPD-based SCAR marker for sex identification in Momordica dioica Roxb. Israel Journal of Plant Sciences, 60(4), 457-465.</t>
  </si>
  <si>
    <t>Jiang, H., Peng, S., Zhang, S., Li, X., Korpelainen, H., &amp; Li, C. (2012). Transcriptional profiling analysis in Populus yunnanensis provides insights into molecular mechanisms of sexual differences in salinity tolerance. Journal of Experimental Gotany, 63(10), 3709-3726.</t>
  </si>
  <si>
    <t>Tuskan, G. A., DiFazio, S., Faivre-Rampant, P., Gaudet, M., Harfouche, A., Jorge, V., ... &amp; Street, N. (2012). The obscure events contributing to the evolution of an incipient sex chromosome in Populus: a retrospective working hypothesis. Tree Genetics &amp; Genomes, 8(3), 559-571.</t>
  </si>
  <si>
    <t>Grabowska-Joachimiak, A., Kwolek, D., Kula, A., &amp; Marciniuk, P. (2012). Fluorescent banding pattern and species-specific DNA marker in Rumex thyrsiflorus Fingerh. Cytogenetic and Genome Research, 137(1), 70-77.</t>
  </si>
  <si>
    <t>Blavet, N., Blavet, H., Čegan, R., Zemp, N., Zdanska, J., Janoušek, B., ... &amp; Widmer, A. (2012). Comparative analysis of a plant pseudoautosomal region (PAR) in Silene latifolia with the corresponding S. vulgaris autosome. BMC Genomics, 13(1), 226.</t>
  </si>
  <si>
    <t>Cegan, R., Vyskot, B., Kejnovsky, E., Kubat, Z., Blavet, H., Šafář, J., ... &amp; Hobza, R. (2012). Genomic diversity in two related plant species with and without sex chromosomes-Silene latifolia and S. vulgaris. PLoS One, 7(2).</t>
  </si>
  <si>
    <t>Fujita, N., Torii, C., Ishii, K., Aonuma, W., Shimizu, Y., Kazama, Y., ... &amp; Kawano, S. (2012). Narrowing down the mapping of plant sex-determination regions using new Y-chromosome-specific markers and heavy-ion beam irradiation-induced Y-deletion mutants in Silene latifolia. G3: Genes, Genomes, Genetics, 2(2), 271-278.</t>
  </si>
  <si>
    <t>Kazama, Y., Nishihara, K., Bergero, R., Fujiwara, M. T., Abe, T., Charlesworth, D., &amp; Kawano, S. (2012). SlWUS1; an X-linked gene having no homologous Y-linked copy in Silene latifolia. G3: Genes, Genomes, Genetics, 2(10), 1269-1278.</t>
  </si>
  <si>
    <t>Talianová, M., Žlůvová, J., Hobza, R., Vyskot, B., &amp; Janoušek, B. (2012). Identification and characterization of a bacteria-like sequence in the genome of some Silene species. Biologia Plantarum, 56(2), 247-253.</t>
  </si>
  <si>
    <t>Fechter, I., Hausmann, L., Daum, M., Sörensen, T. R., Viehöver, P., Weisshaar, B., &amp; Töpfer, R. (2012). Candidate genes within a 143 kb region of the flower sex locus in Vitis. Molecular Genetics and Genomics, 287(3), 247-259.</t>
  </si>
  <si>
    <t>VanBuren, R., &amp; Ming, R. (2013). Organelle DNA accumulation in the recently evolved papaya sex chromosomes. Molecular Genetics and Genomics, 288(5-6), 277-284.</t>
  </si>
  <si>
    <t>Sousa, A., Fuchs, J., &amp; Renner, S. S. (2013). Molecular cytogenetics (FISH, GISH) of Coccinia grandis: a ca. 3 myr-old species of Cucurbitaceae with the largest Y/autosome divergence in flowering plants. Cytogenetic and Genome Research, 139(2), 107-118.</t>
  </si>
  <si>
    <t>Govindarajulu, R., Liston, A., &amp; Ashman, T. L. (2013). Sex-determining chromosomes and sexual dimorphism: insights from genetic mapping of sex expression in a natural hybrid Fragaria× ananassa subsp. cuneifolia. Heredity, 110(5), 430-438.</t>
  </si>
  <si>
    <t>Tennessen, J. A., Govindarajulu, R., Liston, A., &amp; Ashman, T. L. (2013). Targeted sequence capture provides insight into genome structure and genetics of male sterility in a gynodioecious diploid strawberry, Fragaria vesca ssp. bracteata (Rosaceae). G3: Genes, Genomes, Genetics, 3(8), 1341-1351.</t>
  </si>
  <si>
    <t>Kejnovský et al 2013</t>
  </si>
  <si>
    <t>Kejnovský, E., Michalovova, M., Steflova, P., Kejnovska, I., Manzano, S., Hobza, R., ... &amp; Vyskot, B. (2013). Expansion of microsatellites on evolutionary young Y chromosome. PloS ONE, 8(1).</t>
  </si>
  <si>
    <t>Flores‐Rentería, L., Molina‐Freaner, F., Whipple, A. V., Gehring, C. A., &amp; Dominguez, C. A. (2013). Sexual stability in the nearly dioecious Pinus johannis (Pinaceae). American Journal of Botany, 100(3), 602-612.</t>
  </si>
  <si>
    <t>McDaniel, S. F., Neubig, K. M., Payton, A. C., Quatrano, R. S., &amp; Cove, D. J. (2013). Recent gene‐capture on the UV sex chromosomes of the moss Ceratodon purpureus. Evolution, 67(10), 2811-2822.</t>
  </si>
  <si>
    <t>Vega‐Frutis, R., Varga, S., &amp; Kytöviita, M. M. (2013). Sex‐specific interaction between arbuscular mycorrhizal and dark septate fungi in the dioecious plant A ntennaria dioica (A steraceae). Plant Biology, 15(3), 558-565.</t>
  </si>
  <si>
    <t>Cherif, E., Zehdi, S., Castillo, K., Chabrillange, N., Abdoulkader, S., Pintaud, J. C., ... &amp; Aberlenc‐Bertossi, F. (2013). Male‐specific DNA markers provide genetic evidence of an XY chromosome system, a recombination arrest and allow the tracing of paternal lineages in date palm. New Phytologist, 197(2), 409-415.</t>
  </si>
  <si>
    <t>Xiong, E., Wu, X., Shi, J., Wang, X., &amp; Wang, W. (2013). Proteomic identification of differentially expressed proteins between male and female plants in Pistacia chinensis. PLoS One, 8(5), e64276.</t>
  </si>
  <si>
    <t>Song, Y., Ma, K., Ci, D., Zhang, Z., &amp; Zhang, D. (2013). Sexual dimorphism floral microRNA profiling and target gene expression in andromonoecious poplar (Populus tomentosa). PLoS One, 8(5).</t>
  </si>
  <si>
    <t>Stölting, K. N., Nipper, R., Lindtke, D., Caseys, C., Waeber, S., Castiglione, S., &amp; Lexer, C. (2013). Genomic scan for single nucleotide polymorphisms reveals patterns of divergence and gene flow between ecologically divergent species. Molecular Ecology, 22(3), 842-855.</t>
  </si>
  <si>
    <t>Steflova, P., Tokan, V., Vogel, I., Lexa, M., Macas, J., Novak, P., ... &amp; Kejnovsky, E. (2013). Contrasting patterns of transposable element and satellite distribution on sex chromosomes (XY1Y2) in the dioecious plant Rumex acetosa. Genome Biology and Evolution, 5(4), 769-782.</t>
  </si>
  <si>
    <t>Liu, J., Yin, T., Ye, N., Chen, Y., Yin, T., Liu, M., &amp; Hassani, D. (2013). Transcriptome analysis of the differentially expressed genes in the male and female shrub willows (Salix suchowensis). PloS One, 8(4), e60181.</t>
  </si>
  <si>
    <t>Bergero, R., Qiu, S., Forrest, A., Borthwick, H., &amp; Charlesworth, D. (2013). Expansion of the pseudo-autosomal region and ongoing recombination suppression in the Silene latifolia sex chromosomes. Genetics, 194(3), 673-686.</t>
  </si>
  <si>
    <t>Slancarova, V., Zdanska, J., Janousek, B., Talianova, M., Zschach, C., Zluvova, J., ... &amp; Oxelman, B. (2013). Evolution of sex determination systems with heterogametic males and females in Silene. Evolution, 67(12), 3669-3677.</t>
  </si>
  <si>
    <t>Gao, W. J., Li, S. F., Zhang, G. J., Wang, N. N., Deng, C. L., &amp; Lu, L. D. (2013). Comparative analysis of gene expression by microarray analysis of male and female flowers of Asparagus officinalis. Bioscience, Biotechnology, and Biochemistry, 120943.</t>
  </si>
  <si>
    <t>Li, S. F., Gao, W. J., Zhao, X. P., Dong, T. Y., Deng, C. L., &amp; Lu, L. D. (2014). Analysis of transposable elements in the genome of Asparagus officinalis from high coverage sequence data. PLoS One, 9(5), e97189.</t>
  </si>
  <si>
    <t>Divashuk, M. G., Alexandrov, O. S., Razumova, O. V., Kirov, I. V., &amp; Karlov, G. I. (2014). Molecular cytogenetic characterization of the dioecious Cannabis sativa with an XY chromosome sex determination system. PLoS One, 9(1), e85118.</t>
  </si>
  <si>
    <t>Faux, A. M., Berhin, A., Dauguet, N., &amp; Bertin, P. (2014). Sex chromosomes and quantitative sex expression in monoecious hemp (Cannabis sativa L.). Euphytica, 196(2), 183-197.</t>
  </si>
  <si>
    <t>Aryal, R., Jagadeeswaran, G., Zheng, Y., Yu, Q., Sunkar, R., &amp; Ming, R. (2014). Sex specific expression and distribution of small RNAs in papaya. BMC Genomics, 15(1), 20.</t>
  </si>
  <si>
    <t>Na, J. K., Wang, J., &amp; Ming, R. (2014). Accumulation of interspersed and sex-specific repeats in the non-recombining region of papaya sex chromosomes. BMC Genomics, 15(1), 335.</t>
  </si>
  <si>
    <t>Bhowmick, B. K., Nanda, S., Nayak, S., Jha, S., &amp; Joshi, R. K. (2014). An APETALA3 MADS-box linked SCAR marker associated with male specific sex expression in Coccinia grandis (L). Voigt. Scientia Horticulturae, 176, 85-90.</t>
  </si>
  <si>
    <t>Ghadge, A. G., Karmakar, K., Devani, R. S., Banerjee, J., Mohanasundaram, B., Sinha, R. K., ... &amp; Banerjee, A. K. (2014). Flower development, pollen fertility and sex expression analyses of three sexual phenotypes of Coccinia grandis. BMC Plant Biology, 14(1), 325.</t>
  </si>
  <si>
    <t>Shaina and Beevy 2014</t>
  </si>
  <si>
    <t>Shaina, T. J., &amp; Beevy, S. S. (2014). Chromosomal variations in Coccinia grandis (L.) Voigt, an actively evolving dioecious cucurbit exhibiting floral plymorphism. The Nucleus, 57(2), 121-127.</t>
  </si>
  <si>
    <t>Yakovin, N. A., Divashuk, M. G., Razumova, O. V., Soloviev, A. A., &amp; Karlov, G. I. (2014). Use of laser microdissection for the construction of Humulus japonicus Siebold et Zuccarini, 1846 (Cannabaceae) sex chromosome-specific DNA library and cytogenetics analysis. Comparative Cytogenetics, 8(4), 323.</t>
  </si>
  <si>
    <t>Adhikari, S., Saha, S., Bandyopadhyay, T. K., &amp; Ghosh, P. (2014). Identification and validation of a new male sex-specific ISSR marker in pointed gourd (Trichosanthes dioica Roxb.). The Scientific World Journal, 2014 (Article ID 216896).</t>
  </si>
  <si>
    <t>Ahmed et al 2014</t>
  </si>
  <si>
    <t>https://www.sciencedirect.com/science/article/pii/S0960982214009051</t>
  </si>
  <si>
    <t>Ahmed, S., Cock, J. M., Pessia, E., Luthringer, R., Cormier, A., Robuchon, M., ... &amp; Valero, M. (2014). A haploid system of sex determination in the brown alga Ectocarpus sp. Current Biology, 24(17), 1945-1957.</t>
  </si>
  <si>
    <t>Akagi, T., Kajita, K., Kibe, T., Morimura, H., Tsujimoto, T., Nishiyama, S., ... &amp; Tao, R. (2014). Development of molecular markers associated with sexuality in Diospyros lotus L. and their application in D. kaki Thunb. Journal of the Japanese Society for Horticultural Science, 83(3), 214-221.</t>
  </si>
  <si>
    <t>Akagi, T., Henry, I. M., Tao, R., &amp; Comai, L. (2014). A Y-chromosome–encoded small RNA acts as a sex determinant in persimmons. Science, 346(6209), 646-650.</t>
  </si>
  <si>
    <t>Baratakke, R. C., &amp; Patil, C. G. (2014). Development of male specific DNA based marker in Simarouba glauca DC (paradise tree). International Journal of Plant, Animal and Environmental Sciences, 4(2), 27-34.</t>
  </si>
  <si>
    <t>Penny, R. H. (2014). Sexual dimorphism in cryptically dioecious Thalictrum macrostylum. International Journal of Plant Sciences, 175(7), 794-802.</t>
  </si>
  <si>
    <t>Soza, V. L., &amp; Di Stilio, V. S. (2014). Pattern and process in the evolution of the sole dioecious member of Brassicaceae. EvoDevo, 5(1), 42.</t>
  </si>
  <si>
    <t>Mathew, L. S., Spannagl, M., Al-Malki, A., George, B., Torres, M. F., Al-Dous, E. K., ... &amp; Mohamoud, Y. A. (2014). A first genetic map of date palm (Phoenix dactylifera) reveals long-range genome structure conservation in the palms. BMC Genomics, 15(1), 285.</t>
  </si>
  <si>
    <t>Sun, Q., Yang, X., &amp; Li, R. (2014). SCAR marker for sex identification of Pistacia chinensis Bunge (Anacardiaceae). Genetics and Molecular Research, 13(1), 1395-1401.</t>
  </si>
  <si>
    <t>Kersten, B., Pakull, B., Groppe, K., Lueneburg, J., &amp; Fladung, M. (2014). The sex‐linked region in Populus tremuloides Turesson 141 corresponds to a pericentromeric region of about two million base pairs on P. trichocarpa chromosome 19. Plant Biology, 16(2), 411-418.</t>
  </si>
  <si>
    <t>Kumar et al 2014</t>
  </si>
  <si>
    <t>https://doi.org/10.1007/s12041-014-0326-7</t>
  </si>
  <si>
    <t>Kumar, S., Kumari, R., &amp; Sharma, V. (2014). Genetics of dioecy and causal sex chromosomes in plants. Journal of Genetics, 93(1), 241-277.</t>
  </si>
  <si>
    <t>Steflova, P., Hobza, R., Vyskot, B., &amp; Kejnovsky, E. (2014). Strong accumulation of chloroplast DNA in the Y chromosomes of Rumex acetosa and Silene latifolia. Cytogenetic and Genome Research, 142(1), 59-65.</t>
  </si>
  <si>
    <t>Kralova, T., Cegan, R., Kubat, Z., Vrana, J., Vyskot, B., Vogel, I., ... &amp; Hobza, R. (2014). Identification of a novel retrotransposon with sex chromosome-specific distribution in Silene latifolia. Cytogenetic and Genome Research, 143(1-3), 87-95.</t>
  </si>
  <si>
    <t>Kubat, Z., Zluvova, J., Vogel, I., Kovacova, V., Cermak, T., Cegan, R., ... &amp; Kejnovsky, E. (2014). Possible mechanisms responsible for absence of a retrotransposon family on a plant Y chromosome. New Phytologist, 202(2), 662-678.</t>
  </si>
  <si>
    <t>Weingartner, L. A., &amp; Delph, L. F. (2014). Neo‐sex chromosome inheritance across species in Silene hybrids. Journal of Evolutionary Biology, 27(7), 1491-1499.</t>
  </si>
  <si>
    <t>Heikrujam, M., Sharma, K., Kumar, J., &amp; Agrawal, V. (2014). Validation of male sex‐specific UBC‐8071200 ISSR marker and its conversion into sequence tagged sites marker in Jojoba: a high precision oil yielding dioecious shrub. Plant Breeding, 133(5), 666-671.</t>
  </si>
  <si>
    <t>Heikrujam, M., Sharma, K., Kumar, J., &amp; Agrawal, V. (2014). Generation and validation of unique male sex-specific sequence tagged sites (STS) marker from diverse genotypes of dioecious Jojoba-Simmondsia chinensis (Link) Schneider. Euphytica, 199(3), 363-372.</t>
  </si>
  <si>
    <t>Jangra, S., Kharb, P., Mitra, C., &amp; Uppal, S. (2014). Early diagnosis of sex in jojoba, Simmondsia chinensis (link) schneider by sequence characterized amplified region marker. Proceedings of the National Academy of Sciences, India Section B: Biological Sciences, 84(2), 251-255.</t>
  </si>
  <si>
    <t>Zhang, Q., Liu, C., Liu, Y., VanBuren, R., Yao, X., Zhong, C., &amp; Huang, H. (2015). High-density interspecific genetic maps of kiwifruit and the identification of sex-specific markers. DNA Research, 22(5), 367-375.</t>
  </si>
  <si>
    <t>Harkess, A., Mercati, F., Shan, H. Y., Sunseri, F., Falavigna, A., &amp; Leebens‐Mack, J. (2015). Sex‐biased gene expression in dioecious garden asparagus (asparagus officinalis). New Phytologist, 207(3), 883-892.</t>
  </si>
  <si>
    <t>Lappin, F. M., Medert, C. M., Hawkins, K. K., Mardonovich, S., Wu, M., &amp; Moore, R. C. (2015). A polymorphic pseudoautosomal boundary in the Carica papaya sex chromosomes. Molecular Genetics and Genomics, 290(4), 1511-1522.</t>
  </si>
  <si>
    <t>Wu, M., &amp; Moore, R. C. (2015). The evolutionary tempo of sex chromosome degradation in Carica papaya. Journal of Molecular Evolution, 80(5-6), 265-277.</t>
  </si>
  <si>
    <t>Holstein 2015</t>
  </si>
  <si>
    <t>Holstein, N. (2015). Monograph of Coccinia (Cucurbitaceae). PhytoKeys, (54), 1.</t>
  </si>
  <si>
    <t>Joseph, K. S., Murthy, H. N., &amp; Ravishankar, K. V. (2015). Development of a SCAR marker associated with male sex determination in Garcinia indica Choisy. The Journal of Horticultural Science and Biotechnology, 90(3), 332-336.</t>
  </si>
  <si>
    <t>Chawla, A., Stobdan, T., Srivastava, R. B., Jaiswal, V., Chauhan, R. S., &amp; Kant, A. (2015). Sex-biased temporal gene expression in male and female floral buds of seabuckthorn (Hippophae rhamnoides). PloS One, 10(4), e0124890.</t>
  </si>
  <si>
    <t>Higo, A., Niwa, M., Yamato, K. T., Yamada, L., Sawada, H., Sakamoto, T., ... &amp; Yamaguchi, K. (2016). Transcriptional framework of male gametogenesis in the liverwort Marchantia polymorpha L. Plant and Cell Physiology, 57(2), 325-338.</t>
  </si>
  <si>
    <t>Nishihama et al 2015</t>
  </si>
  <si>
    <t>Nishihama, R., Ishizaki, K., Hosaka, M., Matsuda, Y., Kubota, A., &amp; Kohchi, T. (2015). Phytochrome-mediated regulation of cell division and growth during regeneration and sporeling development in the liverwort Marchantia polymorpha. Journal of Plant Research, 128(3), 407-421.</t>
  </si>
  <si>
    <t>Russel and Pannell 2015</t>
  </si>
  <si>
    <t>Russell, J. R. W., &amp; Pannell, J. R. (2015). Sex determination in dioecious Mercurialis annua and its close diploid and polyploid relatives. Heredity, 114(3), 262.</t>
  </si>
  <si>
    <t>Bhowmick, B. K., &amp; Jha, S. (2015). Differential heterochromatin distribution, flow cytometric genome size and meiotic behavior of chromosomes in three Cucurbitaceae species. Scientia Horticulturae, 193, 322-329.</t>
  </si>
  <si>
    <t>Iovene, M., Yu, Q., Ming, R., &amp; Jiang, J. (2015). Evidence for emergence of sex-determining gene (s) in a centromeric region in Vasconcellea parviflora. Genetics, 199(2), 413-421.</t>
  </si>
  <si>
    <t>Wang, H., Matsushita, M., Tomaru, N., &amp; Nakagawa, M. (2015). Differences in female reproductive success between female and hermaphrodite individuals in the subdioecious shrub Eurya japonica (Theaceae). Plant Biology, 17(1), 194-200.</t>
  </si>
  <si>
    <t>Wu, Q., Chen, Y., Wang, Y., &amp; Lin, L. (2015). Sex differential marker FD for rapid sex identification of Litsea cubeba. Genetics and Molecular Research, 14(4), 12820-12827.</t>
  </si>
  <si>
    <t>Kafkas, S., Khodaeiaminjan, M., Güney, M., &amp; Kafkas, E. (2015). Identification of sex-linked SNP markers using RAD sequencing suggests ZW/ZZ sex determination in Pistacia vera L. BMC Genomics, 16(1), 98.</t>
  </si>
  <si>
    <t>Sola-Campoy, P. J., Robles, F., Schwarzacher, T., Rejón, C. R., de la Herrán, R., &amp; Navajas-Pérez, R. (2015). The molecular cytogenetic characterization of pistachio (Pistacia vera L.) suggests the arrest of recombination in the largest heteropycnotic pair HC1. PloS One, 10(12), e0143861.</t>
  </si>
  <si>
    <t>Caseys, C., Stölting, K. N., Barbará, T., González-Martínez, S. C., &amp; Lexer, C. (2015). Patterns of genetic diversity and differentiation in resistance gene clusters of two hybridizing European Populus species. Tree Genetics &amp; Genomes, 11(4), 81.</t>
  </si>
  <si>
    <t>Geraldes, A., Hefer, C. A., Capron, A., Kolosova, N., Martinez‐Nuñez, F., Soolanayakanahally, R. Y., ... &amp; Cronk, Q. C. (2015). Recent Y chromosome divergence despite ancient origin of dioecy in poplars (Populus). Molecular Ecology, 24(13), 3243-3256.</t>
  </si>
  <si>
    <t>Hou, J., Ye, N., Zhang, D., Chen, Y., Fang, L., Dai, X., &amp; Yin, T. (2015). Different autosomes evolved into sex chromosomes in the sister genera of Salix and Populus. Scientific Reports, 5, 9076.</t>
  </si>
  <si>
    <t>Pakull, B., Kersten, B., Lüneburg, J., &amp; Fladung, M. (2015). A simple PCR‐based marker to determine sex in aspen. Plant Biology, 17(1), 256-261.</t>
  </si>
  <si>
    <t>Bhowmick and Jha 2015b</t>
  </si>
  <si>
    <t>https://www.ias.ac.in/article/fulltext/jgen/094/04/0793-0808</t>
  </si>
  <si>
    <t>Bhowmick, B. K., &amp; Jha, S. (2015). Dynamics of sex expression and chromosome diversity in Cucurbitaceae: a story in the making. Journal of Genetics, 94(4), 793-808.</t>
  </si>
  <si>
    <t>https://doi.org/10.1007/s10577-014-9446-4</t>
  </si>
  <si>
    <t>Grabowska-Joachimiak, A., Kula, A., Książczyk, T., Chojnicka, J., Sliwinska, E., &amp; Joachimiak, A. J. (2015). Chromosome landmarks and autosome-sex chromosome translocations in Rumex hastatulus, a plant with XX/XY1Y2 sex chromosome system. Chromosome Research, 23(2), 187-197.</t>
  </si>
  <si>
    <t>Pucholt, P., Rönnberg-Wästljung, A. C., &amp; Berlin, S. (2015). Single locus sex determination and female heterogamety in the basket willow (Salix viminalis L.). Heredity, 114(6), 575.</t>
  </si>
  <si>
    <t>Zemp, N., Tavares, R., &amp; Widmer, A. (2015). Fungal infection induces sex-specific transcriptional changes and alters sexual dimorphism in the dioecious plant Silene latifolia. PLoS Genetics, 11(10), e1005536.</t>
  </si>
  <si>
    <t>Fujito, S., Takahata, S., Suzuki, R., Hoshino, Y., Ohmido, N., &amp; Onodera, Y. (2015). Evidence for a common origin of homomorphic and heteromorphic sex chromosomes in distinct Spinacia species. G3: Genes, Genomes, Genetics, 5(8), 1663-1673.</t>
  </si>
  <si>
    <t>Hossain, M. U., Islam, M., Afroz, M., Sultana, S. S., &amp; Alam, S. S. (2016). Karyotype and RAPD analysis of male and female Coccinia grandis L. from Bangladesh. Cytologia, 81(3), 349-355.</t>
  </si>
  <si>
    <t>Sousa, A., Bellot, S., Fuchs, J., Houben, A., &amp; Renner, S. S. (2016). Analysis of transposable elements and organellar DNA in male and female genomes of a species with a huge Y chromosome reveals distinct Y centromeres. The Plant Journal, 88(3), 387-396.</t>
  </si>
  <si>
    <t>Tennessen, J. A., Govindarajulu, R., Liston, A., &amp; Ashman, T. L. (2016). Homomorphic ZW chromosomes in a wild strawberry show distinctive recombination heterogeneity but a small sex‐determining region. New Phytologist, 211(4), 1412-1423.</t>
  </si>
  <si>
    <t>Hill, S. T., Coggins, J., Liston, A., Hendrix, D., &amp; Henning, J. A. (2016). Genomics of the hop pseudo-autosomal regions. Euphytica, 209(1), 171-179.</t>
  </si>
  <si>
    <t>Mizia, P., Cygan, M., Denysenko, M., Kwolek, D., Chramiec-Głąbik, A., Grabowska-Joachimiak, A., &amp; Joachimiak, A. J. (2016). Development of a RAPD-based male-specific molecular marker in Japanese hop (Humulus japonicus Siebold &amp; Zucc.). Acta Biologica Cracoviensia s. Botanica, 58(2), 21-27.</t>
  </si>
  <si>
    <t>Orlofsky, E. M., Kozhoridze, G., Lyubenova, L., Ostrozhenkova, E., Winkler, J. B., Schröder, P., ... &amp; Golan-Goldhirsh, A. (2016). Sexual dimorphism in the response of Mercurialis annua to stress. Metabolites, 6(2), 13.</t>
  </si>
  <si>
    <t>Mohanty, J. N., Nayak, S., Jha, S., &amp; Joshi, R. K. (2016). A sequence tagged site (STS) marker encoding Copia-like retrotransposable element is associated with male specific sex expression in Momordica dioica Roxb. Scientia Horticulturae, 201, 265-270.</t>
  </si>
  <si>
    <t>Cherif, E., Zehdi‐Azouzi, S., Crabos, A., Castillo, K., Chabrillange, N., Pintaud, J. C., ... &amp; Aberlenc‐Bertossi, F. (2016). Evolution of sex chromosomes prior to speciation in the dioecious Phoenix species. Journal of Evolutionary Biology, 29(8), 1513-1522.</t>
  </si>
  <si>
    <t>Li, S. F., Zhang, G. J., Yuan, J. H., Deng, C. L., &amp; Gao, W. J. (2016). Repetitive sequences and epigenetic modification: inseparable partners play important roles in the evolution of plant sex chromosomes. Planta, 243(5), 1083-1095.</t>
  </si>
  <si>
    <t>Chen, Y., Wang, T., Fang, L., Li, X., &amp; Yin, T. (2016). Confirmation of single-locus sex determination and female heterogamety in willow based on linkage analysis. PloS One, 11(2), e0147671.</t>
  </si>
  <si>
    <t>Kazama, Y., Ishii, K., Aonuma, W., Ikeda, T., Kawamoto, H., Koizumi, A., ... &amp; Abe, T. (2016). A new physical mapping approach refines the sex-determining gene positions on the Silene latifolia Y-chromosome. Scientific Reports, 6, 18917.</t>
  </si>
  <si>
    <t>Tang, P., Zhang, Q., &amp; Yao, X. (2017). Comparative transcript profiling explores differentially expressed genes associated with sexual phenotype in kiwifruit. PloS One, 12(7), e0180542.</t>
  </si>
  <si>
    <t>Harkess, A., Zhou, J., Xu, C., Bowers, J. E., Van der Hulst, R., Ayyampalayam, S., ... &amp; Tang, H. (2017). The asparagus genome sheds light on the origin and evolution of a young Y chromosome. Nature Communications, 8(1), 1279.</t>
  </si>
  <si>
    <t>Tsugama, D., Matsuyama, K., Ide, M., Hayashi, M., Fujino, K., &amp; Masuda, K. (2017). A putative MYB35 ortholog is a candidate for the sex-determining genes in Asparagus officinalis. Scientific Reports, 7, 41497.</t>
  </si>
  <si>
    <t>Karlov, G. I., Razumova, O. V., Alexandrov, O. S., Divashuk, M. G., &amp; Kroupin, P. Y. (2017). Classical and molecular cytogenetics of Cannabis sativa L. In S. Chandra, H. Lata, &amp; M. A. ElSohly (Eds.), Cannabis sativa L. - Botany and Biotechnology (pp. 385–394). Springer, Cham.</t>
  </si>
  <si>
    <t>Mori, K., Shirasawa, K., Nogata, H., Hirata, C., Tashiro, K., Habu, T., ... &amp; Ikegami, H. (2017). Identification of RAN1 orthologue associated with sex determination through whole genome sequencing analysis in fig (Ficus carica L.). Scientific Reports, 7, 41124.</t>
  </si>
  <si>
    <t>Devani, R. S., Sinha, S., Banerjee, J., Sinha, R. K., Bendahmane, A., &amp; Banerjee, A. K. (2017). De novo transcriptome assembly from flower buds of dioecious, gynomonoecious and chemically masculinized female Coccinia grandis reveals genes associated with sex expression and modification. BMC Plant Biology, 17(1), 241.</t>
  </si>
  <si>
    <t>Mohanty, J. N., Nayak, S., Jha, S., &amp; Joshi, R. K. (2017). Transcriptome profiling of the floral buds and discovery of genes related to sex-differentiation in the dioecious cucurbit Coccinia grandis (L.) Voigt. Gene, 626, 395-406.</t>
  </si>
  <si>
    <t>Sousa, A., Fuchs, J., &amp; Renner, S. S. (2017). Cytogenetic comparison of heteromorphic and homomorphic sex chromosomes in Coccinia (Cucurbitaceae) points to sex chromosome turnover. Chromosome Research, 25(2), 191-200.</t>
  </si>
  <si>
    <t>Tamiru, M., Natsume, S., Takagi, H., White, B., Yaegashi, H., Shimizu, M., ... &amp; Urasaki, N. (2017). Genome sequencing of the staple food crop white Guinea yam enables the development of a molecular marker for sex determination. BMC Biology, 15(1), 86.</t>
  </si>
  <si>
    <t>Wei, N., Govindarajulu, R., Tennessen, J. A., Liston, A., Ashman, T. L., &amp; Sayres, M. W. (2017). Genetic mapping and phylogenetic analysis reveal intraspecific variation in sex chromosomes of the Virginian strawberry. Journal of Heredity, 108(7), 731-739.</t>
  </si>
  <si>
    <t>Wei, N., Tennessen, J. A., Liston, A., &amp; Ashman, T. L. (2017). Present‐day sympatry belies the evolutionary origin of a high‐order polyploid. New Phytologist, 216(1), 279-290.</t>
  </si>
  <si>
    <t>Puterova, J., Razumova, O., Martinek, T., Alexandrov, O., Divashuk, M., Kubat, Z., ... &amp; Kejnovsky, E. (2017). Satellite DNA and transposable elements in seabuckthorn (Hippophae rhamnoides), a dioecious plant with small Y and large X chromosomes. Genome Biology and Evolution, 9(1), 197-212.</t>
  </si>
  <si>
    <t>Li, S. F., Wang, L. J., Deng, C. L., &amp; Gao, W. J. (2017). Identification of male-specific AFLP and SCAR markers in the dioecious plant Humulus scandens. Molecular and Cellular Probes, 34, 68-70.</t>
  </si>
  <si>
    <t>Bowman, J. L., Kohchi, T., Yamato, K. T., Jenkins, J., Shu, S., Ishizaki, K., ... &amp; Adam, C. (2017). Insights into land plant evolution garnered from the Marchantia polymorpha genome. Cell, 171(2), 287-304.</t>
  </si>
  <si>
    <t>Krieg, C., Watkins Jr, J. E., Chambers, S., &amp; Husby, C. E. (2017). Sex-specific differences in functional traits and resource acquisition in five cycad species. AoB Plants, 9(2), plx013.</t>
  </si>
  <si>
    <t>Tomasino, M. P., Gennaro, A., Simeone, M. C., Schirone, B., &amp; Ceoloni, C. (2017). New insights into the Taxus baccata L. karyotype based on conventional and molecular cytogenetic analyses. Caryologia, 70(3), 248-257.</t>
  </si>
  <si>
    <t>Yamazaki, T., Ichihara, K., Suzuki, R., Oshima, K., Miyamura, S., Kuwano, K., ... &amp; Kawano, S. (2017). Genomic structure and evolution of the mating type locus in the green seaweed Ulva partita. Scientific Reports, 7(1), 1-17.</t>
  </si>
  <si>
    <t>Ali, H. B. M., Abubakari, A., Wiehle, M., &amp; Krutovsky, K. V. (2018). Gene-specific sex-linked genetic markers in date palm (Phoenix dactylifera L.). Genetic Resources and Crop Evolution, 65(1), 1-10.</t>
  </si>
  <si>
    <t>Mohei, E. L., Mohasseb, H. A. A., Al-Khateeb, A. A., Al-Khateeb, S. A., Chowdhury, K., El-Shemy, H. A., &amp; Aldaej, M. I. (2017). Identification and sequencing of Date-SRY Gene: A novel tool for sex determination of date palm (Phoenix dactylifera L.). Saudi Journal of Biological Sciences, 26(3), 514-523</t>
  </si>
  <si>
    <t>Khodaeiaminjan, M., Kafkas, E., Güney, M., &amp; Kafkas, S. (2017). Development and linkage mapping of novel sex-linked markers for marker-assisted cultivar breeding in pistachio (Pistacia vera L.). Molecular Breeding, 37(8), 98.</t>
  </si>
  <si>
    <t>Bräutigam, K., Soolanayakanahally, R., Champigny, M., Mansfield, S., Douglas, C., Campbell, M. M., &amp; Cronk, Q. (2017). Sexual epigenetics: gender-specific methylation of a gene in the sex determining region of Populus balsamifera. Scientific Reports, 7, 45388.</t>
  </si>
  <si>
    <t>McKown, A. D., Klápště, J., Guy, R. D., Soolanayakanahally, R. Y., La Mantia, J., Porth, I., ... &amp; Hamelin, R. C. (2017). Sexual homomorphism in dioecious trees: extensive tests fail to detect sexual dimorphism in Populus. Scientific Reports, 7(1), 1-14.</t>
  </si>
  <si>
    <t>Beaudry et al 2017</t>
  </si>
  <si>
    <t>Beaudry, F. E., Barrett, S. C., &amp; Wright, S. I. (2017). Genomic loss and silencing on the Y chromosomes of Rumex. Genome Biology and Evolution, 9(12), 3345-3355.</t>
  </si>
  <si>
    <t>Manzano, S., Megías, Z., Martínez, C., García, A., Aguado, E., Chileh, T., ... &amp; Kubát, Z. (2017). Overexpression of a flower‐specific aerolysin‐like protein from the dioecious plant Rumex acetosa alters flower development and induces male sterility in transgenic tobacco. The Plant Journal, 89(1), 58-72.</t>
  </si>
  <si>
    <t>Carlson, C. H., Choi, Y., Chan, A. P., Serapiglia, M. J., Town, C. D., &amp; Smart, L. B. (2017). Dominance and sexual dimorphism pervade the Salix purpurea L. transcriptome. Genome Biology and Evolution, 9(9), 2377-2394.</t>
  </si>
  <si>
    <t>Pucholt, P., Wright, A. E., Conze, L. L., Mank, J. E., &amp; Berlin, S. (2017). Recent sex chromosome divergence despite ancient dioecy in the willow Salix viminalis. Molecular Biology and Evolution, 34(8), 1991-2001.</t>
  </si>
  <si>
    <t>Cegan, R., Hudzieczek, V., &amp; Hobza, R. (2017). De novo transcriptome assembly of heavy metal tolerant Silene dioica. Genomics Data, 11, 118-119.</t>
  </si>
  <si>
    <t>West, N. W., &amp; Golenberg, E. M. (2018). Gender‐specific expression of GIBBERELLIC ACID INSENSITIVE is critical for unisexual organ initiation in dioecious Spinacia oleracea. New Phytologist, 217(3), 1322-1334.</t>
  </si>
  <si>
    <t>Coito, J. L., Ramos, M. J., Cunha, J., Silva, H. G., Amâncio, S., Costa, M. M., &amp; Rocheta, M. (2017). VviAPRT3 and VviFSEX: Two genes involved in sex specification able to distinguish different flower types in Vitis. Frontiers in Plant Science, 8, 98.</t>
  </si>
  <si>
    <t>Akagi, T., Henry, I. M., Ohtani, H., Morimoto, T., Beppu, K., Kataoka, I., &amp; Tao, R. (2018). A Y-encoded suppressor of feminization arose via lineage-specific duplication of a cytokinin response regulator in kiwifruit. The Plant Cell, 30(4), 780-795.</t>
  </si>
  <si>
    <t>Moreno, R., Castro, P., Vrána, J., Kubaláková, M., Cápal, P., García Pérez, V., ... &amp; Doležel, J. (2018). Integration of genetic and cytogenetic maps and identification of sex chromosome in garden asparagus (Asparagus officinalis L.). Frontiers in Plant Science, 9, 1068.</t>
  </si>
  <si>
    <t>Lee, C. Y., Lin, H. J., Viswanath, K. K., Lin, C. P., Chang, B. C. H., Chiu, P. H., ... &amp; Chen, F. C. (2018). The development of functional mapping by three sex-related loci on the third whorl of different sex types of Carica papaya L. PloS One, 13(3), e0194605.</t>
  </si>
  <si>
    <t>Modi, A., Suthar, K., Thakkar, P., Mankad, M. C., Kumari, S., Narayanan, S., ... &amp; Kumar, N. (2018). Evaluation of sex specific RAPD and SCAR markers linked to papaya (Carica papaya L.). Biocatalysis and Agricultural Biotechnology, 16, 271-276.</t>
  </si>
  <si>
    <t>Tennessen, J. A., Wei, N., Straub, S. C., Govindarajulu, R., Liston, A., &amp; Ashman, T. L. (2018). Repeated translocation of a gene cassette drives sex-chromosome turnover in strawberries. PLoS Biology, 16(8), e2006062.</t>
  </si>
  <si>
    <t>Zhou, W., Wang, Y., Zhang, G., Luan, G., Chen, S., Meng, J., ... &amp; Suo, Y. (2018). Molecular sex identification in dioecious Hippophae rhamnoides L. via RAPD and SCAR markers. Molecules, 23(5), 1048.</t>
  </si>
  <si>
    <t>Flores-Sandoval et al 2018</t>
  </si>
  <si>
    <t>Flores-Sandoval, E., Romani, F., &amp; Bowman, J. L. (2018). Co-expression and transcriptome analysis of Marchantia polymorpha transcription factors supports class C ARFs as independent actors of an ancient auxin regulatory module. Frontiers in Plant Science, 9, 1345.</t>
  </si>
  <si>
    <t>Higo, A., Kawashima, T., Borg, M., Zhao, M., López-Vidriero, I., Sakayama, H., ... &amp; Nishiyama, T. (2018). Transcription factor DUO1 generated by neo-functionalization is associated with evolution of sperm differentiation in plants. Nature Communications, 9(1), 1-13.</t>
  </si>
  <si>
    <t>Schmid et al 2018</t>
  </si>
  <si>
    <t>Schmid, M. W., Giraldo-Fonseca, A., Rövekamp, M., Smetanin, D., Bowman, J. L., &amp; Grossniklaus, U. (2018). Extensive epigenetic reprogramming during the life cycle of Marchantia polymorpha. Genome Biology, 19(1), 9.</t>
  </si>
  <si>
    <t>Veltsos, P., Cossard, G., Beaudoing, E., Beydon, G., Savova Bianchi, D., Roux, C., ... &amp; R Pannell, J. (2018). Size and content of the sex-determining region of the Y chromosome in dioecious Mercurialis annua, a plant with homomorphic sex chromosomes. Genes, 9(6), 277.</t>
  </si>
  <si>
    <t>Hamaji, T., Kawai-Toyooka, H., Uchimura, H., Suzuki, M., Noguchi, H., Minakuchi, Y., ... &amp; Nozaki, H. (2018). Anisogamy evolved with a reduced sex-determining region in volvocine green algae. Communications Biology, 1(1), 17.</t>
  </si>
  <si>
    <t>Torres, M. F., Mathew, L. S., Ahmed, I., Al-Azwani, I. K., Krueger, R., Rivera-Nuñez, D., ... &amp; Malek, J. A. (2018). Genus-wide sequencing supports a two-locus model for sex-determination in Phoenix. Nature Communications, 9(1), 3969.</t>
  </si>
  <si>
    <t>Xin, H., Zhang, T., Han, Y., Wu, Y., Shi, J., Xi, M., &amp; Jiang, J. (2018). Chromosome painting and comparative physical mapping of the sex chromosomes in Populus tomentosa and Populus deltoides. Chromosoma, 127(3), 313-321.</t>
  </si>
  <si>
    <t>Coelho, S. M., Gueno, J., Lipinska, A. P., Cock, J. M., &amp; Umen, J. G. (2018). UV chromosomes and haploid sexual systems. Trends in Plant Science, 23(9), 794-807.</t>
  </si>
  <si>
    <t>Darolti, I., Wright, A. E., Pucholt, P., Berlin, S., &amp; Mank, J. E. (2018). Slow evolution of sex‐biased genes in the reproductive tissue of the dioecious plant Salix viminalis. Molecular Ecology, 27(3), 694-708.</t>
  </si>
  <si>
    <t>Zhou, R., Macaya-Sanz, D., Rodgers-Melnick, E., Carlson, C. H., Gouker, F. E., Evans, L. M., ... &amp; Smart, L. B. (2018). Characterization of a large sex determination region in Salix purpurea L.(Salicaceae). Molecular Genetics and Genomics, 293(6), 1437-1452.</t>
  </si>
  <si>
    <t>Liu, X., &amp; Karrenberg, S. (2018). Genetic architecture of traits associated with reproductive barriers in Silene: Coupling, sex chromosomes and variation. Molecular Ecology, 27(19), 3889-3904.</t>
  </si>
  <si>
    <t>Puterova, J., Kubat, Z., Kejnovsky, E., Jesionek, W., Cizkova, J., Vyskot, B., &amp; Hobza, R. (2018). The slowdown of Y chromosome expansion in dioecious Silene latifolia due to DNA loss and male-specific silencing of retrotransposons. BMC Genomics, 19(1), 153.</t>
  </si>
  <si>
    <t>Kudoh, T., Takahashi, M., Osabe, T., Toyoda, A., Hirakawa, H., Suzuki, Y., ... &amp; Onodera, Y. (2018). Molecular insights into the non-recombining nature of the spinach male-determining region. Molecular Genetics and Genomics, 293(2), 557-568.</t>
  </si>
  <si>
    <t>Wadlington, W. H., &amp; Ming, R. (2018). Development of an X-specific marker and identification of YY individuals in spinach. Theoretical and Applied Genetics, 131(9), 1987-1994.</t>
  </si>
  <si>
    <t>Prentout et al 2019</t>
  </si>
  <si>
    <t>Prentout, D., Razumova, O., Feng, C., &amp; Karlov, G. (2019). A high-throughput segregation analysis identifies the sex chromosomes of Cannabis sativa. BioRxiv Preprint, (1), 1–26.</t>
  </si>
  <si>
    <t>Cormier, F., Lawac, F., Maledon, E., Gravillon, M. C., Nudol, E., Mournet, P., ... &amp; Arnau, G. (2019). A reference high-density genetic map of greater yam (Dioscorea alata L.). Theoretical and Applied Genetics, 132(6), 1733-1744.</t>
  </si>
  <si>
    <t>Ohri and Rastogi 2019</t>
  </si>
  <si>
    <t>Ohri, D., &amp; Rastogi, S. (2019). Sex determination in gymnosperms. The Nucleus, 1-6.</t>
  </si>
  <si>
    <t>https://www.biorxiv.org/content/10.1101/517946v1.abstract</t>
  </si>
  <si>
    <t>Zhang, H., Zhang, R., Yang, X., Gu, K. J., Chen, W., Chang, Y., ... &amp; Yin, P. P. (2019). Recent origin of an XX/XY sex-determination system in the ancient plant lineage Ginkgo biloba. bioRxiv, 517946.</t>
  </si>
  <si>
    <t>Mangla, Y., Das, K., Bali, S., Ambreen, H., Raina, S. N., Tandon, R., &amp; Goel, S. (2019). Occurrence of subdioecy and scarcity of gender-specific markers reveal an ongoing transition to dioecy in Himalayan seabuckthorn (Hippophae rhamnoides ssp. turkestanica). Heredity, 122, 120-132.</t>
  </si>
  <si>
    <t>Hirakawa, Y., Uchida, N., Yamaguchi, Y. L., Tabata, R., Ishida, S., Ishizaki, K., ... &amp; Bowman, J. L. (2019). Control of proliferation in the haploid meristem by CLE peptide signaling in Marchantia polymorpha. PLoS Genetics, 15(3), e1007997.</t>
  </si>
  <si>
    <t>Hisanaga, T., Okahashi, K., Yamaoka, S., Kajiwara, T., Nishihama, R., Shimamura, M., ... &amp; Nakajima, K. (2019). A cis‐acting bidirectional transcription switch controls sexual dimorphism in the liverwort. The EMBO Journal, 38(6).</t>
  </si>
  <si>
    <t>Cossard, G. G., Toups, M. A., &amp; Pannell, J. R. (2019). Sexual dimorphism and rapid turnover in gene expression in pre-reproductive seedlings of a dioecious herb. Annals of Botany, 123(7), 1119-1131.</t>
  </si>
  <si>
    <t>Kadhka et al 2019</t>
  </si>
  <si>
    <t>https://www.ncbi.nlm.nih.gov/pubmed/31504768</t>
  </si>
  <si>
    <t>Khadka, J., Yadav, N. S., Guy, M., Grafi, G., &amp; Golan-Goldhirsh, A. (2019). Epigenetic aspects of floral homeotic genes in relation to sexual dimorphism in the dioecious plant Mercurialis annua. Journal of Experimental Botany, 70(21), 6245-6259.</t>
  </si>
  <si>
    <t>Schmid et al 2019</t>
  </si>
  <si>
    <t>Li, X., Veltsos, P., Cossard, G. G., Gerchen, J., &amp; Pannell, J. R. (2019). YY males of the dioecious plant Mercurialis annua are fully viable but produce largely infertile pollen. New Phytologist, 224(3), 1394-1404.</t>
  </si>
  <si>
    <t>Veltsos, P., Ridout, K. E., Toups, M. A., González-Martínez, S. C., Muyle, A., Emery, O., ... &amp; Marais, G. A. (2019). Early sex-chromosome evolution in the diploid dioecious plant Mercurialis annua. Genetics, 212(3), 815-835.</t>
  </si>
  <si>
    <t>Goyat, S., Grewal, A., Singh, D., Katiyar, R. S., Tewari, S. K., Nainwal, R. C., &amp; Bindu, K. H. (2019). Sex-linked AFLP marker identification in dioecious Betelvine (Piper betle L.). The Journal of Horticultural Science and Biotechnology, 94(4), 422-427.</t>
  </si>
  <si>
    <t>Jia, H. M., Jia, H. J., Cai, Q. L., Wang, Y., Zhao, H. B., Yang, W. F., ... &amp; Niu, Q. F. (2019). The red bayberry genome and genetic basis of sex determination. Plant Biotechnology Journal, 17(2), 397-409.</t>
  </si>
  <si>
    <t>Marks, R. A., Smith, J. J., Cronk, Q., Grassa, C. J., &amp; McLetchie, D. N. (2019). Genome of the tropical plant Marchantia inflexa: implications for sex chromosome evolution and dehydration tolerance. Scientific Reports, 9(1), 1-13.</t>
  </si>
  <si>
    <t>https://www.cambridge.org/core/services/aop-cambridge-core/content/view/9072C8D7BB4DBFE410417166CB791D0E/S0043174519000274a.pdf/div-class-title-sex-specific-markers-for-waterhemp-span-class-italic-amaranthus-tuberculatus-span-and-palmer-amaranth-span-class-italic-amaranthus-palmeri-span-div.pdf</t>
  </si>
  <si>
    <t>Montgomery, J. S., Sadeque, A., Giacomini, D. A., Brown, P. J., &amp; Tranel, P. J. (2019). Sex-specific markers for waterhemp (Amaranthus tuberculatus) and Palmer amaranth (Amaranthus palmeri). Weed Science, 67(4), 412-418.</t>
  </si>
  <si>
    <t>Hou et al 2019</t>
  </si>
  <si>
    <t>https://www.nature.com/articles/s41438-019-0121-y</t>
  </si>
  <si>
    <t>Hou, J., Wei, S., Pan, H., Zhuge, Q., &amp; Yin, T. (2019). Uneven selection pressure accelerating divergence of Populus and Salix. Horticulture Research, 6(1), 1-11.</t>
  </si>
  <si>
    <t>Melnikova, N. V., Kudryavtseva, A. V., Borkhert, E. V., Pushkova, E. N., Fedorova, M. S., Snezhkina, A. V., ... &amp; Dmitriev, A. A. (2019). Sex-specific polymorphism of MET1 and ARR17 genes in Populus× sibirica. Biochimie, 162, 26-32.</t>
  </si>
  <si>
    <t>Sabatti et al 2019</t>
  </si>
  <si>
    <t>Sabatti, M., Gaudet, M., Müller, N. A., Kersten, B., Gaudiano, C., Mugnozza, G. S., ... &amp; Beritognolo, I. (2019). Long-term study of a subdioecious Populus× canescens family reveals sex lability of females and reproduction behaviour of cosexual plants. Plant Reproduction, 1-17.</t>
  </si>
  <si>
    <t>Sanderson, B. J., Wang, L., Tiffin, P., Wu, Z., &amp; Olson, M. S. (2019). Sex‐biased gene expression in flowers, but not leaves, reveals secondary sexual dimorphism in Populus balsamifera. New Phytologist, 221(1), 527-539.</t>
  </si>
  <si>
    <t>Wang et al 2019</t>
  </si>
  <si>
    <t>Wang, P., Jiang, L., Ye, M., &amp; Wu, R. (2019). The genomic landscape of crossover interference in the desert tree Populus euphratica. Frontiers in Genetics, 10, 440.</t>
  </si>
  <si>
    <t>Vergara, D., Baker, H., Clancy, K., Keepers, K. G., Mendieta, J. P., Pauli, C. S., ... &amp; Kane, N. C. (2016). Genetic and genomic tools for Cannabis sativa. Critical Reviews in Plant Sciences, 35(5-6), 364-377.</t>
  </si>
  <si>
    <t>Balounova, V., Gogela, R., Cegan, R., Cangren, P., Zluvova, J., Safar, J., ... &amp; Oxelman, B. (2019). Evolution of sex determination and heterogamety changes in section Otites of the genus Silene. Scientific Reports, 9(1), 1045.</t>
  </si>
  <si>
    <t>Martin, H., Carpentier, F., Gallina, S., Godé, C., Schmitt, E., Muyle, A., ... &amp; Touzet, P. (2019). Evolution of young sex chromosomes in two dioecious sister plant species with distinct sex determination systems. Genome Biology and Evolution, 11(2), 350-361.</t>
  </si>
  <si>
    <t>Okazaki, Y., Takahata, S., Hirakawa, H., Suzuki, Y., &amp; Onodera, Y. (2019). Molecular evidence for recent divergence of X-and Y-linked gene pairs in Spinacia oleracea L. PloS One, 14(4).</t>
  </si>
  <si>
    <t>Toth, J. A., Stack, G. M., Cala, A. R., Carlson, C. H., Wilk, R. L., Crawford, J. L., … Smart, L. B. (2020). Development and validation of genetic markers for sex and cannabinoid chemotype in Cannabis sativa L. GCB Bioenergy, 12(3), 213–222.</t>
  </si>
  <si>
    <t>Carey et al 2021</t>
  </si>
  <si>
    <t>https://doi.org/10.3390/genes12030381</t>
  </si>
  <si>
    <t>Carey, S., Yu, Q., &amp; Harkess, A. (2021). The diversity of plant sex chromosomes highlighted through advances in genome sequencing. Genes, 12(3), 381.</t>
  </si>
  <si>
    <t>Abbreviated Reference</t>
  </si>
  <si>
    <t>Allen, C. (1919). The Basis of Sex Inheritance in Sphærocarpos. Proceedings of the American Philosophical Society, 58(5), 289-316. Retrieved from http://www.jstor.org/stable/984196</t>
  </si>
  <si>
    <t>Correns, C. (1929). Bestimmung, Vererbung und Verteilung des Geschlechts bei den höheren Pflanzen. Molecular and General Genetics MGG, 49(1), 168-168.</t>
  </si>
  <si>
    <t>Lorbeer 1934 (no link)</t>
  </si>
  <si>
    <t>Lorbeer, G. (1934). Die Zytologie der Lebermoose mit besonderer Berücksichtigung allgemeiner Chromosomenfragen: Tl 1. Borntraeger.</t>
  </si>
  <si>
    <t>Tatuno 1934 (no link)</t>
  </si>
  <si>
    <t>Tatuno, S. (1941). Zytologische Untersuchungen uber die Lebermoosevon Japan. Journal of Science, Hiroshima University B,2,4:73–187.G</t>
  </si>
  <si>
    <t>Yamada, I. (1943). The sex-chromosome of Cannabis sativa L. Seiken Ziho, 2, 64-68.</t>
  </si>
  <si>
    <t>Löve, A. (1944). Cytogenetic studies on Rumex subgenus Acetosella. Hereditas, 30(1‐2), 1-135.</t>
  </si>
  <si>
    <t>Chakravorti, A. K. (1948, March). Cytology of Coccinia Indica W. &amp; A. with reference to the behaviour of its sex-chromosomes. In Proceedings of the Indian Academy of Sciences-Section B (Vol. 27, No. 3, pp. 74-86). Springer India.</t>
  </si>
  <si>
    <t>Mather, K. (1949). Genetics of dioecy and monoecy in Ecballium.</t>
  </si>
  <si>
    <t>Westergaard, M. (1958). The mechanism of sex determination in dioecious flowering plants. In Advances in genetics (Vol. 9, pp. 217-281). Academic Press.</t>
  </si>
  <si>
    <t>Negi, S. S., &amp; Olmo, H. P. (1971). Conversion and determination of sex in Vitis vinifera L.(sylvestris). Vitis.</t>
  </si>
  <si>
    <t>Rao, C. P. (1971). Sex Chtomosomes of Wrangelia argus MONT. Botanica Marina, 14(2), 113-115.</t>
  </si>
  <si>
    <t>D'Cruz, R., Vyahalkar, G. R., &amp; Ugale, S. D. (1972). Cytogenetic Studies in Tetraploid Coccinia Indica W. and A. Caryologia, 25(4), 505-512.</t>
  </si>
  <si>
    <t>Meyer, Y., &amp; Herrmann, R. G. (1973). Analysis of DNA of male and femaleSphaerocarpos donnellii Aust.(Liverwort). Molecular and General Genetics MGG, 124(2), 167-176.</t>
  </si>
  <si>
    <t>Degraeve, N. (1976). Contribution to the cytotaxonomic study of the Rumex complex. IV. The genus Acetosa Mill. Information Systems Division, National Agricultural Library, USA.</t>
  </si>
  <si>
    <t>Jie, Z., &amp; Beuzenberg, E. J. (1983). Chromosome numbers in two varieties of Actinidia chinensis Planch. New Zealand journal of botany, 21(3), 353-355.</t>
  </si>
  <si>
    <t>Roy, R. P. (1990). Sex expression in the Cucurbitaceae. Biology and utilization of the Cucurbitaceae, 251-268.</t>
  </si>
  <si>
    <t>Durand, B., &amp; Durand, R. (1991). Sex determination and reproductive organ differentiation in Mercurialis. Plant science, 80(1-2), 49-65.</t>
  </si>
  <si>
    <t>McLetchie, D. N. (1992). Sex ratio from germination through maturity and its reproductive consequences in the liverwort Sphaerocarpos texanus. Oecologia, 92(2), 273-278.</t>
  </si>
  <si>
    <t>Aparicio, A. (1993). Sex-determining and floating translocation complexes in Viscum cruciatum Sieber ex Boiss.(Viscaceae) in southern Spain. Some evolutionary and ecological comments. Botanical journal of the Linnean Society, 111(3), 359-369.</t>
  </si>
  <si>
    <t>Testolin, R., Cipriani, G., &amp; Costa, G. (1995). Sex segregation ratio and gender expression in the genus Actinidia. Sexual plant reproduction, 8(3), 129-132.</t>
  </si>
  <si>
    <t>Hinnisdaels, S., Lardon, A., Barbacar, N., &amp; Negrutiu, I. (1997). A floral third whorl-specific marker gene in the dioecious species white campion is differentially expressed in mutants defective in stamen development. Plant molecular biology, 35(6), 1009-1014.</t>
  </si>
  <si>
    <t>Matsunaga, S., Kawano, S., &amp; Kuroiwa, T. (1997). MROS1, a male stamen-specific gene in the dioecious campion Silene latifolia is expressed in mature pollen. Plant and cell physiology, 38(4), 499-502.</t>
  </si>
  <si>
    <t>Spada, A., Caporali, E., Marziani, G., Portaluppi, P., Restivo, F. M., Tassi, F., &amp; Falavigna, A. (1998). A genetic map of Asparagus officinalis based on integrated RFLP, RAPD and AFLP molecular markers. Theoretical and applied genetics, 97(7), 1083-1089.</t>
  </si>
  <si>
    <t>Banerjee, N. S., Manoj, P., &amp; Das, M. R. (1999). Male-sex-associated RAPD markers in Piper longum L. Current science, 693-695.</t>
  </si>
  <si>
    <t>Delichere, C., Veuskens, J., Hernould, M., Barbacar, N., Mouras, A., Negrutiu, I., &amp; Moneger, F. (1999). SlY1, the first active gene cloned from a plant Y chromosome, encodes a WD‐repeat protein. The EMBO journal, 18(15), 4169-4179.</t>
  </si>
  <si>
    <t>Scutt, C. P., Oliveira, M., Gilmartin, P. M., &amp; Negrutiu, I. (1999). Morphological and molecular analysis of a double‐flowered mutant of the dioecious plant white campion showing both meristic and homeotic effects. Developmental genetics, 25(3), 267-279.</t>
  </si>
  <si>
    <t>Monéger, F., Barbacar, N., &amp; Negrutiu, I. (2000). Dioecious Silene at the X-road: the reasons Y. Sexual plant reproduction, 12(4), 245-249.</t>
  </si>
  <si>
    <t>Sakamoto, K., Ohmido, N., Fukui, K., Kamada, H., &amp; Satoh, S. (2000). Site-specific accumulation of a LINE-like retrotransposon in a sex chromosome of the dioecious plant Cannabis sativa. Plant molecular biology, 44(6), 723-732.</t>
  </si>
  <si>
    <t>Sheppard, L. A., Brunner, A. M., Krutovskii, K. V., Rottmann, W. H., Skinner, J. S., Vollmer, S. S., &amp; Strauss, S. H. (2000). A DEFICIENS homolog from the dioecious tree black cottonwood is expressed in female and male floral meristems of the two-whorled, unisexual flowers. Plant physiology, 124(2), 627-640.</t>
  </si>
  <si>
    <t>Shibata, F., Hizume, M., &amp; Kuroki, Y. (2000). Differentiation and the polymorphic nature of the Y chromosomes revealed by repetitive sequences in the dioecious plant, Rumex acetosa. Chromosome research, 8(3), 229-236.</t>
  </si>
  <si>
    <t>Obara, M., Matsunaga, S., Nakao, S., &amp; Kawano, S. (2002). A plant Y chromosome-STS marker encoding a degenerate retrotransposon. Genes &amp; genetic systems, 77(6), 393-398.</t>
  </si>
  <si>
    <t>Zhang, P., Pwee, K. H., Tan, H. T., &amp; Kumar, P. P. (2002). Cloning and characterization of Fortune-1, a novel gene with enhanced expression in male reproductive organs of Cycas edentata. Mechanisms of development, 114(1-2), 149-152.</t>
  </si>
  <si>
    <t>Kazama, Y., Sugiyama, R., Matsunaga, S., Shibata, F., Uchida, W., Hizume, M., &amp; Kawano, S. (2003). Organization of the KpnI family of chromosomal distal-end satellite DNAs in Silene latifolia. Journal of plant research, 116(4), 317-326.</t>
  </si>
  <si>
    <t>Matsunaga, S., Isono, E., Kejnovsky, E., Vyskot, B., Dolezel, J., Kawano, S., &amp; Charlesworth, D. (2003). Duplicative transfer of a MADS box gene to a plant Y chromosome. Molecular biology and evolution, 20(7), 1062-1069.</t>
  </si>
  <si>
    <t>Peil, A., Flachowsky, H., Schumann, E., &amp; Weber, W. E. (2003). Sex-linked AFLP markers indicate a pseudoautosomal region in hemp (Cannabis sativa L.). Theoretical and applied genetics, 107(1), 102-109.</t>
  </si>
  <si>
    <t>Sugiyama, R., Kazama, Y., Miyazawa, Y., Matsunaga, S., &amp; Kawano, S. (2003). CCLS96. 1, a member of a multicopy gene family, may encode a non-coding RNA preferentially transcribed in reproductive organs of Silene latifolia. DNA research, 10(5), 213-220.</t>
  </si>
  <si>
    <t>Sýkorová, E., Cartagena, J., Horakova, M., Fukui, K., &amp; Fajkus, J. (2003). Characterization of telomere-subtelomere junctions in Silene latifolia. Molecular genetics and genomics, 269(1), 13-20.</t>
  </si>
  <si>
    <t>Filatov, D. A. (2004). Substitution rates in a new Silene latifolia sex-linked gene, SlssX/Y. Molecular biology and evolution, 22(3), 402-408.</t>
  </si>
  <si>
    <t>Liu, Z., Moore, P. H., Ma, H., Ackerman, C. M., Ragiba, M., Yu, Q., ... &amp; Zee, F. T. (2004). A primitive Y chromosome in papaya marks incipient sex chromosome evolution. Nature, 427(6972), 348.</t>
  </si>
  <si>
    <t>Nicolas, M., Marais, G., Hykelova, V., Janousek, B., Laporte, V., Vyskot, B., ... &amp; Monéger, F. (2004). A gradual process of recombination restriction in the evolutionary history of the sex chromosomes in dioecious plants. PLoS biology, 3(1), e4.</t>
  </si>
  <si>
    <t>Ainsworth, C., Rahman, A., Parker, J., &amp; Edwards, G. (2005). Intersex inflorescences of Rumex acetosa demonstrate that sex determination is unique to each flower. New phytologist, 165(3), 711-720.</t>
  </si>
  <si>
    <t>Kazama, Y., Koizumi, A., Uchida, W., Ageez, A., &amp; Kawano, S. (2005). Expression of the floral B-function gene SLM2 in female flowers of Silene latifolia infected with the smut fungus Microbotryum violaceum. Plant and cell physiology, 46(5), 806-811.</t>
  </si>
  <si>
    <t>Matsunaga, S., Lebel-Hardenack, S., Kejnovsky, E., Vyskot, B., Grant, S. R., &amp; Kawano, S. (2005). An anther-and petal-specific gene SlMF1 is a multicopy gene with homologous sequences on sex chromosomes. Genes &amp; genetic systems, 80(6), 395-401.</t>
  </si>
  <si>
    <t>Navajas-Perez, R., De La Herrán, R., Jamilena, M., Lozano, R., Rejon, C. R., Rejon, M. R., &amp; Garrido-Ramos, M. A. (2005). Reduced rates of sequence evolution of Y-linked satellite DNA in Rumex (Polygonaceae). Journal of molecular evolution, 60(3), 391-399.</t>
  </si>
  <si>
    <t>Renganayaki, K., Jessup, R. W., Burson, B. L., Hussey, M. A., &amp; Read, J. C. (2005). Identification of male-specific AFLP markers in dioecious Texas bluegrass. Crop science, 45(6), 2529-2539.</t>
  </si>
  <si>
    <t>Hobza, R., Hrusakova, P., Safar, J., Bartos, J., Janousek, B., Zluvova, J., ... &amp; Vyskot, B. (2006). MK17, a specific marker closely linked to the gynoecium suppression region on the Y chromosome in Silene latifolia. Theoretical and applied genetics, 113(2), 280.</t>
  </si>
  <si>
    <t>Kanno, A., Hienuki, H., Ito, T., Nakamura, T., Fukuda, T., Yun, P. Y., ... &amp; Maki, M. (2006). The structure and expression of SEPALLATA-like genes in Asparagus species (Asparagaceae). Sexual plant reproduction, 19(3), 133-144.</t>
  </si>
  <si>
    <t>Obbard, D. J., Harris, S. A., Buggs, R. J., &amp; Pannell, J. R. (2006). Hybridization, polyploidy, and the evolution of sexual systems in Mercurialis (Euphorbiaceae). Evolution, 60(9), 1801-1815.</t>
  </si>
  <si>
    <t>Chen, C., Yu, Q., Hou, S., Li, Y., Eustice, M., Skelton, R. L., ... &amp; Feng, Y. (2007). Construction of a sequence-tagged high-density genetic map of papaya for comparative structural and evolutionary genomics in brassicales. Genetics, 177(4), 2481-2491.</t>
  </si>
  <si>
    <t>Cuñado, N., Navajas-Pérez, R., de la Herrán, R., Rejón, C. R., Rejón, M. R., Santos, J. L., &amp; Garrido-Ramos, M. A. (2007). The evolution of sex chromosomes in the genus Rumex (Polygonaceae): identification of a new species with heteromorphic sex chromosomes. Chromosome research, 15(7), 825-833.</t>
  </si>
  <si>
    <t>Deyhle, F., Sarkar, A. K., Tucker, E. J., &amp; Laux, T. (2007). WUSCHEL regulates cell differentiation during anther development. Developmental biology, 302(1), 154-159.</t>
  </si>
  <si>
    <t>George, J., Karun, A., Manimekalai, R., Rajesh, M. K., &amp; Remya, P. (2007). Identification of RAPD markers linked to sex determination in palmyrah (Borassus flabellifer L.). Current science, 93(8), 1075-1077.</t>
  </si>
  <si>
    <t>Navajas-Pérez, R., Rejón, M. R., Garrido-Ramos, M., Aznarte, J. L., &amp; Rubio-Escudero, C. (2007). SatDNA Analyzer 1.2 as a valuable computing tool for evolutionary analysis of satellite-dna families: revisiting Y-linked satellite-DNA sequences of Rumex (Polygonaceae). In Bioinformatics Research and Development(pp. 131-139). Springer, Berlin, Heidelberg.</t>
  </si>
  <si>
    <t>Filatov, D. A. (2008). A selective sweep in or near the Silene latifolia X-linked gene SlssX. Genetics research, 90(1), 85-95.</t>
  </si>
  <si>
    <t>Jamilena, M., Mariotti, B., &amp; Manzano, S. (2008). Plant sex chromosomes: molecular structure and function. Cytogenetic and genome research, 120(3-4), 255-264.</t>
  </si>
  <si>
    <t>Spigler, R. B., Lewers, K. S., Main, D. S., &amp; Ashman, T. L. (2008). Genetic mapping of sex determination in a wild strawberry, Fragaria virginiana, reveals earliest form of sex chromosome. Heredity, 101(6), 507.</t>
  </si>
  <si>
    <t>Yu, Q., Hou, S., Feltus, F. A., Jones, M. R., Murray, J. E., Veatch, O., ... &amp; Liu, L. (2008). Low X/Y divergence in four pairs of papaya sex‐linked genes. The Plant Journal, 53(1), 124-132.</t>
  </si>
  <si>
    <t>Eppley, S. M., O’QUINN, R. O. B. I. N., &amp; Brown, A. L. (2009). New sequence‐tagged site molecular markers for identification of sex in Distichlis spicata. Molecular ecology resources, 9(5), 1373-1374.</t>
  </si>
  <si>
    <t>Filatov, D. A., Howell, E. C., Groutides, C., &amp; Armstrong, S. J. (2009). Recent spread of a retrotransposon in the Silene latifolia genome, apart from the Y chromosome. Genetics, 181(2), 811-817.</t>
  </si>
  <si>
    <t>Fraser, L. G., Tsang, G. K., Datson, P. M., De Silva, H. N., Harvey, C. F., Gill, G. P., ... &amp; McNeilage, M. A. (2009). A gene-rich linkage map in the dioecious species Actinidia chinensis (kiwifruit) reveals putative X/Y sex-determining chromosomes. BMC genomics, 10(1), 102.</t>
  </si>
  <si>
    <t>Hou, W., Fan, J., Zhou, F., &amp; Zhao, S. (2009). RAPD markers related to sex locus in Populus tomentosa. Frontiers of forestry in China, 4(2), 223-226.</t>
  </si>
  <si>
    <t>Kaiser, V. B., Bergero, R., &amp; Charlesworth, D. (2009). Slcyt, a newly identified sex-linked gene, has recently moved onto the X chromosome in Silene latifolia (Caryophyllaceae). Molecular biology and evolution, 26(10), 2343-2351.</t>
  </si>
  <si>
    <t>Kazama, Y., Fujiwara, M. T., Koizumi, A., Nishihara, K., Nishiyama, R., Kifune, E., ... &amp; Kawano, S. (2009). A SUPERMAN-like gene is exclusively expressed in female flowers of the dioecious plant Silene latifolia. Plant and cell physiology, 50(6), 1127-1141.</t>
  </si>
  <si>
    <t>Oyama, R. K., Volz, S. M., &amp; Renner, S. S. (2009). A sex‐linked SCAR marker in Bryonia dioica (Cucurbitaceae), a dioecious species with XY sex‐determination and homomorphic sex chromosomes. Journal of evolutionary biology, 22(1), 214-224.</t>
  </si>
  <si>
    <t>Yu, Q., Tong, E., Skelton, R. L., Bowers, J. E., Jones, M. R., Murray, J. E., ... &amp; Moore, P. H. (2009). A physical map of the papaya genome with integrated genetic map and genome sequence. BMC genomics, 10(1), 371.</t>
  </si>
  <si>
    <t>Koizumi, A., Yamanaka, K., Nishihara, K., Kazama, Y., Abe, T., &amp; Kawano, S. (2010). Two separate pathways including SlCLV1, SlSTM and SlCUC that control carpel development in a bisexual mutant of Silene latifolia. Plant and cell physiology, 51(2), 282-293.</t>
  </si>
  <si>
    <t>Techen, N., Chandra, S., Lata, H., ElSohly, M. A., &amp; Khan, I. A. (2010). Genetic identification of female Cannabis sativa plants at early developmental stage. Planta medica, 76(16), 1938-1939.</t>
  </si>
  <si>
    <t>Bharathi, L. K., Munshi, A. D., Chandrashekaran, S., Behera, T. K., Das, A. B., &amp; John, K. J. (2011). Cytotaxonomical analysis of Momordica L.(Cucurbitaceae) species of Indian occurrence. Journal of genetics, 90(1), 21-30.</t>
  </si>
  <si>
    <t>Blavet, N., Charif, D., Oger-Desfeux, C., Marais, G. A., &amp; Widmer, A. (2011). Comparative high-throughput transcriptome sequencing and development of SiESTa, the Silene EST annotation database. BMC genomics, 12(1), 376.</t>
  </si>
  <si>
    <t>Divashuk, M. G., Alexandrov, O. S., Kroupin, P. Y., &amp; Karlov, G. I. (2011). Molecular cytogenetic mapping of Humulus lupulus sex chromosomes. Cytogenetic and genome research, 134(3), 213-219.</t>
  </si>
  <si>
    <t>Milewicz, M., &amp; Sawicki, J. (2011). Molecular identification of sex in dioecious moss Nyholmiella obtusifolia (Orthotrichaceae) on the basis of ISSR markers. Casopis slezského zemského muzea (A), 60(1), 1-6.</t>
  </si>
  <si>
    <t>Ming, R., Bendahmane, A., &amp; Renner, S. S. (2011). Sex chromosomes in land plants. Annual review of plant biology, 62, 485-514.</t>
  </si>
  <si>
    <t>Penny, R. H., Montgomery, B. R., &amp; Delph, L. F. (2011). X Linkage of AP3A, a Homolog of the Y-Linked MADS-Box Gene AP3Y in Silene latifolia and S. dioica. PloS one, 6(4), e18972.</t>
  </si>
  <si>
    <t>Alexandrov, O. S., Divashuk, M. G., Yakovin, N. A., &amp; Karlov, G. I. (2012). Sex chromosome differentiation in Humulus japonicus Siebold &amp; Zuccarini, 1846 (Cannabaceae) revealed by fluorescence in situ hybridization of subtelomeric repeat. Comparative cytogenetics, 6(3), 239.</t>
  </si>
  <si>
    <t>Blavet, N., Blavet, H., Čegan, R., Zemp, N., Zdanska, J., Janoušek, B., ... &amp; Widmer, A. (2012). Comparative analysis of a plant pseudoautosomal region (PAR) in Silene latifolia with the corresponding S. vulgaris autosome. BMC genomics, 13(1), 226.</t>
  </si>
  <si>
    <t>Cegan, R., Vyskot, B., Kejnovsky, E., Kubat, Z., Blavet, H., Šafář, J., ... &amp; Hobza, R. (2012). Genomic diversity in two related plant species with and without sex chromosomes-Silene latifolia and S. vulgaris. PLoS One, 7(2), e31898.</t>
  </si>
  <si>
    <t>Grabowska-Joachimiak, A., Kwolek, D., Kula, A., &amp; Marciniuk, P. (2012). Fluorescent banding pattern and species-specific DNA marker in Rumex thyrsiflorus Fingerh. Cytogenetic and genome research, 137(1), 70-77.</t>
  </si>
  <si>
    <t>Guha, A., Sinha, R. K., &amp; Sinha, S. (2004). Average packing ratio as a parameter for analyzing the karyotypes of dioecious cucurbits. Caryologia, 57(1), 117-120.</t>
  </si>
  <si>
    <t>Talianová, M., Žlůvová, J., Hobza, R., Vyskot, B., &amp; Janoušek, B. (2012). Identification and characterization of a bacteria-like sequence in the genome of some Silene species. Biologia plantarum, 56(2), 247-253.</t>
  </si>
  <si>
    <t>Tuskan, G. A., DiFazio, S., Faivre-Rampant, P., Gaudet, M., Harfouche, A., Jorge, V., ... &amp; Street, N. (2012). The obscure events contributing to the evolution of an incipient sex chromosome in Populus: a retrospective working hypothesis. Tree genetics &amp; genomes, 8(3), 559-571.</t>
  </si>
  <si>
    <t>Wai, C. M., Moore, P. H., Paull, R. E., Ming, R., &amp; Yu, Q. (2012). An integrated cytogenetic and physical map reveals unevenly distributed recombination spots along the papaya sex chromosomes. Chromosome research, 20(6), 753-767.</t>
  </si>
  <si>
    <t>Weingartner, L. A., &amp; Moore, R. C. (2012). Contrasting patterns of X/Y polymorphism distinguish Carica papaya from other sex chromosome systems. Molecular biology and evolution, 29(12), 3909-3920.</t>
  </si>
  <si>
    <t>Flores‐Rentería, L., Molina‐Freaner, F., Whipple, A. V., Gehring, C. A., &amp; Dominguez, C. A. (2013). Sexual stability in the nearly dioecious Pinus johannis (Pinaceae). American journal of botany, 100(3), 602-612.</t>
  </si>
  <si>
    <t>Govindarajulu, R., Liston, A., &amp; Ashman, T. L. (2013). Sex-determining chromosomes and sexual dimorphism: insights from genetic mapping of sex expression in a natural hybrid Fragaria× ananassa subsp. cuneifolia. Heredity, 110(5), 430.</t>
  </si>
  <si>
    <t>Liu, J., Yin, T., Ye, N., Chen, Y., Yin, T., Liu, M., &amp; Hassani, D. (2013). Transcriptome analysis of the differentially expressed genes in the male and female shrub willows (Salix suchowensis). PloS one, 8(4), e60181.</t>
  </si>
  <si>
    <t>Sousa, A., Fuchs, J., &amp; Renner, S. S. (2013). Molecular cytogenetics (FISH, GISH) of Coccinia grandis: a ca. 3 myr-old species of Cucurbitaceae with the largest Y/autosome divergence in flowering plants. Cytogenetic and genome research, 139(2), 107-118.</t>
  </si>
  <si>
    <t>NGS+C</t>
  </si>
  <si>
    <t>Steflova, P., Tokan, V., Vogel, I., Lexa, M., Macas, J., Novak, P., ... &amp; Kejnovsky, E. (2013). Contrasting patterns of transposable element and satellite distribution on sex chromosomes (XY1Y2) in the dioecious plant Rumex acetosa. Genome biology and evolution, 5(4), 769-782.</t>
  </si>
  <si>
    <t>VanBuren, R., &amp; Ming, R. (2013). Organelle DNA accumulation in the recently evolved papaya sex chromosomes. Molecular genetics and genomics, 288(5-6), 277-284.</t>
  </si>
  <si>
    <t>Ahmed, S., Cock, J. M., Pessia, E., Luthringer, R., Cormier, A., Robuchon, M., ... &amp; Valero, M. (2014). A haploid system of sex determination in the brown alga Ectocarpus sp. Current biology, 24(17), 1945-1957.</t>
  </si>
  <si>
    <t>Akagi, T., Kajita, K., Kibe, T., Morimura, H., Tsujimoto, T., Nishiyama, S., ... &amp; Tao, R. (2013). Development of Molecular Markers Associated with Sexuality in Diospyros lotus L. and Their Application in D. kaki Thunb. Journal of the Japanese Society for Horticultural Science, CH-109.</t>
  </si>
  <si>
    <t>Aryal, R., Jagadeeswaran, G., Zheng, Y., Yu, Q., Sunkar, R., &amp; Ming, R. (2014). Sex specific expression and distribution of small RNAs in papaya. BMC genomics, 15(1), 20.</t>
  </si>
  <si>
    <t>Gao, W. J., Li, S. F., Zhang, G. J., Wang, N. N., Deng, C. L., &amp; Lu, L. D. (2013). Comparative analysis of gene expression by microarray analysis of male and female flowers of Asparagus officinalis. Bioscience, biotechnology, and biochemistry, 120943.</t>
  </si>
  <si>
    <t>Ghadge, A. G., Karmakar, K., Devani, R. S., Banerjee, J., Mohanasundaram, B., Sinha, R. K., ... &amp; Banerjee, A. K. (2014). Flower development, pollen fertility and sex expression analyses of three sexual phenotypes of Coccinia grandis. BMC plant biology, 14(1), 325.</t>
  </si>
  <si>
    <t>Heikrujam, M., Sharma, K., Kumar, J., &amp; Agrawal, V. (2014). Validation of male sex‐specific UBC‐8071200 ISSR marker and its conversion into sequence tagged sites marker in Jojoba: a high precision oil yielding dioecious shrub. Plant breeding, 133(5), 666-671.</t>
  </si>
  <si>
    <t>Kersten, B., Pakull, B., Groppe, K., Lueneburg, J., &amp; Fladung, M. (2014). The sex‐linked region in P opulus tremuloides T uresson 141 corresponds to a pericentromeric region of about two million base pairs on P. trichocarpa chromosome 19. Plant Biology, 16(2), 411-418.</t>
  </si>
  <si>
    <t>Kralova, T., Cegan, R., Kubat, Z., Vrana, J., Vyskot, B., Vogel, I., ... &amp; Hobza, R. (2014). Identification of a novel retrotransposon with sex chromosome-specific distribution in Silene latifolia. Cytogenetic and genome research, 143(1-3), 87-95.</t>
  </si>
  <si>
    <t>Kumar, S., Kumari, R., &amp; Sharma, V. (2014). Genetics of dioecy and causal sex chromosomes in plants. Journal of genetics, 93(1), 241-277.</t>
  </si>
  <si>
    <t>Mathew, L. S., Spannagl, M., Al-Malki, A., George, B., Torres, M. F., Al-Dous, E. K., ... &amp; Mohamoud, Y. A. (2014). A first genetic map of date palm (Phoenix dactylifera) reveals long-range genome structure conservation in the palms. BMC genomics, 15(1), 285.</t>
  </si>
  <si>
    <t>Na, J. K., Wang, J., &amp; Ming, R. (2014). Accumulation of interspersed and sex-specific repeats in the non-recombining region of papaya sex chromosomes. BMC genomics, 15(1), 335.</t>
  </si>
  <si>
    <t>Steflova, P., Hobza, R., Vyskot, B., &amp; Kejnovsky, E. (2014). Strong accumulation of chloroplast DNA in the Y chromosomes of Rumex acetosa and Silene latifolia. Cytogenetic and genome research, 142(1), 59-65.</t>
  </si>
  <si>
    <t>Chawla, A., Stobdan, T., Srivastava, R. B., Jaiswal, V., Chauhan, R. S., &amp; Kant, A. (2015). Sex-biased temporal gene expression in male and female floral buds of seabuckthorn (Hippophae rhamnoides). PloS one, 10(4), e0124890.</t>
  </si>
  <si>
    <t>Geraldes, A., Hefer, C. A., Capron, A., Kolosova, N., Martinez‐Nuñez, F., Soolanayakanahally, R. Y., ... &amp; Cronk, Q. C. (2015). Recent Y chromosome divergence despite ancient origin of dioecy in poplars (Populus). Molecular ecology, 24(13), 3243-3256.</t>
  </si>
  <si>
    <t>Hou, J., Ye, N., Zhang, D., Chen, Y., Fang, L., Dai, X., &amp; Yin, T. (2015). Different autosomes evolved into sex chromosomes in the sister genera of Salix and Populus. Scientific reports, 5, 9076.</t>
  </si>
  <si>
    <t>Lappin, F. M., Medert, C. M., Hawkins, K. K., Mardonovich, S., Wu, M., &amp; Moore, R. C. (2015). A polymorphic pseudoautosomal boundary in the Carica papaya sex chromosomes. Molecular genetics and genomics, 290(4), 1511-1522.</t>
  </si>
  <si>
    <t>Sola-Campoy, P. J., Robles, F., Schwarzacher, T., Rejón, C. R., de la Herrán, R., &amp; Navajas-Pérez, R. (2015). The molecular cytogenetic characterization of pistachio (Pistacia vera L.) suggests the arrest of recombination in the largest heteropycnotic pair HC1. PloS one, 10(12), e0143861.</t>
  </si>
  <si>
    <t>Wang, H., Matsushita, M., Tomaru, N., &amp; Nakagawa, M. (2015). Differences in female reproductive success between female and hermaphrodite individuals in the subdioecious shrub E urya japonica (T heaceae). Plant Biology, 17(1), 194-200.</t>
  </si>
  <si>
    <t>Wu, M., &amp; Moore, R. C. (2015). The evolutionary tempo of sex chromosome degradation in Carica papaya. Journal of molecular evolution, 80(5-6), 265-277.</t>
  </si>
  <si>
    <t>Zemp, N., Tavares, R., &amp; Widmer, A. (2015). Fungal infection induces sex-specific transcriptional changes and alters sexual dimorphism in the dioecious plant Silene latifolia. PLoS genetics, 11(10), e1005536.</t>
  </si>
  <si>
    <t>Chen, Y., Wang, T., Fang, L., Li, X., &amp; Yin, T. (2016). Confirmation of single-locus sex determination and female heterogamety in willow based on linkage analysis. PloS one, 11(2), e0147671.</t>
  </si>
  <si>
    <t>Cherif, E., Zehdi‐Azouzi, S., Crabos, A., Castillo, K., Chabrillange, N., Pintaud, J. C., ... &amp; Aberlenc‐Bertossi, F. (2016). Evolution of sex chromosomes prior to speciation in the dioecious Phoenix species. Journal of evolutionary biology, 29(8), 1513-1522.</t>
  </si>
  <si>
    <t>Kazama, Y., Ishii, K., Aonuma, W., Ikeda, T., Kawamoto, H., Koizumi, A., ... &amp; Abe, T. (2016). A new physical mapping approach refines the sex-determining gene positions on the Silene latifolia Y-chromosome. Scientific reports, 6, 18917.</t>
  </si>
  <si>
    <t>Mohanty, J. N., Nayak, S., Jha, S., &amp; Joshi, R. K. (2016). A sequence tagged site (STS) marker encoding Copia-like retrotransposable element is associated with male specific sex expression in Momordica dioica Roxb. Scientia horticulturae, 201, 265-270.</t>
  </si>
  <si>
    <t>Ali, H. B. M., Abubakari, A., Wiehle, M., &amp; Krutovsky, K. V. (2018). Gene-specific sex-linked genetic markers in date palm (Phoenix dactylifera L.). Genetic resources and crop evolution, 65(1), 1-10.</t>
  </si>
  <si>
    <t>Bräutigam, K., Soolanayakanahally, R., Champigny, M., Mansfield, S., Douglas, C., Campbell, M. M., &amp; Cronk, Q. (2017). Sexual epigenetics: gender-specific methylation of a gene in the sex determining region of Populus balsamifera. Scientific reports, 7, 45388.</t>
  </si>
  <si>
    <t>Carlson, C. H., Choi, Y., Chan, A. P., Serapiglia, M. J., Town, C. D., &amp; Smart, L. B. (2017). Dominance and sexual dimorphism pervade the Salix purpurea L. transcriptome. Genome biology and evolution, 9(9), 2377-2394.</t>
  </si>
  <si>
    <t>Coito, J. L., Ramos, M. J., Cunha, J., Silva, H. G., Amâncio, S., Costa, M. M., &amp; Rocheta, M. (2017). VviAPRT3 and VviFSEX: Two genes involved in sex specification able to distinguish different flower types in Vitis. Frontiers in plant science, 8, 98.</t>
  </si>
  <si>
    <t>Devani, R. S., Sinha, S., Banerjee, J., Sinha, R. K., Bendahmane, A., &amp; Banerjee, A. K. (2017). De novo transcriptome assembly from flower buds of dioecious, gynomonoecious and chemically masculinized female Coccinia grandis reveals genes associated with sex expression and modification. BMC plant biology, 17(1), 241.</t>
  </si>
  <si>
    <t>Harkess, A., Zhou, J., Xu, C., Bowers, J. E., Van der Hulst, R., Ayyampalayam, S., ... &amp; Tang, H. (2017). The asparagus genome sheds light on the origin and evolution of a young Y chromosome. Nature communications, 8(1), 1279.</t>
  </si>
  <si>
    <t>Mohei, E. L., Mohasseb, H. A. A., Al-Khateeb, A. A., Al-Khateeb, S. A., Chowdhury, K., El-Shemy, H. A., &amp; Aldaej, M. I. (2017). Identification and sequencing of Date-SRY Gene: A novel tool for sex determination of date palm (Phoenix dactylifera L.). Saudi Journal of Biological Sciences.</t>
  </si>
  <si>
    <t>Mori, K., Shirasawa, K., Nogata, H., Hirata, C., Tashiro, K., Habu, T., ... &amp; Ikegami, H. (2017). Identification of RAN1 orthologue associated with sex determination through whole genome sequencing analysis in fig (Ficus carica L.). Scientific reports, 7, 41124.</t>
  </si>
  <si>
    <t>Pucholt, P., Wright, A. E., Conze, L. L., Mank, J. E., &amp; Berlin, S. (2017). Recent sex chromosome divergence despite ancient dioecy in the willow Salix viminalis. Molecular biology and evolution, 34(8), 1991-2001.</t>
  </si>
  <si>
    <t>Puterova, J., Razumova, O., Martinek, T., Alexandrov, O., Divashuk, M., Kubat, Z., ... &amp; Kejnovsky, E. (2017). Satellite DNA and transposable elements in seabuckthorn (Hippophae rhamnoides), a dioecious plant with small Y and large X chromosomes. Genome biology and evolution, 9(1), 197-212.</t>
  </si>
  <si>
    <t>Sarkar, S., Banerjee, J., &amp; Gantait, S. (2017). Sex-oriented research on dioecious crops of Indian subcontinent: an updated review. 3 Biotech, 7(2), 93.</t>
  </si>
  <si>
    <t>Tamiru, M., Natsume, S., Takagi, H., White, B., Yaegashi, H., Shimizu, M., ... &amp; Urasaki, N. (2017). Genome sequencing of the staple food crop white Guinea yam enables the development of a molecular marker for sex determination. BMC biology, 15(1), 86.</t>
  </si>
  <si>
    <t>Tang, P., Zhang, Q., &amp; Yao, X. (2017). Comparative transcript profiling explores differentially expressed genes associated with sexual phenotype in kiwifruit. PloS one, 12(7), e0180542.</t>
  </si>
  <si>
    <t>Tsugama, D., Matsuyama, K., Ide, M., Hayashi, M., Fujino, K., &amp; Masuda, K. (2017). A putative MYB35 ortholog is a candidate for the sex-determining genes in Asparagus officinalis. Scientific reports, 7, 41497.</t>
  </si>
  <si>
    <t>Coelho, S. M., Gueno, J., Lipinska, A. P., Cock, J. M., &amp; Umen, J. G. (2018). UV chromosomes and haploid sexual systems. Trends in plant science.</t>
  </si>
  <si>
    <t>Darolti, I., Wright, A. E., Pucholt, P., Berlin, S., &amp; Mank, J. E. (2018). Slow evolution of sex‐biased genes in the reproductive tissue of the dioecious plant Salix viminalis. Molecular ecology, 27(3), 694-708.</t>
  </si>
  <si>
    <t>Hamaji, T., Kawai-Toyooka, H., Uchimura, H., Suzuki, M., Noguchi, H., Minakuchi, Y., ... &amp; Nozaki, H. (2018). Anisogamy evolved with a reduced sex-determining region in volvocine green algae. Communications biology, 1(1), 17.</t>
  </si>
  <si>
    <t>Kudoh, T., Takahashi, M., Osabe, T., Toyoda, A., Hirakawa, H., Suzuki, Y., ... &amp; Onodera, Y. (2018). Molecular insights into the non-recombining nature of the spinach male-determining region. Molecular genetics and genomics, 293(2), 557-568.</t>
  </si>
  <si>
    <t>Lee, C. Y., Lin, H. J., Viswanath, K. K., Lin, C. P., Chang, B. C. H., Chiu, P. H., ... &amp; Chen, F. C. (2018). The development of functional mapping by three sex-related loci on the third whorl of different sex types of Carica papaya L. PloS one, 13(3), e0194605.</t>
  </si>
  <si>
    <t>Mangla, Y., Das, K., Bali, S., Ambreen, H., Raina, S. N., Tandon, R., &amp; Goel, S. (2018). Occurrence of subdioecy and scarcity of gender-specific markers reveal an ongoing transition to dioecy in Himalayan seabuckthorn (Hippophae rhamnoides ssp. turkestanica). Heredity, 1.</t>
  </si>
  <si>
    <t>Modi, A., Suthar, K., Thakkar, P., Mankad, M. C., Kumari, S., Narayanan, S., ... &amp; Kumar, N. (2018). Evaluation of sex specific RAPD and SCAR markers linked to papaya (Carica papaya L.). Biocatalysis and agricultural biotechnology, 16, 271-276.</t>
  </si>
  <si>
    <t>Moreno, R., Castro, P., Vrána, J., Kubaláková, M., Cápal, P., García Pérez, V., ... &amp; Doležel, J. (2018). Integration of Genetic and Cytogenetic Maps and Identification of Sex Chromosome in Garden Asparagus (Asparagus officinalis L.). Frontiers in plant science, 9, 1068.</t>
  </si>
  <si>
    <t>Puterova, J., Kubat, Z., Kejnovsky, E., Jesionek, W., Cizkova, J., Vyskot, B., &amp; Hobza, R. (2018). The slowdown of Y chromosome expansion in dioecious Silene latifolia due to DNA loss and male-specific silencing of retrotransposons. BMC genomics, 19(1), 153.</t>
  </si>
  <si>
    <t>Tennessen, J. A., Wei, N., Straub, S. C., Govindarajulu, R., Liston, A., &amp; Ashman, T. L. (2018). Repeated translocation of a gene cassette drives sex-chromosome turnover in strawberries. PLoS biology, 16(8), e2006062.</t>
  </si>
  <si>
    <t>Torres, M. F., Mathew, L. S., Ahmed, I., Al-Azwani, I. K., Krueger, R., Rivera-Nuñez, D., ... &amp; Malek, J. A. (2018). Genus-wide sequencing supports a two-locus model for sex-determination in Phoenix. Nature communications, 9(1), 3969.</t>
  </si>
  <si>
    <t>Veltsos, P., Cossard, G., Beaudoing, E., Beydon, G., Savova Bianchi, D., Roux, C., ... &amp; R Pannell, J. (2018). Size and Content of the Sex-Determining Region of the Y Chromosome in Dioecious Mercurialis annua, a Plant with Homomorphic Sex Chromosomes. Genes, 9(6), 277.</t>
  </si>
  <si>
    <t>Zhou, W., Wang, Y., Zhang, G., Luan, G., Chen, S., Meng, J., ... &amp; Suo, Y. (2018). Molecular Sex Identification in Dioecious Hippophae rhamnoides L. via RAPD and SCAR Markers. Molecules, 23(5), 1048.</t>
  </si>
  <si>
    <t>Balounova, V., Gogela, R., Cegan, R., Cangren, P., Zluvova, J., Safar, J., ... &amp; Oxelman, B. (2019). Evolution of sex determination and heterogamety changes in section Otites of the genus Silene. Scientific reports, 9(1), 1045.</t>
  </si>
  <si>
    <t>Jia, H. M., Jia, H. J., Cai, Q. L., Wang, Y., Zhao, H. B., Yang, W. F., ... &amp; Niu, Q. F. (2019). The red bayberry genome and genetic basis of sex determination. Plant biotechnology journal, 17(2), 397-409.</t>
  </si>
  <si>
    <t>Martin, H., Carpentier, F., Gallina, S., Godé, C., Schmitt, E., Muyle, A., ... &amp; Touzet, P. (2019). Evolution of young sex chromosomes in two dioecious sister plant species with distinct sex determination systems. Genome biology and evolution, 11(2), 350-361.</t>
  </si>
  <si>
    <t>Orlofsky et al., 2016</t>
  </si>
  <si>
    <t>Cossard et al., 2019</t>
  </si>
  <si>
    <t>Cossard, G. G., Toups, M. A., &amp; Pannell, J. R. (2019). Sexual dimorphism and rapid turnover in gene expression in pre-reproductive seedlings of a dioecious herb. Annals of botany, 123(7), 1119-1131.</t>
  </si>
  <si>
    <t>Veltsos et al., 2018</t>
  </si>
  <si>
    <t>Veltsos et al., 2019</t>
  </si>
  <si>
    <t>Louis and Durand, 1978</t>
  </si>
  <si>
    <t>Li et al., 2019</t>
  </si>
  <si>
    <t>Khadka et al., 2002</t>
  </si>
  <si>
    <t>Russell et al., 2015</t>
  </si>
  <si>
    <t>Russell, J. R. W., &amp; Pannell, J. R. (2015). Sex determination in dioecious Mercurialis annua and its close diploid and polyploid relatives. Heredity, 114(3), 262-271.</t>
  </si>
  <si>
    <t>Durand, R., &amp; Durand, B. (1994). Cytokinins and Reproductive Organogenesis in. Cytokinins Chemistry, Activity, and Function, 295.</t>
  </si>
  <si>
    <t>Kadhka et al., 2019</t>
  </si>
  <si>
    <t>Khadka, J., Yadav, N. S., Guy, M., Grafi, G., &amp; Golan-Goldhirsh, A. (2019). Epigenetic aspects of floral homeotic genes in relation to sexual dimorphism in the dioecious plant Mercurialis annua. Journal of experimental botany, 70(21), 6245-6259.</t>
  </si>
  <si>
    <t>Pannell et al., 2004</t>
  </si>
  <si>
    <t>Khadka et al., 2005</t>
  </si>
  <si>
    <t>Boissay et al., 1996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</si>
</sst>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dd\.mm"/>
  </numFmts>
  <fonts count="78">
    <font>
      <sz val="10"/>
      <color rgb="FF000000"/>
      <name val="Arial"/>
      <scheme val="minor"/>
    </font>
    <font>
      <b/>
      <sz val="11"/>
      <color theme="1"/>
      <name val="Arial"/>
      <family val="2"/>
    </font>
    <font>
      <sz val="11"/>
      <color theme="1"/>
      <name val="Arial"/>
      <family val="2"/>
    </font>
    <font>
      <u/>
      <sz val="11"/>
      <color rgb="FF0000FF"/>
      <name val="Arial"/>
      <family val="2"/>
    </font>
    <font>
      <strike/>
      <sz val="11"/>
      <color theme="1"/>
      <name val="Arial"/>
      <family val="2"/>
    </font>
    <font>
      <u/>
      <sz val="11"/>
      <color rgb="FF0000FF"/>
      <name val="Arial"/>
      <family val="2"/>
    </font>
    <font>
      <i/>
      <sz val="11"/>
      <color theme="1"/>
      <name val="Arial"/>
      <family val="2"/>
    </font>
    <font>
      <sz val="10"/>
      <color theme="1"/>
      <name val="Arial"/>
      <family val="2"/>
    </font>
    <font>
      <u/>
      <sz val="11"/>
      <color theme="1"/>
      <name val="Arial"/>
      <family val="2"/>
    </font>
    <font>
      <u/>
      <sz val="11"/>
      <color rgb="FF0000FF"/>
      <name val="Arial"/>
      <family val="2"/>
    </font>
    <font>
      <u/>
      <sz val="11"/>
      <color rgb="FF0000FF"/>
      <name val="Arial"/>
      <family val="2"/>
    </font>
    <font>
      <sz val="11"/>
      <color rgb="FFFF0000"/>
      <name val="Arial"/>
      <family val="2"/>
    </font>
    <font>
      <u/>
      <sz val="10"/>
      <color rgb="FF1155CC"/>
      <name val="Arial"/>
      <family val="2"/>
    </font>
    <font>
      <u/>
      <sz val="11"/>
      <color rgb="FFFF0000"/>
      <name val="Arial"/>
      <family val="2"/>
    </font>
    <font>
      <sz val="11"/>
      <color theme="1"/>
      <name val="Roboto"/>
    </font>
    <font>
      <u/>
      <sz val="11"/>
      <color rgb="FF0000FF"/>
      <name val="Arial"/>
      <family val="2"/>
    </font>
    <font>
      <u/>
      <sz val="11"/>
      <color rgb="FF0000FF"/>
      <name val="Arial"/>
      <family val="2"/>
    </font>
    <font>
      <u/>
      <sz val="12"/>
      <color rgb="FFBA0C2F"/>
      <name val="Proxima Nova"/>
    </font>
    <font>
      <u/>
      <sz val="11"/>
      <color theme="1"/>
      <name val="Arial"/>
      <family val="2"/>
    </font>
    <font>
      <u/>
      <sz val="11"/>
      <color rgb="FF005274"/>
      <name val="Open Sans"/>
    </font>
    <font>
      <u/>
      <sz val="11"/>
      <color rgb="FF0000FF"/>
      <name val="Arial"/>
      <family val="2"/>
    </font>
    <font>
      <sz val="11"/>
      <color rgb="FF0000FF"/>
      <name val="Arial"/>
      <family val="2"/>
    </font>
    <font>
      <u/>
      <sz val="11"/>
      <color rgb="FF1155CC"/>
      <name val="Arial"/>
      <family val="2"/>
    </font>
    <font>
      <u/>
      <sz val="11"/>
      <color rgb="FF0000FF"/>
      <name val="Open Sans"/>
    </font>
    <font>
      <u/>
      <sz val="11"/>
      <color rgb="FF0000FF"/>
      <name val="Open Sans"/>
    </font>
    <font>
      <u/>
      <sz val="11"/>
      <color rgb="FF1155CC"/>
      <name val="Arial"/>
      <family val="2"/>
    </font>
    <font>
      <b/>
      <sz val="11"/>
      <color rgb="FF434343"/>
      <name val="Arial"/>
      <family val="2"/>
    </font>
    <font>
      <sz val="11"/>
      <color rgb="FF434343"/>
      <name val="Arial"/>
      <family val="2"/>
    </font>
    <font>
      <u/>
      <sz val="11"/>
      <color rgb="FF0000FF"/>
      <name val="Arial"/>
      <family val="2"/>
    </font>
    <font>
      <u/>
      <sz val="11"/>
      <color rgb="FF0000FF"/>
      <name val="Arial"/>
      <family val="2"/>
    </font>
    <font>
      <sz val="11"/>
      <color rgb="FF000000"/>
      <name val="Arial"/>
      <family val="2"/>
    </font>
    <font>
      <u/>
      <sz val="11"/>
      <color rgb="FF0000FF"/>
      <name val="Arial"/>
      <family val="2"/>
    </font>
    <font>
      <u/>
      <sz val="12"/>
      <color rgb="FF222222"/>
      <name val="-apple-system"/>
    </font>
    <font>
      <b/>
      <sz val="11"/>
      <color rgb="FF000000"/>
      <name val="Arial"/>
      <family val="2"/>
    </font>
    <font>
      <u/>
      <sz val="11"/>
      <color rgb="FF0000FF"/>
      <name val="Arial"/>
      <family val="2"/>
    </font>
    <font>
      <u/>
      <sz val="11"/>
      <color rgb="FF0000FF"/>
      <name val="Arial"/>
      <family val="2"/>
    </font>
    <font>
      <b/>
      <sz val="10"/>
      <color theme="1"/>
      <name val="Arial"/>
      <family val="2"/>
    </font>
    <font>
      <sz val="11"/>
      <color rgb="FFFF00FF"/>
      <name val="Arial"/>
      <family val="2"/>
    </font>
    <font>
      <u/>
      <sz val="11"/>
      <color rgb="FF0563C1"/>
      <name val="Calibri"/>
      <family val="2"/>
    </font>
    <font>
      <sz val="10"/>
      <color rgb="FF222222"/>
      <name val="Arial"/>
      <family val="2"/>
    </font>
    <font>
      <sz val="11"/>
      <color rgb="FF6AA84F"/>
      <name val="Arial"/>
      <family val="2"/>
    </font>
    <font>
      <sz val="11"/>
      <color rgb="FF222222"/>
      <name val="Arial"/>
      <family val="2"/>
    </font>
    <font>
      <u/>
      <sz val="11"/>
      <color rgb="FF0000FF"/>
      <name val="Arial"/>
      <family val="2"/>
    </font>
    <font>
      <u/>
      <sz val="11"/>
      <color rgb="FFFF0000"/>
      <name val="Arial"/>
      <family val="2"/>
    </font>
    <font>
      <u/>
      <sz val="11"/>
      <color rgb="FF1155CC"/>
      <name val="Arial"/>
      <family val="2"/>
    </font>
    <font>
      <u/>
      <sz val="11"/>
      <color rgb="FF005274"/>
      <name val="Open Sans"/>
    </font>
    <font>
      <u/>
      <sz val="11"/>
      <color rgb="FFFF0000"/>
      <name val="Arial"/>
      <family val="2"/>
    </font>
    <font>
      <sz val="11"/>
      <color rgb="FF333333"/>
      <name val="Arial"/>
      <family val="2"/>
    </font>
    <font>
      <sz val="11"/>
      <color rgb="FF1C1D1E"/>
      <name val="Arial"/>
      <family val="2"/>
    </font>
    <font>
      <u/>
      <sz val="11"/>
      <color rgb="FF000000"/>
      <name val="Arial"/>
      <family val="2"/>
    </font>
    <font>
      <u/>
      <sz val="11"/>
      <color rgb="FF0000FF"/>
      <name val="Arial"/>
      <family val="2"/>
    </font>
    <font>
      <u/>
      <sz val="11"/>
      <color rgb="FF0000FF"/>
      <name val="Arial"/>
      <family val="2"/>
    </font>
    <font>
      <u/>
      <sz val="11"/>
      <color rgb="FFFF0000"/>
      <name val="Arial"/>
      <family val="2"/>
    </font>
    <font>
      <b/>
      <sz val="10"/>
      <color rgb="FF000000"/>
      <name val="Arial"/>
      <family val="2"/>
    </font>
    <font>
      <u/>
      <sz val="10"/>
      <color rgb="FF4A86E8"/>
      <name val="Arial"/>
      <family val="2"/>
    </font>
    <font>
      <sz val="10"/>
      <color rgb="FF333333"/>
      <name val="Arial"/>
      <family val="2"/>
    </font>
    <font>
      <u/>
      <sz val="10"/>
      <color rgb="FF4A86E8"/>
      <name val="Arial"/>
      <family val="2"/>
    </font>
    <font>
      <u/>
      <sz val="10"/>
      <color rgb="FF4A86E8"/>
      <name val="Arial"/>
      <family val="2"/>
    </font>
    <font>
      <u/>
      <sz val="10"/>
      <color rgb="FF4A86E8"/>
      <name val="Arial"/>
      <family val="2"/>
    </font>
    <font>
      <sz val="10"/>
      <color rgb="FF4A86E8"/>
      <name val="Arial"/>
      <family val="2"/>
    </font>
    <font>
      <u/>
      <sz val="10"/>
      <color rgb="FF4A86E8"/>
      <name val="Arial"/>
      <family val="2"/>
    </font>
    <font>
      <u/>
      <sz val="11"/>
      <color rgb="FF4A86E8"/>
      <name val="Calibri"/>
      <family val="2"/>
    </font>
    <font>
      <u/>
      <sz val="10"/>
      <color rgb="FF4A86E8"/>
      <name val="Arial"/>
      <family val="2"/>
    </font>
    <font>
      <u/>
      <sz val="10"/>
      <color rgb="FF4A86E8"/>
      <name val="Arial"/>
      <family val="2"/>
    </font>
    <font>
      <u/>
      <sz val="10"/>
      <color rgb="FF4A86E8"/>
      <name val="Arial"/>
      <family val="2"/>
    </font>
    <font>
      <u/>
      <sz val="10"/>
      <color rgb="FF1155CC"/>
      <name val="Arial"/>
      <family val="2"/>
    </font>
    <font>
      <u/>
      <sz val="10"/>
      <color rgb="FF4A86E8"/>
      <name val="Arial"/>
      <family val="2"/>
    </font>
    <font>
      <u/>
      <sz val="10"/>
      <color rgb="FF4A86E8"/>
      <name val="Arial"/>
      <family val="2"/>
    </font>
    <font>
      <u/>
      <sz val="10"/>
      <color rgb="FF4A86E8"/>
      <name val="Arial"/>
      <family val="2"/>
    </font>
    <font>
      <u/>
      <sz val="10"/>
      <color rgb="FF0000FF"/>
      <name val="Arial"/>
      <family val="2"/>
    </font>
    <font>
      <u/>
      <sz val="10"/>
      <color rgb="FF0000FF"/>
      <name val="Arial"/>
      <family val="2"/>
    </font>
    <font>
      <u/>
      <sz val="10"/>
      <color rgb="FF4A86E8"/>
      <name val="Arial"/>
      <family val="2"/>
    </font>
    <font>
      <u/>
      <sz val="10"/>
      <color rgb="FF0000FF"/>
      <name val="Arial"/>
      <family val="2"/>
    </font>
    <font>
      <sz val="11"/>
      <color rgb="FF333333"/>
      <name val="&quot;Source Sans Pro&quot;"/>
    </font>
    <font>
      <u/>
      <sz val="11"/>
      <color rgb="FF0563C1"/>
      <name val="Calibri"/>
      <family val="2"/>
    </font>
    <font>
      <u/>
      <sz val="11"/>
      <color rgb="FF0563C1"/>
      <name val="Calibri"/>
      <family val="2"/>
    </font>
    <font>
      <i/>
      <sz val="11"/>
      <color rgb="FF000000"/>
      <name val="Arial"/>
      <family val="2"/>
    </font>
    <font>
      <sz val="10"/>
      <color rgb="FF000000"/>
      <name val="Arial"/>
      <family val="2"/>
      <scheme val="minor"/>
    </font>
  </fonts>
  <fills count="9">
    <fill>
      <patternFill patternType="none"/>
    </fill>
    <fill>
      <patternFill patternType="gray125"/>
    </fill>
    <fill>
      <patternFill patternType="solid">
        <fgColor rgb="FF9CC2E5"/>
        <bgColor rgb="FF9CC2E5"/>
      </patternFill>
    </fill>
    <fill>
      <patternFill patternType="solid">
        <fgColor rgb="FFC9DAF8"/>
        <bgColor rgb="FFC9DAF8"/>
      </patternFill>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
      <patternFill patternType="solid">
        <fgColor rgb="FFCFE2F3"/>
        <bgColor rgb="FFCFE2F3"/>
      </patternFill>
    </fill>
    <fill>
      <patternFill patternType="solid">
        <fgColor rgb="FFF4CCCC"/>
        <bgColor rgb="FFF4CCCC"/>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5">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2"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vertical="center" wrapText="1"/>
    </xf>
    <xf numFmtId="0" fontId="2" fillId="0" borderId="0" xfId="0" applyFont="1" applyAlignment="1">
      <alignment horizontal="left"/>
    </xf>
    <xf numFmtId="0" fontId="9" fillId="0" borderId="0" xfId="0" applyFont="1" applyAlignment="1">
      <alignment horizontal="left" vertical="center"/>
    </xf>
    <xf numFmtId="0" fontId="10" fillId="0" borderId="0" xfId="0" applyFont="1" applyAlignment="1">
      <alignment horizontal="left"/>
    </xf>
    <xf numFmtId="164" fontId="2" fillId="0" borderId="0" xfId="0" applyNumberFormat="1" applyFont="1" applyAlignment="1">
      <alignment horizontal="left" vertical="center" wrapText="1"/>
    </xf>
    <xf numFmtId="0" fontId="11" fillId="0" borderId="0" xfId="0" applyFont="1" applyAlignment="1">
      <alignment horizontal="left" vertical="center" wrapText="1"/>
    </xf>
    <xf numFmtId="0" fontId="12" fillId="0" borderId="0" xfId="0" applyFont="1"/>
    <xf numFmtId="0" fontId="13" fillId="0" borderId="0" xfId="0" applyFont="1" applyAlignment="1">
      <alignment horizontal="left" vertical="center" wrapText="1"/>
    </xf>
    <xf numFmtId="0" fontId="14" fillId="3" borderId="1" xfId="0" applyFont="1" applyFill="1" applyBorder="1" applyAlignment="1">
      <alignment horizontal="left" vertical="center"/>
    </xf>
    <xf numFmtId="0" fontId="15" fillId="3" borderId="1" xfId="0" applyFont="1" applyFill="1" applyBorder="1" applyAlignment="1">
      <alignment horizontal="left"/>
    </xf>
    <xf numFmtId="0" fontId="2" fillId="3" borderId="1" xfId="0" applyFont="1" applyFill="1" applyBorder="1" applyAlignment="1">
      <alignment horizontal="left" vertical="center"/>
    </xf>
    <xf numFmtId="0" fontId="2" fillId="0" borderId="0" xfId="0" applyFont="1" applyAlignment="1">
      <alignment horizontal="left" wrapText="1"/>
    </xf>
    <xf numFmtId="165" fontId="2" fillId="0" borderId="0" xfId="0" applyNumberFormat="1" applyFont="1" applyAlignment="1">
      <alignment horizontal="left" vertical="center" wrapText="1"/>
    </xf>
    <xf numFmtId="0" fontId="16" fillId="4" borderId="1" xfId="0" applyFont="1" applyFill="1" applyBorder="1" applyAlignment="1">
      <alignment horizontal="left" vertical="center"/>
    </xf>
    <xf numFmtId="0" fontId="2" fillId="5" borderId="1" xfId="0" applyFont="1" applyFill="1" applyBorder="1" applyAlignment="1">
      <alignment horizontal="left" vertical="center" wrapText="1"/>
    </xf>
    <xf numFmtId="0" fontId="14" fillId="0" borderId="0" xfId="0" applyFont="1" applyAlignment="1">
      <alignment horizontal="left"/>
    </xf>
    <xf numFmtId="0" fontId="2" fillId="6" borderId="1" xfId="0" applyFont="1" applyFill="1" applyBorder="1" applyAlignment="1">
      <alignment horizontal="left" vertical="center" wrapText="1"/>
    </xf>
    <xf numFmtId="0" fontId="17" fillId="4" borderId="1" xfId="0" applyFont="1" applyFill="1" applyBorder="1"/>
    <xf numFmtId="0" fontId="2" fillId="4" borderId="1" xfId="0" applyFont="1" applyFill="1" applyBorder="1" applyAlignment="1">
      <alignment horizontal="left" vertical="center" wrapText="1"/>
    </xf>
    <xf numFmtId="0" fontId="14" fillId="4" borderId="1" xfId="0" applyFont="1" applyFill="1" applyBorder="1" applyAlignment="1">
      <alignment horizontal="left" vertical="center"/>
    </xf>
    <xf numFmtId="0" fontId="7" fillId="3" borderId="1" xfId="0" applyFont="1" applyFill="1" applyBorder="1" applyAlignment="1">
      <alignment horizontal="left"/>
    </xf>
    <xf numFmtId="49" fontId="2" fillId="3" borderId="1" xfId="0" applyNumberFormat="1" applyFont="1" applyFill="1" applyBorder="1" applyAlignment="1">
      <alignment horizontal="left" vertical="center" wrapText="1"/>
    </xf>
    <xf numFmtId="0" fontId="2" fillId="0" borderId="0" xfId="0" applyFont="1" applyAlignment="1">
      <alignment horizontal="left" vertical="center"/>
    </xf>
    <xf numFmtId="0" fontId="2" fillId="3" borderId="1" xfId="0" applyFont="1" applyFill="1" applyBorder="1" applyAlignment="1">
      <alignment horizontal="left"/>
    </xf>
    <xf numFmtId="0" fontId="18" fillId="3" borderId="1" xfId="0" applyFont="1" applyFill="1" applyBorder="1" applyAlignment="1">
      <alignment horizontal="left" vertical="center" wrapText="1"/>
    </xf>
    <xf numFmtId="0" fontId="19" fillId="4" borderId="1" xfId="0" applyFont="1" applyFill="1" applyBorder="1" applyAlignment="1">
      <alignment wrapText="1"/>
    </xf>
    <xf numFmtId="0" fontId="20" fillId="6" borderId="1" xfId="0" applyFont="1" applyFill="1" applyBorder="1" applyAlignment="1">
      <alignment horizontal="left" vertical="center" wrapText="1"/>
    </xf>
    <xf numFmtId="49" fontId="2" fillId="0" borderId="0" xfId="0" applyNumberFormat="1" applyFont="1" applyAlignment="1">
      <alignment horizontal="left" vertical="center" wrapText="1"/>
    </xf>
    <xf numFmtId="0" fontId="21" fillId="6" borderId="1" xfId="0" applyFont="1" applyFill="1" applyBorder="1" applyAlignment="1">
      <alignment horizontal="left" vertical="center" wrapText="1"/>
    </xf>
    <xf numFmtId="0" fontId="22" fillId="0" borderId="0" xfId="0" applyFont="1" applyAlignment="1">
      <alignment horizontal="left" vertical="center" wrapText="1"/>
    </xf>
    <xf numFmtId="0" fontId="23" fillId="6" borderId="1" xfId="0" applyFont="1" applyFill="1" applyBorder="1" applyAlignment="1">
      <alignment vertical="center" wrapText="1"/>
    </xf>
    <xf numFmtId="0" fontId="24" fillId="3" borderId="1"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21" fillId="6" borderId="1" xfId="0" applyFont="1" applyFill="1" applyBorder="1" applyAlignment="1">
      <alignment horizontal="left"/>
    </xf>
    <xf numFmtId="0" fontId="21" fillId="0" borderId="0" xfId="0" applyFont="1" applyAlignment="1">
      <alignment horizontal="left" vertical="center" wrapText="1"/>
    </xf>
    <xf numFmtId="0" fontId="26" fillId="2" borderId="1" xfId="0" applyFont="1" applyFill="1" applyBorder="1" applyAlignment="1">
      <alignment horizontal="left" vertical="top" wrapText="1"/>
    </xf>
    <xf numFmtId="0" fontId="27" fillId="2"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28" fillId="0" borderId="0" xfId="0" applyFont="1" applyAlignment="1">
      <alignment vertical="top" wrapText="1"/>
    </xf>
    <xf numFmtId="0" fontId="1"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9" fillId="7" borderId="1" xfId="0" applyFont="1" applyFill="1" applyBorder="1" applyAlignment="1">
      <alignment vertical="top" wrapText="1"/>
    </xf>
    <xf numFmtId="0" fontId="30" fillId="7" borderId="1" xfId="0" applyFont="1" applyFill="1" applyBorder="1" applyAlignment="1">
      <alignment horizontal="left" vertical="top" wrapText="1"/>
    </xf>
    <xf numFmtId="0" fontId="1" fillId="7" borderId="1" xfId="0" applyFont="1" applyFill="1" applyBorder="1" applyAlignment="1">
      <alignment wrapText="1"/>
    </xf>
    <xf numFmtId="0" fontId="2" fillId="7" borderId="1" xfId="0" applyFont="1" applyFill="1" applyBorder="1" applyAlignment="1">
      <alignment wrapText="1"/>
    </xf>
    <xf numFmtId="0" fontId="31" fillId="7" borderId="1" xfId="0" applyFont="1" applyFill="1" applyBorder="1" applyAlignment="1">
      <alignment wrapText="1"/>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7" fillId="6" borderId="1" xfId="0" applyFont="1" applyFill="1" applyBorder="1" applyAlignment="1">
      <alignment vertical="top"/>
    </xf>
    <xf numFmtId="0" fontId="32" fillId="4" borderId="1" xfId="0" applyFont="1" applyFill="1" applyBorder="1"/>
    <xf numFmtId="0" fontId="33" fillId="4" borderId="1" xfId="0" applyFont="1" applyFill="1" applyBorder="1" applyAlignment="1">
      <alignment horizontal="left" vertical="top" wrapText="1"/>
    </xf>
    <xf numFmtId="0" fontId="30" fillId="4" borderId="1" xfId="0" applyFont="1" applyFill="1" applyBorder="1" applyAlignment="1">
      <alignment horizontal="left" vertical="top" wrapText="1"/>
    </xf>
    <xf numFmtId="0" fontId="34" fillId="0" borderId="0" xfId="0" applyFont="1" applyAlignment="1">
      <alignment horizontal="left" wrapText="1"/>
    </xf>
    <xf numFmtId="0" fontId="33" fillId="7" borderId="1" xfId="0" applyFont="1" applyFill="1" applyBorder="1" applyAlignment="1">
      <alignment vertical="top" wrapText="1"/>
    </xf>
    <xf numFmtId="0" fontId="30" fillId="7" borderId="1" xfId="0" applyFont="1" applyFill="1" applyBorder="1" applyAlignment="1">
      <alignment vertical="top" wrapText="1"/>
    </xf>
    <xf numFmtId="0" fontId="2" fillId="7" borderId="1" xfId="0" applyFont="1" applyFill="1" applyBorder="1" applyAlignment="1">
      <alignment vertical="top" wrapText="1"/>
    </xf>
    <xf numFmtId="0" fontId="11" fillId="7" borderId="1" xfId="0" applyFont="1" applyFill="1" applyBorder="1" applyAlignment="1">
      <alignment horizontal="left" vertical="top" wrapText="1"/>
    </xf>
    <xf numFmtId="0" fontId="1" fillId="7" borderId="1" xfId="0" applyFont="1" applyFill="1" applyBorder="1" applyAlignment="1">
      <alignment vertical="top" wrapText="1"/>
    </xf>
    <xf numFmtId="0" fontId="35" fillId="7" borderId="1" xfId="0" applyFont="1" applyFill="1" applyBorder="1" applyAlignment="1">
      <alignment horizontal="left" vertical="top" wrapText="1"/>
    </xf>
    <xf numFmtId="0" fontId="30" fillId="7" borderId="1" xfId="0" applyFont="1" applyFill="1" applyBorder="1" applyAlignment="1">
      <alignment wrapText="1"/>
    </xf>
    <xf numFmtId="0" fontId="36" fillId="6" borderId="1" xfId="0" applyFont="1" applyFill="1" applyBorder="1" applyAlignment="1">
      <alignment vertical="top"/>
    </xf>
    <xf numFmtId="0" fontId="2" fillId="6" borderId="1" xfId="0" applyFont="1" applyFill="1" applyBorder="1" applyAlignment="1">
      <alignment vertical="top" wrapText="1"/>
    </xf>
    <xf numFmtId="0" fontId="27" fillId="4" borderId="1" xfId="0" applyFont="1" applyFill="1" applyBorder="1" applyAlignment="1">
      <alignment horizontal="left" vertical="top" wrapText="1"/>
    </xf>
    <xf numFmtId="0" fontId="27" fillId="0" borderId="0" xfId="0" applyFont="1" applyAlignment="1">
      <alignment horizontal="left" vertical="top" wrapText="1"/>
    </xf>
    <xf numFmtId="0" fontId="2" fillId="0" borderId="0" xfId="0" applyFont="1" applyAlignment="1">
      <alignment vertical="top" wrapText="1"/>
    </xf>
    <xf numFmtId="0" fontId="30" fillId="0" borderId="0" xfId="0" applyFont="1" applyAlignment="1">
      <alignment horizontal="left" vertical="top" wrapText="1"/>
    </xf>
    <xf numFmtId="0" fontId="21" fillId="0" borderId="0" xfId="0" applyFont="1" applyAlignment="1">
      <alignment horizontal="left" vertical="top" wrapText="1"/>
    </xf>
    <xf numFmtId="0" fontId="1" fillId="2" borderId="1" xfId="0" applyFont="1" applyFill="1" applyBorder="1" applyAlignment="1">
      <alignment horizontal="left"/>
    </xf>
    <xf numFmtId="0" fontId="33" fillId="2" borderId="1" xfId="0" applyFont="1" applyFill="1" applyBorder="1" applyAlignment="1">
      <alignment horizontal="center"/>
    </xf>
    <xf numFmtId="0" fontId="33" fillId="2" borderId="1" xfId="0" applyFont="1" applyFill="1" applyBorder="1" applyAlignment="1">
      <alignment horizontal="left"/>
    </xf>
    <xf numFmtId="0" fontId="33" fillId="2" borderId="1" xfId="0" applyFont="1" applyFill="1" applyBorder="1"/>
    <xf numFmtId="0" fontId="37" fillId="0" borderId="0" xfId="0" applyFont="1"/>
    <xf numFmtId="0" fontId="38" fillId="0" borderId="0" xfId="0" applyFont="1" applyAlignment="1">
      <alignment horizontal="left" wrapText="1"/>
    </xf>
    <xf numFmtId="0" fontId="2" fillId="0" borderId="0" xfId="0" applyFont="1" applyAlignment="1">
      <alignment horizontal="center"/>
    </xf>
    <xf numFmtId="0" fontId="2" fillId="0" borderId="0" xfId="0" applyFont="1"/>
    <xf numFmtId="0" fontId="39" fillId="0" borderId="0" xfId="0" applyFont="1" applyAlignment="1">
      <alignment horizontal="left"/>
    </xf>
    <xf numFmtId="0" fontId="40" fillId="0" borderId="0" xfId="0" applyFont="1"/>
    <xf numFmtId="0" fontId="30" fillId="0" borderId="0" xfId="0" applyFont="1"/>
    <xf numFmtId="0" fontId="21" fillId="0" borderId="0" xfId="0" applyFont="1"/>
    <xf numFmtId="0" fontId="41" fillId="0" borderId="0" xfId="0" applyFont="1" applyAlignment="1">
      <alignment horizontal="left"/>
    </xf>
    <xf numFmtId="0" fontId="42" fillId="0" borderId="0" xfId="0" applyFont="1"/>
    <xf numFmtId="0" fontId="30" fillId="0" borderId="0" xfId="0" applyFont="1" applyAlignment="1">
      <alignment horizontal="left"/>
    </xf>
    <xf numFmtId="0" fontId="27" fillId="0" borderId="0" xfId="0" applyFont="1"/>
    <xf numFmtId="0" fontId="21" fillId="0" borderId="0" xfId="0" applyFont="1" applyAlignment="1">
      <alignment horizontal="left"/>
    </xf>
    <xf numFmtId="0" fontId="41" fillId="0" borderId="0" xfId="0" applyFont="1" applyAlignment="1">
      <alignment horizontal="center"/>
    </xf>
    <xf numFmtId="0" fontId="37" fillId="4" borderId="1" xfId="0" applyFont="1" applyFill="1" applyBorder="1" applyAlignment="1">
      <alignment horizontal="left"/>
    </xf>
    <xf numFmtId="0" fontId="11" fillId="0" borderId="0" xfId="0" applyFont="1" applyAlignment="1">
      <alignment wrapText="1"/>
    </xf>
    <xf numFmtId="0" fontId="43" fillId="0" borderId="0" xfId="0" applyFont="1" applyAlignment="1">
      <alignment horizontal="left"/>
    </xf>
    <xf numFmtId="0" fontId="11" fillId="0" borderId="0" xfId="0" applyFont="1" applyAlignment="1">
      <alignment horizontal="center"/>
    </xf>
    <xf numFmtId="0" fontId="11" fillId="0" borderId="0" xfId="0" applyFont="1" applyAlignment="1">
      <alignment horizontal="left"/>
    </xf>
    <xf numFmtId="0" fontId="11" fillId="4" borderId="1" xfId="0" applyFont="1" applyFill="1" applyBorder="1" applyAlignment="1">
      <alignment horizontal="left"/>
    </xf>
    <xf numFmtId="0" fontId="11" fillId="0" borderId="0" xfId="0" applyFont="1"/>
    <xf numFmtId="0" fontId="44" fillId="0" borderId="0" xfId="0" applyFont="1" applyAlignment="1">
      <alignment horizontal="left"/>
    </xf>
    <xf numFmtId="0" fontId="45" fillId="0" borderId="0" xfId="0" applyFont="1" applyAlignment="1">
      <alignment wrapText="1"/>
    </xf>
    <xf numFmtId="0" fontId="46" fillId="4" borderId="1" xfId="0" applyFont="1" applyFill="1" applyBorder="1" applyAlignment="1">
      <alignment wrapText="1"/>
    </xf>
    <xf numFmtId="0" fontId="47" fillId="0" borderId="0" xfId="0" applyFont="1" applyAlignment="1">
      <alignment horizontal="center"/>
    </xf>
    <xf numFmtId="0" fontId="47" fillId="0" borderId="0" xfId="0" applyFont="1"/>
    <xf numFmtId="0" fontId="2" fillId="0" borderId="0" xfId="0" applyFont="1" applyAlignment="1">
      <alignment wrapText="1"/>
    </xf>
    <xf numFmtId="0" fontId="30" fillId="0" borderId="0" xfId="0" applyFont="1" applyAlignment="1">
      <alignment horizontal="center"/>
    </xf>
    <xf numFmtId="0" fontId="48" fillId="0" borderId="0" xfId="0" applyFont="1"/>
    <xf numFmtId="0" fontId="41" fillId="0" borderId="0" xfId="0" applyFont="1"/>
    <xf numFmtId="0" fontId="49" fillId="0" borderId="0" xfId="0" applyFont="1"/>
    <xf numFmtId="0" fontId="41" fillId="0" borderId="0" xfId="0" applyFont="1" applyAlignment="1">
      <alignment horizontal="left" vertical="top"/>
    </xf>
    <xf numFmtId="0" fontId="50" fillId="0" borderId="0" xfId="0" applyFont="1" applyAlignment="1">
      <alignment horizontal="left" vertical="top"/>
    </xf>
    <xf numFmtId="0" fontId="41" fillId="0" borderId="0" xfId="0" applyFont="1" applyAlignment="1">
      <alignment horizontal="center" vertical="top"/>
    </xf>
    <xf numFmtId="0" fontId="39" fillId="4" borderId="1" xfId="0" applyFont="1" applyFill="1" applyBorder="1" applyAlignment="1">
      <alignment horizontal="left"/>
    </xf>
    <xf numFmtId="0" fontId="30" fillId="0" borderId="0" xfId="0" applyFont="1" applyAlignment="1">
      <alignment vertical="top"/>
    </xf>
    <xf numFmtId="0" fontId="2" fillId="0" borderId="0" xfId="0" applyFont="1" applyAlignment="1">
      <alignment horizontal="left" vertical="top"/>
    </xf>
    <xf numFmtId="0" fontId="2" fillId="0" borderId="0" xfId="0" applyFont="1" applyAlignment="1">
      <alignment vertical="center" wrapText="1"/>
    </xf>
    <xf numFmtId="0" fontId="2" fillId="0" borderId="0" xfId="0" applyFont="1" applyAlignment="1">
      <alignment vertical="top"/>
    </xf>
    <xf numFmtId="0" fontId="51" fillId="0" borderId="0" xfId="0" applyFont="1" applyAlignment="1">
      <alignment horizontal="left" vertical="top" wrapText="1"/>
    </xf>
    <xf numFmtId="0" fontId="52" fillId="4" borderId="1" xfId="0" applyFont="1" applyFill="1" applyBorder="1"/>
    <xf numFmtId="0" fontId="53" fillId="4" borderId="1" xfId="0" applyFont="1" applyFill="1" applyBorder="1" applyAlignment="1">
      <alignment horizontal="left" vertical="center" wrapText="1"/>
    </xf>
    <xf numFmtId="0" fontId="53" fillId="4" borderId="1" xfId="0" applyFont="1" applyFill="1" applyBorder="1" applyAlignment="1">
      <alignment horizontal="center"/>
    </xf>
    <xf numFmtId="0" fontId="53" fillId="4" borderId="1" xfId="0" applyFont="1" applyFill="1" applyBorder="1" applyAlignment="1">
      <alignment horizontal="left"/>
    </xf>
    <xf numFmtId="0" fontId="53" fillId="0" borderId="0" xfId="0" applyFont="1"/>
    <xf numFmtId="0" fontId="54" fillId="0" borderId="0" xfId="0" applyFont="1"/>
    <xf numFmtId="0" fontId="55" fillId="4" borderId="1" xfId="0" applyFont="1" applyFill="1" applyBorder="1" applyAlignment="1">
      <alignment horizontal="center"/>
    </xf>
    <xf numFmtId="0" fontId="55" fillId="4" borderId="1" xfId="0" applyFont="1" applyFill="1" applyBorder="1"/>
    <xf numFmtId="0" fontId="56" fillId="0" borderId="0" xfId="0" applyFont="1" applyAlignment="1">
      <alignment wrapText="1"/>
    </xf>
    <xf numFmtId="0" fontId="39" fillId="4" borderId="1" xfId="0" applyFont="1" applyFill="1" applyBorder="1" applyAlignment="1">
      <alignment horizontal="center"/>
    </xf>
    <xf numFmtId="0" fontId="57" fillId="4" borderId="1" xfId="0" applyFont="1" applyFill="1" applyBorder="1" applyAlignment="1">
      <alignment horizontal="left" vertical="center" wrapText="1"/>
    </xf>
    <xf numFmtId="0" fontId="58" fillId="4" borderId="1" xfId="0" applyFont="1" applyFill="1" applyBorder="1" applyAlignment="1">
      <alignment horizontal="left" vertical="center"/>
    </xf>
    <xf numFmtId="0" fontId="59" fillId="4" borderId="1" xfId="0" applyFont="1" applyFill="1" applyBorder="1" applyAlignment="1">
      <alignment horizontal="left" vertical="center" wrapText="1"/>
    </xf>
    <xf numFmtId="0" fontId="7" fillId="0" borderId="0" xfId="0" applyFont="1" applyAlignment="1">
      <alignment horizontal="center"/>
    </xf>
    <xf numFmtId="0" fontId="7" fillId="0" borderId="0" xfId="0" applyFont="1"/>
    <xf numFmtId="0" fontId="60" fillId="4" borderId="1" xfId="0" applyFont="1" applyFill="1" applyBorder="1" applyAlignment="1">
      <alignment horizontal="left"/>
    </xf>
    <xf numFmtId="0" fontId="61" fillId="4" borderId="1" xfId="0" applyFont="1" applyFill="1" applyBorder="1" applyAlignment="1">
      <alignment horizontal="left"/>
    </xf>
    <xf numFmtId="0" fontId="62" fillId="6" borderId="1" xfId="0" applyFont="1" applyFill="1" applyBorder="1"/>
    <xf numFmtId="0" fontId="63" fillId="0" borderId="2" xfId="0" applyFont="1" applyBorder="1" applyAlignment="1">
      <alignment wrapText="1"/>
    </xf>
    <xf numFmtId="0" fontId="39" fillId="4" borderId="1" xfId="0" applyFont="1" applyFill="1" applyBorder="1" applyAlignment="1">
      <alignment horizontal="left" vertical="top"/>
    </xf>
    <xf numFmtId="0" fontId="64" fillId="0" borderId="0" xfId="0" applyFont="1" applyAlignment="1">
      <alignment horizontal="left"/>
    </xf>
    <xf numFmtId="0" fontId="39" fillId="4" borderId="1" xfId="0" applyFont="1" applyFill="1" applyBorder="1" applyAlignment="1">
      <alignment horizontal="center" vertical="top"/>
    </xf>
    <xf numFmtId="0" fontId="65" fillId="8" borderId="1" xfId="0" applyFont="1" applyFill="1" applyBorder="1"/>
    <xf numFmtId="0" fontId="7" fillId="8" borderId="1" xfId="0" applyFont="1" applyFill="1" applyBorder="1" applyAlignment="1">
      <alignment horizontal="center"/>
    </xf>
    <xf numFmtId="0" fontId="7" fillId="8" borderId="1" xfId="0" applyFont="1" applyFill="1" applyBorder="1"/>
    <xf numFmtId="0" fontId="39" fillId="8" borderId="1" xfId="0" applyFont="1" applyFill="1" applyBorder="1"/>
    <xf numFmtId="0" fontId="66" fillId="6" borderId="1" xfId="0" applyFont="1" applyFill="1" applyBorder="1" applyAlignment="1">
      <alignment horizontal="left" vertical="center" wrapText="1"/>
    </xf>
    <xf numFmtId="0" fontId="67" fillId="0" borderId="0" xfId="0" applyFont="1" applyAlignment="1">
      <alignment vertical="center" wrapText="1"/>
    </xf>
    <xf numFmtId="0" fontId="68" fillId="8" borderId="1" xfId="0" applyFont="1" applyFill="1" applyBorder="1" applyAlignment="1">
      <alignment wrapText="1"/>
    </xf>
    <xf numFmtId="0" fontId="39" fillId="8" borderId="1" xfId="0" applyFont="1" applyFill="1" applyBorder="1" applyAlignment="1">
      <alignment horizontal="left"/>
    </xf>
    <xf numFmtId="0" fontId="69" fillId="8" borderId="1" xfId="0" applyFont="1" applyFill="1" applyBorder="1" applyAlignment="1">
      <alignment vertical="center" wrapText="1"/>
    </xf>
    <xf numFmtId="0" fontId="39" fillId="8" borderId="1" xfId="0" applyFont="1" applyFill="1" applyBorder="1" applyAlignment="1">
      <alignment horizontal="center"/>
    </xf>
    <xf numFmtId="0" fontId="70" fillId="0" borderId="0" xfId="0" applyFont="1" applyAlignment="1">
      <alignment vertical="center" wrapText="1"/>
    </xf>
    <xf numFmtId="0" fontId="39" fillId="8" borderId="1" xfId="0" applyFont="1" applyFill="1" applyBorder="1" applyAlignment="1">
      <alignment horizontal="left" vertical="top"/>
    </xf>
    <xf numFmtId="0" fontId="71" fillId="0" borderId="0" xfId="0" applyFont="1" applyAlignment="1">
      <alignment horizontal="left" vertical="center" wrapText="1"/>
    </xf>
    <xf numFmtId="0" fontId="39" fillId="0" borderId="0" xfId="0" applyFont="1" applyAlignment="1">
      <alignment horizontal="center"/>
    </xf>
    <xf numFmtId="0" fontId="72" fillId="8" borderId="1" xfId="0" applyFont="1" applyFill="1" applyBorder="1"/>
    <xf numFmtId="0" fontId="73" fillId="8" borderId="1" xfId="0" applyFont="1" applyFill="1" applyBorder="1" applyAlignment="1">
      <alignment horizontal="left"/>
    </xf>
    <xf numFmtId="0" fontId="59" fillId="0" borderId="0" xfId="0" applyFont="1"/>
    <xf numFmtId="0" fontId="74" fillId="0" borderId="3" xfId="0" applyFont="1" applyBorder="1" applyAlignment="1">
      <alignment wrapText="1"/>
    </xf>
    <xf numFmtId="0" fontId="39" fillId="0" borderId="0" xfId="0" applyFont="1"/>
    <xf numFmtId="0" fontId="75" fillId="0" borderId="3" xfId="0" applyFont="1" applyBorder="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11/tpj.15150" TargetMode="External"/><Relationship Id="rId3" Type="http://schemas.openxmlformats.org/officeDocument/2006/relationships/hyperlink" Target="https://www.jstage.jst.go.jp/article/cytologia1929/45/4/45_4_739/_pdf" TargetMode="External"/><Relationship Id="rId7" Type="http://schemas.openxmlformats.org/officeDocument/2006/relationships/hyperlink" Target="https://www.jstor.org/stable/3240149?seq=1" TargetMode="External"/><Relationship Id="rId2" Type="http://schemas.openxmlformats.org/officeDocument/2006/relationships/hyperlink" Target="https://www.jstor.org/stable/2446304" TargetMode="External"/><Relationship Id="rId1" Type="http://schemas.openxmlformats.org/officeDocument/2006/relationships/hyperlink" Target="https://bsapubs.onlinelibrary.wiley.com/doi/epdf/10.2307/2446304" TargetMode="External"/><Relationship Id="rId6" Type="http://schemas.openxmlformats.org/officeDocument/2006/relationships/hyperlink" Target="https://doi.org/10.1038/1791143a0" TargetMode="External"/><Relationship Id="rId11" Type="http://schemas.openxmlformats.org/officeDocument/2006/relationships/comments" Target="../comments1.xml"/><Relationship Id="rId5" Type="http://schemas.openxmlformats.org/officeDocument/2006/relationships/hyperlink" Target="https://www.nature.com/articles/s42003-018-0019-5" TargetMode="External"/><Relationship Id="rId10" Type="http://schemas.openxmlformats.org/officeDocument/2006/relationships/vmlDrawing" Target="../drawings/vmlDrawing1.vml"/><Relationship Id="rId4" Type="http://schemas.openxmlformats.org/officeDocument/2006/relationships/hyperlink" Target="https://www.nature.com/articles/s42003-018-0019-5" TargetMode="External"/><Relationship Id="rId9" Type="http://schemas.openxmlformats.org/officeDocument/2006/relationships/hyperlink" Target="https://link.springer.com/article/10.1007/s12041-011-0026-5"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researchgate.net/publication/253672790_Y_chromosome_specific_markers_and_the_evolution_of_dioecy_in_the_genus_Silene" TargetMode="External"/><Relationship Id="rId299" Type="http://schemas.openxmlformats.org/officeDocument/2006/relationships/hyperlink" Target="https://link.springer.com/content/pdf/10.1023/A:1025941206391.pdf" TargetMode="External"/><Relationship Id="rId21" Type="http://schemas.openxmlformats.org/officeDocument/2006/relationships/hyperlink" Target="https://doi.org/10.1007/s11295-010-0297-7" TargetMode="External"/><Relationship Id="rId63" Type="http://schemas.openxmlformats.org/officeDocument/2006/relationships/hyperlink" Target="http://www.demeter.org.es/pdf/investi_a/In_situ_Hybridisierung_an_Hanf_Chromosomen.pdf" TargetMode="External"/><Relationship Id="rId159" Type="http://schemas.openxmlformats.org/officeDocument/2006/relationships/hyperlink" Target="https://link.springer.com/article/10.1007/s00497-006-0030-8" TargetMode="External"/><Relationship Id="rId324" Type="http://schemas.openxmlformats.org/officeDocument/2006/relationships/hyperlink" Target="https://www.researchgate.net/publication/292328703_A_subtelomeric_satellite_DNA_family_isolated_from_the_genome_of_the_dioecious_plant_Silene_latifolia" TargetMode="External"/><Relationship Id="rId366" Type="http://schemas.openxmlformats.org/officeDocument/2006/relationships/hyperlink" Target="https://doi.org/10.1111/nph.12669" TargetMode="External"/><Relationship Id="rId170" Type="http://schemas.openxmlformats.org/officeDocument/2006/relationships/hyperlink" Target="https://academic.oup.com/pcp/article/57/2/325/2461069" TargetMode="External"/><Relationship Id="rId226" Type="http://schemas.openxmlformats.org/officeDocument/2006/relationships/hyperlink" Target="https://academic.oup.com/mbe/article/29/12/3909/1010407" TargetMode="External"/><Relationship Id="rId268" Type="http://schemas.openxmlformats.org/officeDocument/2006/relationships/hyperlink" Target="https://doi.org/10.1093/oxfordjournals.molbev.a003762" TargetMode="External"/><Relationship Id="rId32" Type="http://schemas.openxmlformats.org/officeDocument/2006/relationships/hyperlink" Target="http://www.genetics.org/content/160/2/717.long" TargetMode="External"/><Relationship Id="rId74" Type="http://schemas.openxmlformats.org/officeDocument/2006/relationships/hyperlink" Target="https://doi.org/10.1111/nph.13983" TargetMode="External"/><Relationship Id="rId128" Type="http://schemas.openxmlformats.org/officeDocument/2006/relationships/hyperlink" Target="https://www.mdpi.com/2218-1989/6/2/13" TargetMode="External"/><Relationship Id="rId335" Type="http://schemas.openxmlformats.org/officeDocument/2006/relationships/hyperlink" Target="https://doi.org/10.1371/journal.pone.0097189" TargetMode="External"/><Relationship Id="rId5" Type="http://schemas.openxmlformats.org/officeDocument/2006/relationships/hyperlink" Target="https://link.springer.com/article/10.1007%2Fs00438-015-1000-3" TargetMode="External"/><Relationship Id="rId181" Type="http://schemas.openxmlformats.org/officeDocument/2006/relationships/hyperlink" Target="https://doi.org/10.1111/tpj.13322" TargetMode="External"/><Relationship Id="rId237" Type="http://schemas.openxmlformats.org/officeDocument/2006/relationships/hyperlink" Target="https://academic.oup.com/nar/article/30/21/4675/1105300" TargetMode="External"/><Relationship Id="rId279" Type="http://schemas.openxmlformats.org/officeDocument/2006/relationships/hyperlink" Target="https://www.ncbi.nlm.nih.gov/pubmed/8893544" TargetMode="External"/><Relationship Id="rId43" Type="http://schemas.openxmlformats.org/officeDocument/2006/relationships/hyperlink" Target="https://doi.org/10.1007/s10535-012-0083-5" TargetMode="External"/><Relationship Id="rId139" Type="http://schemas.openxmlformats.org/officeDocument/2006/relationships/hyperlink" Target="https://www.frontiersin.org/articles/10.3389/fgene.2019.00440/full" TargetMode="External"/><Relationship Id="rId290" Type="http://schemas.openxmlformats.org/officeDocument/2006/relationships/hyperlink" Target="https://link.springer.com/article/10.1007%2Fs00438-013-0747-7" TargetMode="External"/><Relationship Id="rId304" Type="http://schemas.openxmlformats.org/officeDocument/2006/relationships/hyperlink" Target="https://doi.org/10.1007/s004120050377" TargetMode="External"/><Relationship Id="rId346" Type="http://schemas.openxmlformats.org/officeDocument/2006/relationships/hyperlink" Target="https://www.genetics.org/content/212/3/815.abstract" TargetMode="External"/><Relationship Id="rId85" Type="http://schemas.openxmlformats.org/officeDocument/2006/relationships/hyperlink" Target="http://dx.doi.org/10.1159%2F000321584" TargetMode="External"/><Relationship Id="rId150" Type="http://schemas.openxmlformats.org/officeDocument/2006/relationships/hyperlink" Target="https://link.springer.com/article/10.1023%2FA%3A1020204729122" TargetMode="External"/><Relationship Id="rId192" Type="http://schemas.openxmlformats.org/officeDocument/2006/relationships/hyperlink" Target="https://doi.org/10.1046/j.1365-313X.1997.12040805.x" TargetMode="External"/><Relationship Id="rId206" Type="http://schemas.openxmlformats.org/officeDocument/2006/relationships/hyperlink" Target="https://link.springer.com/article/10.1007/s10681-004-4758-7" TargetMode="External"/><Relationship Id="rId248" Type="http://schemas.openxmlformats.org/officeDocument/2006/relationships/hyperlink" Target="http://dx.doi.org/10.1038/srep45388" TargetMode="External"/><Relationship Id="rId12" Type="http://schemas.openxmlformats.org/officeDocument/2006/relationships/hyperlink" Target="https://doi.org/10.3897/CompCytogen.v6i3.3261" TargetMode="External"/><Relationship Id="rId108" Type="http://schemas.openxmlformats.org/officeDocument/2006/relationships/hyperlink" Target="https://doi.org/10.1186/1471-2164-10-620" TargetMode="External"/><Relationship Id="rId315" Type="http://schemas.openxmlformats.org/officeDocument/2006/relationships/hyperlink" Target="https://doi.org/10.1093/gbe/evt049" TargetMode="External"/><Relationship Id="rId357" Type="http://schemas.openxmlformats.org/officeDocument/2006/relationships/hyperlink" Target="https://doi.org/10.1093/gbe/evt049" TargetMode="External"/><Relationship Id="rId54" Type="http://schemas.openxmlformats.org/officeDocument/2006/relationships/hyperlink" Target="https://doi.org/10.1055/s-0030-1249978" TargetMode="External"/><Relationship Id="rId96" Type="http://schemas.openxmlformats.org/officeDocument/2006/relationships/hyperlink" Target="https://www.sciencedirect.com/science/article/pii/S0092867417311248" TargetMode="External"/><Relationship Id="rId161" Type="http://schemas.openxmlformats.org/officeDocument/2006/relationships/hyperlink" Target="https://doi.org/10.1111/nph.13389" TargetMode="External"/><Relationship Id="rId217" Type="http://schemas.openxmlformats.org/officeDocument/2006/relationships/hyperlink" Target="https://doi.org/10.1111/j.1365-313X.2007.03329.x" TargetMode="External"/><Relationship Id="rId259" Type="http://schemas.openxmlformats.org/officeDocument/2006/relationships/hyperlink" Target="https://www.sciencedirect.com/science/article/pii/S0300908419300872" TargetMode="External"/><Relationship Id="rId23" Type="http://schemas.openxmlformats.org/officeDocument/2006/relationships/hyperlink" Target="https://www.nrcresearchpress.com/doi/abs/10.1139/x10-206" TargetMode="External"/><Relationship Id="rId119" Type="http://schemas.openxmlformats.org/officeDocument/2006/relationships/hyperlink" Target="https://doi.org/10.1002/(SICI)1520-6408(1999)25:3%3c267::AID-DVG9%3e3.0.CO;2-9" TargetMode="External"/><Relationship Id="rId270" Type="http://schemas.openxmlformats.org/officeDocument/2006/relationships/hyperlink" Target="https://doi.org/10.1534/genetics.106.070110" TargetMode="External"/><Relationship Id="rId326" Type="http://schemas.openxmlformats.org/officeDocument/2006/relationships/hyperlink" Target="https://www.ncbi.nlm.nih.gov/pubmed/10189703" TargetMode="External"/><Relationship Id="rId65" Type="http://schemas.openxmlformats.org/officeDocument/2006/relationships/hyperlink" Target="https://link.springer.com/article/10.1007%2Fs10577-012-9312-1" TargetMode="External"/><Relationship Id="rId130" Type="http://schemas.openxmlformats.org/officeDocument/2006/relationships/hyperlink" Target="https://nph.onlinelibrary.wiley.com/doi/full/10.1111/nph.16016" TargetMode="External"/><Relationship Id="rId368" Type="http://schemas.openxmlformats.org/officeDocument/2006/relationships/hyperlink" Target="https://doi.org/10.1186/s12864-018-4547-7" TargetMode="External"/><Relationship Id="rId172" Type="http://schemas.openxmlformats.org/officeDocument/2006/relationships/hyperlink" Target="https://journals.plos.org/plosgenetics/article?id=10.1371/journal.pgen.1007997" TargetMode="External"/><Relationship Id="rId228" Type="http://schemas.openxmlformats.org/officeDocument/2006/relationships/hyperlink" Target="https://academic.oup.com/mbe/article/29/12/3909/1010407" TargetMode="External"/><Relationship Id="rId281" Type="http://schemas.openxmlformats.org/officeDocument/2006/relationships/hyperlink" Target="https://doi.org/10.1017/S0016672307009056" TargetMode="External"/><Relationship Id="rId337" Type="http://schemas.openxmlformats.org/officeDocument/2006/relationships/hyperlink" Target="https://doi.org/10.1371/journal.pone.0097189" TargetMode="External"/><Relationship Id="rId34" Type="http://schemas.openxmlformats.org/officeDocument/2006/relationships/hyperlink" Target="http://www.genetics.org/content/160/2/717.long" TargetMode="External"/><Relationship Id="rId76" Type="http://schemas.openxmlformats.org/officeDocument/2006/relationships/hyperlink" Target="https://doi.org/10.1534/g3.113.006288" TargetMode="External"/><Relationship Id="rId141" Type="http://schemas.openxmlformats.org/officeDocument/2006/relationships/hyperlink" Target="https://link.springer.com/article/10.1007%2Fs00412-018-0664-y" TargetMode="External"/><Relationship Id="rId7" Type="http://schemas.openxmlformats.org/officeDocument/2006/relationships/hyperlink" Target="https://doi.org/10.1007/s00239-015-9680-1" TargetMode="External"/><Relationship Id="rId183" Type="http://schemas.openxmlformats.org/officeDocument/2006/relationships/hyperlink" Target="https://doi.org/10.1073/pnas.0606622103" TargetMode="External"/><Relationship Id="rId239" Type="http://schemas.openxmlformats.org/officeDocument/2006/relationships/hyperlink" Target="https://onlinelibrary.wiley.com/doi/full/10.1046/j.1365-313x.2000.00882.x" TargetMode="External"/><Relationship Id="rId250" Type="http://schemas.openxmlformats.org/officeDocument/2006/relationships/hyperlink" Target="https://doi.org/10.1111/nph.15421" TargetMode="External"/><Relationship Id="rId292" Type="http://schemas.openxmlformats.org/officeDocument/2006/relationships/hyperlink" Target="https://link.springer.com/article/10.1007%2Fs00438-013-0747-7" TargetMode="External"/><Relationship Id="rId306" Type="http://schemas.openxmlformats.org/officeDocument/2006/relationships/hyperlink" Target="https://link.springer.com/article/10.1023/A:1009252913344" TargetMode="External"/><Relationship Id="rId45" Type="http://schemas.openxmlformats.org/officeDocument/2006/relationships/hyperlink" Target="https://doi.org/10.1093/dnares/10.5.213" TargetMode="External"/><Relationship Id="rId87" Type="http://schemas.openxmlformats.org/officeDocument/2006/relationships/hyperlink" Target="http://dx.doi.org/10.1159%2F000321584" TargetMode="External"/><Relationship Id="rId110" Type="http://schemas.openxmlformats.org/officeDocument/2006/relationships/hyperlink" Target="https://doi.org/10.1093/jxb/ers064" TargetMode="External"/><Relationship Id="rId348" Type="http://schemas.openxmlformats.org/officeDocument/2006/relationships/hyperlink" Target="https://doi.org/10.1093/gbe/evt049" TargetMode="External"/><Relationship Id="rId152" Type="http://schemas.openxmlformats.org/officeDocument/2006/relationships/hyperlink" Target="https://link.springer.com/chapter/10.1007/978-3-319-54564-6_18" TargetMode="External"/><Relationship Id="rId194" Type="http://schemas.openxmlformats.org/officeDocument/2006/relationships/hyperlink" Target="https://doi.org/10.1093/pcp/pci080" TargetMode="External"/><Relationship Id="rId208" Type="http://schemas.openxmlformats.org/officeDocument/2006/relationships/hyperlink" Target="https://link.springer.com/article/10.1007/s10681-004-4758-7" TargetMode="External"/><Relationship Id="rId261" Type="http://schemas.openxmlformats.org/officeDocument/2006/relationships/hyperlink" Target="https://doi.org/10.1093/molbev/msg114" TargetMode="External"/><Relationship Id="rId14" Type="http://schemas.openxmlformats.org/officeDocument/2006/relationships/hyperlink" Target="https://doi.org/10.1515/abcsb-2016-0017" TargetMode="External"/><Relationship Id="rId56" Type="http://schemas.openxmlformats.org/officeDocument/2006/relationships/hyperlink" Target="https://doi.org/10.1111/j.1439-0523.2005.01079.x" TargetMode="External"/><Relationship Id="rId317" Type="http://schemas.openxmlformats.org/officeDocument/2006/relationships/hyperlink" Target="https://www.ncbi.nlm.nih.gov/pubmed/10791829" TargetMode="External"/><Relationship Id="rId359" Type="http://schemas.openxmlformats.org/officeDocument/2006/relationships/hyperlink" Target="https://doi.org/10.1139/G05-089" TargetMode="External"/><Relationship Id="rId98" Type="http://schemas.openxmlformats.org/officeDocument/2006/relationships/hyperlink" Target="https://www.sciencedirect.com/science/article/pii/S0960982219316100" TargetMode="External"/><Relationship Id="rId121" Type="http://schemas.openxmlformats.org/officeDocument/2006/relationships/hyperlink" Target="https://doi.org/10.1139/G01-143" TargetMode="External"/><Relationship Id="rId163" Type="http://schemas.openxmlformats.org/officeDocument/2006/relationships/hyperlink" Target="https://doi.org/10.1111/nph.13389" TargetMode="External"/><Relationship Id="rId219" Type="http://schemas.openxmlformats.org/officeDocument/2006/relationships/hyperlink" Target="https://doi.org/10.1111/j.1365-313X.2007.03329.x" TargetMode="External"/><Relationship Id="rId370" Type="http://schemas.openxmlformats.org/officeDocument/2006/relationships/hyperlink" Target="https://www.ncbi.nlm.nih.gov/pubmed/12175078" TargetMode="External"/><Relationship Id="rId230" Type="http://schemas.openxmlformats.org/officeDocument/2006/relationships/hyperlink" Target="https://link.springer.com/article/10.1007%2Fs00438-015-1000-3" TargetMode="External"/><Relationship Id="rId25" Type="http://schemas.openxmlformats.org/officeDocument/2006/relationships/hyperlink" Target="https://doi.org/10.1111/mec.13126" TargetMode="External"/><Relationship Id="rId67" Type="http://schemas.openxmlformats.org/officeDocument/2006/relationships/hyperlink" Target="https://link.springer.com/article/10.1007%2Fs00438-007-0243-z" TargetMode="External"/><Relationship Id="rId272" Type="http://schemas.openxmlformats.org/officeDocument/2006/relationships/hyperlink" Target="https://doi.org/10.1534/genetics.106.070110" TargetMode="External"/><Relationship Id="rId328" Type="http://schemas.openxmlformats.org/officeDocument/2006/relationships/hyperlink" Target="https://doi.org/10.1007/s00412-002-0213-5" TargetMode="External"/><Relationship Id="rId132" Type="http://schemas.openxmlformats.org/officeDocument/2006/relationships/hyperlink" Target="https://books.google.es/books?hl=es&amp;lr=&amp;id=yov7iUL7OTAC&amp;oi=fnd&amp;pg=PA295&amp;dq=Cytokinins+and+reproductive+organogenesis+in+Mercurialis&amp;ots=0dF_iUKBwc&amp;sig=Dx4xU8tXOAL5s7AVJmuYfOrZXIc" TargetMode="External"/><Relationship Id="rId174" Type="http://schemas.openxmlformats.org/officeDocument/2006/relationships/hyperlink" Target="https://www.ncbi.nlm.nih.gov/pubmed/30289430" TargetMode="External"/><Relationship Id="rId241" Type="http://schemas.openxmlformats.org/officeDocument/2006/relationships/hyperlink" Target="https://www.pnas.org/content/pnas/104/15/6472.full.pdf" TargetMode="External"/><Relationship Id="rId36" Type="http://schemas.openxmlformats.org/officeDocument/2006/relationships/hyperlink" Target="https://doi.org/10.1534/genetics.107.071175" TargetMode="External"/><Relationship Id="rId283" Type="http://schemas.openxmlformats.org/officeDocument/2006/relationships/hyperlink" Target="https://doi.org/10.1534/g3.112.003749" TargetMode="External"/><Relationship Id="rId339" Type="http://schemas.openxmlformats.org/officeDocument/2006/relationships/hyperlink" Target="https://doi.org/10.1139/g05-056" TargetMode="External"/><Relationship Id="rId78" Type="http://schemas.openxmlformats.org/officeDocument/2006/relationships/hyperlink" Target="https://doi.org/10.1093/jhered/esq001" TargetMode="External"/><Relationship Id="rId99" Type="http://schemas.openxmlformats.org/officeDocument/2006/relationships/hyperlink" Target="https://doi.org/10.1007/s11295-010-0297-7" TargetMode="External"/><Relationship Id="rId101" Type="http://schemas.openxmlformats.org/officeDocument/2006/relationships/hyperlink" Target="http://www.genome.org/cgi/doi/10.1101/gr.7076308" TargetMode="External"/><Relationship Id="rId122" Type="http://schemas.openxmlformats.org/officeDocument/2006/relationships/hyperlink" Target="https://doi.org/10.1534/g3.111.001420" TargetMode="External"/><Relationship Id="rId143" Type="http://schemas.openxmlformats.org/officeDocument/2006/relationships/hyperlink" Target="https://link.springer.com/article/10.1007/s00497-019-00378-5" TargetMode="External"/><Relationship Id="rId164" Type="http://schemas.openxmlformats.org/officeDocument/2006/relationships/hyperlink" Target="https://doi.org/10.1111/nph.13389" TargetMode="External"/><Relationship Id="rId185" Type="http://schemas.openxmlformats.org/officeDocument/2006/relationships/hyperlink" Target="https://doi.org/10.1046/j.1365-313X.1997.d01-4.x" TargetMode="External"/><Relationship Id="rId350" Type="http://schemas.openxmlformats.org/officeDocument/2006/relationships/hyperlink" Target="https://doi.org/10.1093/gbe/evt049" TargetMode="External"/><Relationship Id="rId371" Type="http://schemas.openxmlformats.org/officeDocument/2006/relationships/hyperlink" Target="https://doi.org/10.1371/journal.pone.0031898" TargetMode="External"/><Relationship Id="rId9" Type="http://schemas.openxmlformats.org/officeDocument/2006/relationships/hyperlink" Target="https://doi.org/10.1534/g3.113.006288" TargetMode="External"/><Relationship Id="rId210" Type="http://schemas.openxmlformats.org/officeDocument/2006/relationships/hyperlink" Target="https://link.springer.com/article/10.1007/s10681-004-4758-7" TargetMode="External"/><Relationship Id="rId26" Type="http://schemas.openxmlformats.org/officeDocument/2006/relationships/hyperlink" Target="https://doi.org/10.1038/s41477-020-0672-9" TargetMode="External"/><Relationship Id="rId231" Type="http://schemas.openxmlformats.org/officeDocument/2006/relationships/hyperlink" Target="https://doi.org/10.1371/journal.pone.0194605" TargetMode="External"/><Relationship Id="rId252" Type="http://schemas.openxmlformats.org/officeDocument/2006/relationships/hyperlink" Target="https://link.springer.com/article/10.1007/s11295-015-0904-8" TargetMode="External"/><Relationship Id="rId273" Type="http://schemas.openxmlformats.org/officeDocument/2006/relationships/hyperlink" Target="https://doi.org/10.1093/molbev/msp141" TargetMode="External"/><Relationship Id="rId294" Type="http://schemas.openxmlformats.org/officeDocument/2006/relationships/hyperlink" Target="https://doi.org/10.1023/A:1024646818324" TargetMode="External"/><Relationship Id="rId308" Type="http://schemas.openxmlformats.org/officeDocument/2006/relationships/hyperlink" Target="https://doi.org/10.1093/gbe/evt049" TargetMode="External"/><Relationship Id="rId329" Type="http://schemas.openxmlformats.org/officeDocument/2006/relationships/hyperlink" Target="https://doi.org/10.1139/g97-793" TargetMode="External"/><Relationship Id="rId47" Type="http://schemas.openxmlformats.org/officeDocument/2006/relationships/hyperlink" Target="https://bmcplantbiol.biomedcentral.com/articles/10.1186/1471-2229-10-208" TargetMode="External"/><Relationship Id="rId68" Type="http://schemas.openxmlformats.org/officeDocument/2006/relationships/hyperlink" Target="https://doi.org/10.1016/j.bcab.2018.08.004" TargetMode="External"/><Relationship Id="rId89" Type="http://schemas.openxmlformats.org/officeDocument/2006/relationships/hyperlink" Target="https://doi.org/10.3897/CompCytogen.v8i4.8473" TargetMode="External"/><Relationship Id="rId112" Type="http://schemas.openxmlformats.org/officeDocument/2006/relationships/hyperlink" Target="https://doi.org/10.1186/1471-2164-12-376" TargetMode="External"/><Relationship Id="rId133" Type="http://schemas.openxmlformats.org/officeDocument/2006/relationships/hyperlink" Target="https://books.google.es/books?hl=es&amp;lr=&amp;id=yov7iUL7OTAC&amp;oi=fnd&amp;pg=PA295&amp;dq=Cytokinins+and+reproductive+organogenesis+in+Mercurialis&amp;ots=0dF_iUKBwc&amp;sig=Dx4xU8tXOAL5s7AVJmuYfOrZXIc" TargetMode="External"/><Relationship Id="rId154" Type="http://schemas.openxmlformats.org/officeDocument/2006/relationships/hyperlink" Target="https://link.springer.com/article/10.1023/A:1020361424758" TargetMode="External"/><Relationship Id="rId175" Type="http://schemas.openxmlformats.org/officeDocument/2006/relationships/hyperlink" Target="https://www.genetics.org/content/212/3/815.abstract" TargetMode="External"/><Relationship Id="rId340" Type="http://schemas.openxmlformats.org/officeDocument/2006/relationships/hyperlink" Target="https://www.ncbi.nlm.nih.gov/pubmed/11202435" TargetMode="External"/><Relationship Id="rId361" Type="http://schemas.openxmlformats.org/officeDocument/2006/relationships/hyperlink" Target="https://doi.org/10.1139/G05-089" TargetMode="External"/><Relationship Id="rId196" Type="http://schemas.openxmlformats.org/officeDocument/2006/relationships/hyperlink" Target="https://doi.org/10.1007/s00425-004-1365-8" TargetMode="External"/><Relationship Id="rId200" Type="http://schemas.openxmlformats.org/officeDocument/2006/relationships/hyperlink" Target="https://www.nature.com/articles/s41467-017-01064-8" TargetMode="External"/><Relationship Id="rId16" Type="http://schemas.openxmlformats.org/officeDocument/2006/relationships/hyperlink" Target="https://doi.org/10.1134/S1022795411080023" TargetMode="External"/><Relationship Id="rId221" Type="http://schemas.openxmlformats.org/officeDocument/2006/relationships/hyperlink" Target="https://doi.org/10.1111/j.1365-313X.2007.03329.x" TargetMode="External"/><Relationship Id="rId242" Type="http://schemas.openxmlformats.org/officeDocument/2006/relationships/hyperlink" Target="https://academic.oup.com/pcp/article/57/2/325/2461069" TargetMode="External"/><Relationship Id="rId263" Type="http://schemas.openxmlformats.org/officeDocument/2006/relationships/hyperlink" Target="http://www.genetics.org/content/163/1/321.long" TargetMode="External"/><Relationship Id="rId284" Type="http://schemas.openxmlformats.org/officeDocument/2006/relationships/hyperlink" Target="https://doi.org/10.1534/g3.112.003749" TargetMode="External"/><Relationship Id="rId319" Type="http://schemas.openxmlformats.org/officeDocument/2006/relationships/hyperlink" Target="https://doi.org/10.1093/gbe/evt049" TargetMode="External"/><Relationship Id="rId37" Type="http://schemas.openxmlformats.org/officeDocument/2006/relationships/hyperlink" Target="https://doi.org/10.1016/j.tig.2011.05.001" TargetMode="External"/><Relationship Id="rId58" Type="http://schemas.openxmlformats.org/officeDocument/2006/relationships/hyperlink" Target="https://onlinelibrary.wiley.com/doi/full/10.1111/gcbb.12667" TargetMode="External"/><Relationship Id="rId79" Type="http://schemas.openxmlformats.org/officeDocument/2006/relationships/hyperlink" Target="https://doi.org/10.1038/hdy.2008.100" TargetMode="External"/><Relationship Id="rId102" Type="http://schemas.openxmlformats.org/officeDocument/2006/relationships/hyperlink" Target="http://www.genome.org/cgi/doi/10.1101/gr.7076308" TargetMode="External"/><Relationship Id="rId123" Type="http://schemas.openxmlformats.org/officeDocument/2006/relationships/hyperlink" Target="https://doi.org/10.1508/cytologia.73.159" TargetMode="External"/><Relationship Id="rId144" Type="http://schemas.openxmlformats.org/officeDocument/2006/relationships/hyperlink" Target="https://link.springer.com/article/10.1007/s00468-019-01817-6" TargetMode="External"/><Relationship Id="rId330" Type="http://schemas.openxmlformats.org/officeDocument/2006/relationships/hyperlink" Target="https://doi.org/10.1007/s10577-008-1254-2" TargetMode="External"/><Relationship Id="rId90" Type="http://schemas.openxmlformats.org/officeDocument/2006/relationships/hyperlink" Target="https://doi.org/10.3897/CompCytogen.v8i4.8473" TargetMode="External"/><Relationship Id="rId165" Type="http://schemas.openxmlformats.org/officeDocument/2006/relationships/hyperlink" Target="https://doi.org/10.1111/nph.13389" TargetMode="External"/><Relationship Id="rId186" Type="http://schemas.openxmlformats.org/officeDocument/2006/relationships/hyperlink" Target="https://doi.org/10.1093/pcp/pcp187" TargetMode="External"/><Relationship Id="rId351" Type="http://schemas.openxmlformats.org/officeDocument/2006/relationships/hyperlink" Target="https://doi.org/10.1093/gbe/evt049" TargetMode="External"/><Relationship Id="rId372" Type="http://schemas.openxmlformats.org/officeDocument/2006/relationships/hyperlink" Target="https://www.ncbi.nlm.nih.gov/pmc/articles/PMC1462803/" TargetMode="External"/><Relationship Id="rId211" Type="http://schemas.openxmlformats.org/officeDocument/2006/relationships/hyperlink" Target="https://genome.cshlp.org/content/early/2020/02/05/gr.251207.119.full.pdf+html" TargetMode="External"/><Relationship Id="rId232" Type="http://schemas.openxmlformats.org/officeDocument/2006/relationships/hyperlink" Target="https://doi.org/10.1371/journal.pone.0194605" TargetMode="External"/><Relationship Id="rId253" Type="http://schemas.openxmlformats.org/officeDocument/2006/relationships/hyperlink" Target="https://doi.org/10.1371/journal.pone.0062681" TargetMode="External"/><Relationship Id="rId274" Type="http://schemas.openxmlformats.org/officeDocument/2006/relationships/hyperlink" Target="https://doi.org/10.1266/ggs.80.395" TargetMode="External"/><Relationship Id="rId295" Type="http://schemas.openxmlformats.org/officeDocument/2006/relationships/hyperlink" Target="https://doi.org/10.17660/ActaHortic.2005.668.11" TargetMode="External"/><Relationship Id="rId309" Type="http://schemas.openxmlformats.org/officeDocument/2006/relationships/hyperlink" Target="https://doi.org/10.1007/s00438-008-0405-7" TargetMode="External"/><Relationship Id="rId27" Type="http://schemas.openxmlformats.org/officeDocument/2006/relationships/hyperlink" Target="http://www.ndsl.kr/ndsl/search/detail/article/articleSearchResultDetail.do?cn=JAKO200503018546440" TargetMode="External"/><Relationship Id="rId48" Type="http://schemas.openxmlformats.org/officeDocument/2006/relationships/hyperlink" Target="https://link.springer.com/article/10.1007%2Fs001220050995" TargetMode="External"/><Relationship Id="rId69" Type="http://schemas.openxmlformats.org/officeDocument/2006/relationships/hyperlink" Target="https://doi.org/10.1111/nph.14711" TargetMode="External"/><Relationship Id="rId113" Type="http://schemas.openxmlformats.org/officeDocument/2006/relationships/hyperlink" Target="https://www.ncbi.nlm.nih.gov/pubmed/11861573" TargetMode="External"/><Relationship Id="rId134" Type="http://schemas.openxmlformats.org/officeDocument/2006/relationships/hyperlink" Target="https://academic.oup.com/biolinnean/article/82/4/547/2643086" TargetMode="External"/><Relationship Id="rId320" Type="http://schemas.openxmlformats.org/officeDocument/2006/relationships/hyperlink" Target="https://doi.org/10.1093/gbe/evt049" TargetMode="External"/><Relationship Id="rId80" Type="http://schemas.openxmlformats.org/officeDocument/2006/relationships/hyperlink" Target="https://doi.org/10.1093/jhered/esx077" TargetMode="External"/><Relationship Id="rId155" Type="http://schemas.openxmlformats.org/officeDocument/2006/relationships/hyperlink" Target="https://link.springer.com/article/10.1007/s00425-005-0046-6" TargetMode="External"/><Relationship Id="rId176" Type="http://schemas.openxmlformats.org/officeDocument/2006/relationships/hyperlink" Target="https://onlinelibrary.wiley.com/doi/abs/10.1111/j.1399-3054.1996.tb00210.x" TargetMode="External"/><Relationship Id="rId197" Type="http://schemas.openxmlformats.org/officeDocument/2006/relationships/hyperlink" Target="https://www.nature.com/articles/srep41497" TargetMode="External"/><Relationship Id="rId341" Type="http://schemas.openxmlformats.org/officeDocument/2006/relationships/hyperlink" Target="https://doi.org/10.1038/nature06856" TargetMode="External"/><Relationship Id="rId362" Type="http://schemas.openxmlformats.org/officeDocument/2006/relationships/hyperlink" Target="https://doi.org/10.1139/G05-089" TargetMode="External"/><Relationship Id="rId201" Type="http://schemas.openxmlformats.org/officeDocument/2006/relationships/hyperlink" Target="https://www.nature.com/articles/s41467-017-01064-8" TargetMode="External"/><Relationship Id="rId222" Type="http://schemas.openxmlformats.org/officeDocument/2006/relationships/hyperlink" Target="https://doi.org/10.1111/j.1365-313X.2010.04284.x" TargetMode="External"/><Relationship Id="rId243" Type="http://schemas.openxmlformats.org/officeDocument/2006/relationships/hyperlink" Target="https://academic.oup.com/dnaresearch/article/7/3/165/343815" TargetMode="External"/><Relationship Id="rId264" Type="http://schemas.openxmlformats.org/officeDocument/2006/relationships/hyperlink" Target="https://doi.org/10.1093/emboj/18.15.4169" TargetMode="External"/><Relationship Id="rId285" Type="http://schemas.openxmlformats.org/officeDocument/2006/relationships/hyperlink" Target="https://doi.org/10.1139/g10-008" TargetMode="External"/><Relationship Id="rId17" Type="http://schemas.openxmlformats.org/officeDocument/2006/relationships/hyperlink" Target="https://doi.org/10.1007/s10681-016-1655-9" TargetMode="External"/><Relationship Id="rId38" Type="http://schemas.openxmlformats.org/officeDocument/2006/relationships/hyperlink" Target="https://www.ncbi.nlm.nih.gov/pmc/articles/PMC1462768/" TargetMode="External"/><Relationship Id="rId59" Type="http://schemas.openxmlformats.org/officeDocument/2006/relationships/hyperlink" Target="https://onlinelibrary.wiley.com/doi/full/10.1111/gcbb.12667" TargetMode="External"/><Relationship Id="rId103" Type="http://schemas.openxmlformats.org/officeDocument/2006/relationships/hyperlink" Target="https://doi.org/10.1007/s11295-012-0495-6" TargetMode="External"/><Relationship Id="rId124" Type="http://schemas.openxmlformats.org/officeDocument/2006/relationships/hyperlink" Target="https://www.ncbi.nlm.nih.gov/pmc/articles/PMC4620866/pdf/pnas.201508454.pdf" TargetMode="External"/><Relationship Id="rId310" Type="http://schemas.openxmlformats.org/officeDocument/2006/relationships/hyperlink" Target="https://doi.org/10.1093/gbe/evt049" TargetMode="External"/><Relationship Id="rId70" Type="http://schemas.openxmlformats.org/officeDocument/2006/relationships/hyperlink" Target="https://doi.org/10.1534/genetics.110.122911" TargetMode="External"/><Relationship Id="rId91" Type="http://schemas.openxmlformats.org/officeDocument/2006/relationships/hyperlink" Target="https://doi.org/10.1139/g97-048" TargetMode="External"/><Relationship Id="rId145" Type="http://schemas.openxmlformats.org/officeDocument/2006/relationships/hyperlink" Target="https://onlinelibrary.wiley.com/doi/full/10.1111/plb.12048" TargetMode="External"/><Relationship Id="rId166" Type="http://schemas.openxmlformats.org/officeDocument/2006/relationships/hyperlink" Target="https://www.nature.com/articles/s41467-017-01064-8" TargetMode="External"/><Relationship Id="rId187" Type="http://schemas.openxmlformats.org/officeDocument/2006/relationships/hyperlink" Target="https://doi.org/10.1016/j.ydbio.2006.09.013" TargetMode="External"/><Relationship Id="rId331" Type="http://schemas.openxmlformats.org/officeDocument/2006/relationships/hyperlink" Target="https://doi.org/10.1007/s10577-008-1254-2" TargetMode="External"/><Relationship Id="rId352" Type="http://schemas.openxmlformats.org/officeDocument/2006/relationships/hyperlink" Target="https://doi.org/10.1093/gbe/evt049" TargetMode="External"/><Relationship Id="rId373" Type="http://schemas.openxmlformats.org/officeDocument/2006/relationships/hyperlink" Target="https://www.ncbi.nlm.nih.gov/pmc/articles/PMC1462803/" TargetMode="External"/><Relationship Id="rId1" Type="http://schemas.openxmlformats.org/officeDocument/2006/relationships/hyperlink" Target="https://doi.org/10.1371/journal.pone.0085118" TargetMode="External"/><Relationship Id="rId212" Type="http://schemas.openxmlformats.org/officeDocument/2006/relationships/hyperlink" Target="https://doi.org/10.1111/j.1365-313X.2007.03329.x" TargetMode="External"/><Relationship Id="rId233" Type="http://schemas.openxmlformats.org/officeDocument/2006/relationships/hyperlink" Target="https://doi.org/10.1534/genetics.110.122911" TargetMode="External"/><Relationship Id="rId254" Type="http://schemas.openxmlformats.org/officeDocument/2006/relationships/hyperlink" Target="https://doi.org/10.1371/journal.pone.0062681" TargetMode="External"/><Relationship Id="rId28" Type="http://schemas.openxmlformats.org/officeDocument/2006/relationships/hyperlink" Target="http://www.ndsl.kr/ndsl/search/detail/article/articleSearchResultDetail.do?cn=JAKO200503018546440" TargetMode="External"/><Relationship Id="rId49" Type="http://schemas.openxmlformats.org/officeDocument/2006/relationships/hyperlink" Target="https://doi.org/10.1271/bbb.120943" TargetMode="External"/><Relationship Id="rId114" Type="http://schemas.openxmlformats.org/officeDocument/2006/relationships/hyperlink" Target="https://doi.org/10.1007/s00122-006-0293-3" TargetMode="External"/><Relationship Id="rId275" Type="http://schemas.openxmlformats.org/officeDocument/2006/relationships/hyperlink" Target="https://doi.org/10.1093/oxfordjournals.pcp.a029196" TargetMode="External"/><Relationship Id="rId296" Type="http://schemas.openxmlformats.org/officeDocument/2006/relationships/hyperlink" Target="https://doi.org/10.1159/000328831" TargetMode="External"/><Relationship Id="rId300" Type="http://schemas.openxmlformats.org/officeDocument/2006/relationships/hyperlink" Target="https://www.karger.com/Article/Abstract/121075" TargetMode="External"/><Relationship Id="rId60" Type="http://schemas.openxmlformats.org/officeDocument/2006/relationships/hyperlink" Target="https://onlinelibrary.wiley.com/doi/full/10.1111/gcbb.12667" TargetMode="External"/><Relationship Id="rId81" Type="http://schemas.openxmlformats.org/officeDocument/2006/relationships/hyperlink" Target="https://doi.org/10.1093/jhered/esx077" TargetMode="External"/><Relationship Id="rId135" Type="http://schemas.openxmlformats.org/officeDocument/2006/relationships/hyperlink" Target="https://www.genetics.org/content/212/3/815.abstract" TargetMode="External"/><Relationship Id="rId156" Type="http://schemas.openxmlformats.org/officeDocument/2006/relationships/hyperlink" Target="https://link.springer.com/article/10.1007/s00425-005-0046-6" TargetMode="External"/><Relationship Id="rId177" Type="http://schemas.openxmlformats.org/officeDocument/2006/relationships/hyperlink" Target="https://doi.org/10.1111/nph.15421" TargetMode="External"/><Relationship Id="rId198" Type="http://schemas.openxmlformats.org/officeDocument/2006/relationships/hyperlink" Target="https://www.nature.com/articles/s41467-017-01064-8" TargetMode="External"/><Relationship Id="rId321" Type="http://schemas.openxmlformats.org/officeDocument/2006/relationships/hyperlink" Target="https://doi.org/10.1139/G05-089" TargetMode="External"/><Relationship Id="rId342" Type="http://schemas.openxmlformats.org/officeDocument/2006/relationships/hyperlink" Target="https://doi.org/10.1186/1471-2164-15-335" TargetMode="External"/><Relationship Id="rId363" Type="http://schemas.openxmlformats.org/officeDocument/2006/relationships/hyperlink" Target="https://www.ncbi.nlm.nih.gov/pubmed/12175078" TargetMode="External"/><Relationship Id="rId202" Type="http://schemas.openxmlformats.org/officeDocument/2006/relationships/hyperlink" Target="https://link.springer.com/article/10.1007/s10681-004-4758-7" TargetMode="External"/><Relationship Id="rId223" Type="http://schemas.openxmlformats.org/officeDocument/2006/relationships/hyperlink" Target="https://doi.org/10.1111/j.1365-313X.2007.03329.x" TargetMode="External"/><Relationship Id="rId244" Type="http://schemas.openxmlformats.org/officeDocument/2006/relationships/hyperlink" Target="https://academic.oup.com/dnaresearch/article/7/3/165/343815" TargetMode="External"/><Relationship Id="rId18" Type="http://schemas.openxmlformats.org/officeDocument/2006/relationships/hyperlink" Target="https://doi.org/10.1007/s10681-016-1655-9" TargetMode="External"/><Relationship Id="rId39" Type="http://schemas.openxmlformats.org/officeDocument/2006/relationships/hyperlink" Target="https://doi.org/10.1186/1471-2164-13-226" TargetMode="External"/><Relationship Id="rId265" Type="http://schemas.openxmlformats.org/officeDocument/2006/relationships/hyperlink" Target="https://doi.org/10.1016/S0764-4469(01)01322-1" TargetMode="External"/><Relationship Id="rId286" Type="http://schemas.openxmlformats.org/officeDocument/2006/relationships/hyperlink" Target="https://doi.org/10.1139/g97-048" TargetMode="External"/><Relationship Id="rId50" Type="http://schemas.openxmlformats.org/officeDocument/2006/relationships/hyperlink" Target="https://www.researchgate.net/publication/268180715_A_Restriction_Fragment_Length_Polymorphism_Probe_for_Early_Diagnosis_of_Gender_in_Asparagus_officinalis_L" TargetMode="External"/><Relationship Id="rId104" Type="http://schemas.openxmlformats.org/officeDocument/2006/relationships/hyperlink" Target="https://doi.org/10.1007/s11295-009-0204-2" TargetMode="External"/><Relationship Id="rId125" Type="http://schemas.openxmlformats.org/officeDocument/2006/relationships/hyperlink" Target="https://link.springer.com/article/10.1007/s10265-015-0724-9" TargetMode="External"/><Relationship Id="rId146" Type="http://schemas.openxmlformats.org/officeDocument/2006/relationships/hyperlink" Target="https://link.springer.com/content/pdf/10.1007/s10681-013-1023-y.pdf" TargetMode="External"/><Relationship Id="rId167" Type="http://schemas.openxmlformats.org/officeDocument/2006/relationships/hyperlink" Target="https://genome.cshlp.org/content/early/2020/02/05/gr.251207.119.full.pdf+html" TargetMode="External"/><Relationship Id="rId188" Type="http://schemas.openxmlformats.org/officeDocument/2006/relationships/hyperlink" Target="https://www.ncbi.nlm.nih.gov/pmc/articles/PMC1461734/" TargetMode="External"/><Relationship Id="rId311" Type="http://schemas.openxmlformats.org/officeDocument/2006/relationships/hyperlink" Target="https://doi.org/10.1007/s00438-008-0405-7" TargetMode="External"/><Relationship Id="rId332" Type="http://schemas.openxmlformats.org/officeDocument/2006/relationships/hyperlink" Target="https://doi.org/10.1007/s10577-008-1254-2" TargetMode="External"/><Relationship Id="rId353" Type="http://schemas.openxmlformats.org/officeDocument/2006/relationships/hyperlink" Target="https://doi.org/10.1093/gbe/evt049" TargetMode="External"/><Relationship Id="rId374" Type="http://schemas.openxmlformats.org/officeDocument/2006/relationships/hyperlink" Target="https://www.ncbi.nlm.nih.gov/pmc/articles/PMC1462803/" TargetMode="External"/><Relationship Id="rId71" Type="http://schemas.openxmlformats.org/officeDocument/2006/relationships/hyperlink" Target="https://doi.org/10.1534/genetics.110.122911" TargetMode="External"/><Relationship Id="rId92" Type="http://schemas.openxmlformats.org/officeDocument/2006/relationships/hyperlink" Target="https://doi.org/10.1046/j.1469-8137.2000.00771.x" TargetMode="External"/><Relationship Id="rId213" Type="http://schemas.openxmlformats.org/officeDocument/2006/relationships/hyperlink" Target="https://doi.org/10.1111/j.1365-313X.2007.03329.x" TargetMode="External"/><Relationship Id="rId234" Type="http://schemas.openxmlformats.org/officeDocument/2006/relationships/hyperlink" Target="https://journals.plos.org/plosbiology/article?id=10.1371/journal.pbio.2006062" TargetMode="External"/><Relationship Id="rId2" Type="http://schemas.openxmlformats.org/officeDocument/2006/relationships/hyperlink" Target="https://link.springer.com/article/10.1007%2Fs00239-015-9680-1" TargetMode="External"/><Relationship Id="rId29" Type="http://schemas.openxmlformats.org/officeDocument/2006/relationships/hyperlink" Target="https://doi.org/10.1055/s-2006-924728" TargetMode="External"/><Relationship Id="rId255" Type="http://schemas.openxmlformats.org/officeDocument/2006/relationships/hyperlink" Target="https://doi.org/10.1139/X10-206" TargetMode="External"/><Relationship Id="rId276" Type="http://schemas.openxmlformats.org/officeDocument/2006/relationships/hyperlink" Target="https://www.nature.com/articles/30492" TargetMode="External"/><Relationship Id="rId297" Type="http://schemas.openxmlformats.org/officeDocument/2006/relationships/hyperlink" Target="https://www.ncbi.nlm.nih.gov/pmc/articles/PMC6128410/" TargetMode="External"/><Relationship Id="rId40" Type="http://schemas.openxmlformats.org/officeDocument/2006/relationships/hyperlink" Target="https://doi.org/10.1534/genetics.113.150755" TargetMode="External"/><Relationship Id="rId115" Type="http://schemas.openxmlformats.org/officeDocument/2006/relationships/hyperlink" Target="https://doi.org/10.1534/genetics.105.040444" TargetMode="External"/><Relationship Id="rId136" Type="http://schemas.openxmlformats.org/officeDocument/2006/relationships/hyperlink" Target="https://www.nature.com/articles/hdy201495" TargetMode="External"/><Relationship Id="rId157" Type="http://schemas.openxmlformats.org/officeDocument/2006/relationships/hyperlink" Target="https://doi.org/10.1111/nph.13389" TargetMode="External"/><Relationship Id="rId178" Type="http://schemas.openxmlformats.org/officeDocument/2006/relationships/hyperlink" Target="https://doi.org/10.1038/s41477-020-0672-9" TargetMode="External"/><Relationship Id="rId301" Type="http://schemas.openxmlformats.org/officeDocument/2006/relationships/hyperlink" Target="https://link.springer.com/content/pdf/10.1023/A:1011676328165.pdf" TargetMode="External"/><Relationship Id="rId322" Type="http://schemas.openxmlformats.org/officeDocument/2006/relationships/hyperlink" Target="https://www.researchgate.net/publication/286981393_Identification_of_a_long_Y-chromosome_enriched_repetitive_sequence_in_Rumex_acetosa_L" TargetMode="External"/><Relationship Id="rId343" Type="http://schemas.openxmlformats.org/officeDocument/2006/relationships/hyperlink" Target="https://doi.org/10.1038/nature06856" TargetMode="External"/><Relationship Id="rId364" Type="http://schemas.openxmlformats.org/officeDocument/2006/relationships/hyperlink" Target="https://doi.org/10.1266/ggs.77.393" TargetMode="External"/><Relationship Id="rId61" Type="http://schemas.openxmlformats.org/officeDocument/2006/relationships/hyperlink" Target="https://onlinelibrary.wiley.com/doi/full/10.1111/gcbb.12667" TargetMode="External"/><Relationship Id="rId82" Type="http://schemas.openxmlformats.org/officeDocument/2006/relationships/hyperlink" Target="https://journals.plos.org/plosbiology/article?id=10.1371/journal.pbio.2006062" TargetMode="External"/><Relationship Id="rId199" Type="http://schemas.openxmlformats.org/officeDocument/2006/relationships/hyperlink" Target="https://www.nature.com/articles/s41467-017-01064-8" TargetMode="External"/><Relationship Id="rId203" Type="http://schemas.openxmlformats.org/officeDocument/2006/relationships/hyperlink" Target="https://link.springer.com/article/10.1007/s10681-004-4758-7" TargetMode="External"/><Relationship Id="rId19" Type="http://schemas.openxmlformats.org/officeDocument/2006/relationships/hyperlink" Target="https://doi.org/10.1515/abcsb-2016-0017" TargetMode="External"/><Relationship Id="rId224" Type="http://schemas.openxmlformats.org/officeDocument/2006/relationships/hyperlink" Target="https://doi.org/10.1111/j.1365-313X.2010.04284.x" TargetMode="External"/><Relationship Id="rId245" Type="http://schemas.openxmlformats.org/officeDocument/2006/relationships/hyperlink" Target="https://www.genetics.org/content/212/3/815.abstract" TargetMode="External"/><Relationship Id="rId266" Type="http://schemas.openxmlformats.org/officeDocument/2006/relationships/hyperlink" Target="https://doi.org/10.1093/oxfordjournals.molbev.a003930" TargetMode="External"/><Relationship Id="rId287" Type="http://schemas.openxmlformats.org/officeDocument/2006/relationships/hyperlink" Target="https://doi.org/10.1371/journal.pone.0085118" TargetMode="External"/><Relationship Id="rId30" Type="http://schemas.openxmlformats.org/officeDocument/2006/relationships/hyperlink" Target="https://doi.org/10.1159/000355212" TargetMode="External"/><Relationship Id="rId105" Type="http://schemas.openxmlformats.org/officeDocument/2006/relationships/hyperlink" Target="https://doi.org/10.1139/X10-206" TargetMode="External"/><Relationship Id="rId126" Type="http://schemas.openxmlformats.org/officeDocument/2006/relationships/hyperlink" Target="https://www.ncbi.nlm.nih.gov/pmc/articles/PMC3547029/" TargetMode="External"/><Relationship Id="rId147" Type="http://schemas.openxmlformats.org/officeDocument/2006/relationships/hyperlink" Target="https://link.springer.com/content/pdf/10.1007/s10681-013-1023-y.pdf" TargetMode="External"/><Relationship Id="rId168" Type="http://schemas.openxmlformats.org/officeDocument/2006/relationships/hyperlink" Target="https://www.frontiersin.org/articles/10.3389/fpls.2018.01345/full" TargetMode="External"/><Relationship Id="rId312" Type="http://schemas.openxmlformats.org/officeDocument/2006/relationships/hyperlink" Target="https://doi.org/10.1093/gbe/evt049" TargetMode="External"/><Relationship Id="rId333" Type="http://schemas.openxmlformats.org/officeDocument/2006/relationships/hyperlink" Target="https://doi.org/10.1139/G08-024" TargetMode="External"/><Relationship Id="rId354" Type="http://schemas.openxmlformats.org/officeDocument/2006/relationships/hyperlink" Target="https://doi.org/10.1093/gbe/evt049" TargetMode="External"/><Relationship Id="rId51" Type="http://schemas.openxmlformats.org/officeDocument/2006/relationships/hyperlink" Target="https://doi.org/10.3389/fpls.2018.01068" TargetMode="External"/><Relationship Id="rId72" Type="http://schemas.openxmlformats.org/officeDocument/2006/relationships/hyperlink" Target="https://doi.org/10.1111/nph.13983" TargetMode="External"/><Relationship Id="rId93" Type="http://schemas.openxmlformats.org/officeDocument/2006/relationships/hyperlink" Target="https://doi.org/10.1046/j.1469-8137.2000.00771.x" TargetMode="External"/><Relationship Id="rId189" Type="http://schemas.openxmlformats.org/officeDocument/2006/relationships/hyperlink" Target="https://doi.org/10.1139/G02-052" TargetMode="External"/><Relationship Id="rId375" Type="http://schemas.openxmlformats.org/officeDocument/2006/relationships/hyperlink" Target="https://doi.org/10.1534/genetics.107.081745" TargetMode="External"/><Relationship Id="rId3" Type="http://schemas.openxmlformats.org/officeDocument/2006/relationships/hyperlink" Target="https://doi.org/10.1111/j.1365-313X.2010.04284.x" TargetMode="External"/><Relationship Id="rId214" Type="http://schemas.openxmlformats.org/officeDocument/2006/relationships/hyperlink" Target="https://doi.org/10.1111/j.1365-313X.2010.04284.x" TargetMode="External"/><Relationship Id="rId235" Type="http://schemas.openxmlformats.org/officeDocument/2006/relationships/hyperlink" Target="https://doi.org/10.1038/hdy.2012.96" TargetMode="External"/><Relationship Id="rId256" Type="http://schemas.openxmlformats.org/officeDocument/2006/relationships/hyperlink" Target="https://doi.org/10.1139/X10-206" TargetMode="External"/><Relationship Id="rId277" Type="http://schemas.openxmlformats.org/officeDocument/2006/relationships/hyperlink" Target="http://www.genetics.org/content/158/3/1269" TargetMode="External"/><Relationship Id="rId298" Type="http://schemas.openxmlformats.org/officeDocument/2006/relationships/hyperlink" Target="https://www.genetics.org/content/159/3/981" TargetMode="External"/><Relationship Id="rId116" Type="http://schemas.openxmlformats.org/officeDocument/2006/relationships/hyperlink" Target="https://bmcplantbiol.biomedcentral.com/articles/10.1186/1471-2229-10-208" TargetMode="External"/><Relationship Id="rId137" Type="http://schemas.openxmlformats.org/officeDocument/2006/relationships/hyperlink" Target="https://onlinelibrary.wiley.com/doi/full/10.1111/mec.12011" TargetMode="External"/><Relationship Id="rId158" Type="http://schemas.openxmlformats.org/officeDocument/2006/relationships/hyperlink" Target="https://link.springer.com/article/10.1007/s004970000049" TargetMode="External"/><Relationship Id="rId302" Type="http://schemas.openxmlformats.org/officeDocument/2006/relationships/hyperlink" Target="https://onlinelibrary.wiley.com/doi/full/10.1046/j.1365-313x.2000.00882.x" TargetMode="External"/><Relationship Id="rId323" Type="http://schemas.openxmlformats.org/officeDocument/2006/relationships/hyperlink" Target="https://doi.org/10.1007/s00412-006-0065-5" TargetMode="External"/><Relationship Id="rId344" Type="http://schemas.openxmlformats.org/officeDocument/2006/relationships/hyperlink" Target="https://doi.org/10.1186/1471-2164-15-335" TargetMode="External"/><Relationship Id="rId20" Type="http://schemas.openxmlformats.org/officeDocument/2006/relationships/hyperlink" Target="http://dx.doi.org/10.1016/j.mcp.2017.05.007" TargetMode="External"/><Relationship Id="rId41" Type="http://schemas.openxmlformats.org/officeDocument/2006/relationships/hyperlink" Target="https://journals.plos.org/plosbiology/article/comments?id=10.1371/journal.pbio.0030004" TargetMode="External"/><Relationship Id="rId62" Type="http://schemas.openxmlformats.org/officeDocument/2006/relationships/hyperlink" Target="http://www.demeter.org.es/pdf/investi_a/In_situ_Hybridisierung_an_Hanf_Chromosomen.pdf" TargetMode="External"/><Relationship Id="rId83" Type="http://schemas.openxmlformats.org/officeDocument/2006/relationships/hyperlink" Target="https://doi.org/10.1093/jhered/esx077" TargetMode="External"/><Relationship Id="rId179" Type="http://schemas.openxmlformats.org/officeDocument/2006/relationships/hyperlink" Target="https://doi.org/10.1105/tpc.7.10.1583" TargetMode="External"/><Relationship Id="rId365" Type="http://schemas.openxmlformats.org/officeDocument/2006/relationships/hyperlink" Target="https://doi.org/10.1007/s00438-006-0140-x" TargetMode="External"/><Relationship Id="rId190" Type="http://schemas.openxmlformats.org/officeDocument/2006/relationships/hyperlink" Target="https://doi.org/10.1046/j.1365-313X.1997.12040805.x" TargetMode="External"/><Relationship Id="rId204" Type="http://schemas.openxmlformats.org/officeDocument/2006/relationships/hyperlink" Target="https://link.springer.com/article/10.1007/s10681-004-4758-7" TargetMode="External"/><Relationship Id="rId225" Type="http://schemas.openxmlformats.org/officeDocument/2006/relationships/hyperlink" Target="https://academic.oup.com/mbe/article/29/12/3909/1010407" TargetMode="External"/><Relationship Id="rId246" Type="http://schemas.openxmlformats.org/officeDocument/2006/relationships/hyperlink" Target="https://academic.oup.com/jxb/article/70/21/6245/5555983" TargetMode="External"/><Relationship Id="rId267" Type="http://schemas.openxmlformats.org/officeDocument/2006/relationships/hyperlink" Target="https://doi.org/10.1371/journal.pbio.0030004" TargetMode="External"/><Relationship Id="rId288" Type="http://schemas.openxmlformats.org/officeDocument/2006/relationships/hyperlink" Target="https://doi.org/10.1186/1471-2164-15-335" TargetMode="External"/><Relationship Id="rId106" Type="http://schemas.openxmlformats.org/officeDocument/2006/relationships/hyperlink" Target="https://doi.org/10.1038/s41598-017-01893-z" TargetMode="External"/><Relationship Id="rId127" Type="http://schemas.openxmlformats.org/officeDocument/2006/relationships/hyperlink" Target="https://genomebiology.biomedcentral.com/articles/10.1186/s13059-017-1383-z" TargetMode="External"/><Relationship Id="rId313" Type="http://schemas.openxmlformats.org/officeDocument/2006/relationships/hyperlink" Target="https://doi.org/10.1007/s00239-004-0199-0" TargetMode="External"/><Relationship Id="rId10" Type="http://schemas.openxmlformats.org/officeDocument/2006/relationships/hyperlink" Target="https://doi.org/10.1534/g3.113.006288" TargetMode="External"/><Relationship Id="rId31" Type="http://schemas.openxmlformats.org/officeDocument/2006/relationships/hyperlink" Target="https://doi.org/10.1534/genetics.107.071175" TargetMode="External"/><Relationship Id="rId52" Type="http://schemas.openxmlformats.org/officeDocument/2006/relationships/hyperlink" Target="https://doi.org/10.1111/nph.13389" TargetMode="External"/><Relationship Id="rId73" Type="http://schemas.openxmlformats.org/officeDocument/2006/relationships/hyperlink" Target="https://doi.org/10.1111/nph.13983" TargetMode="External"/><Relationship Id="rId94" Type="http://schemas.openxmlformats.org/officeDocument/2006/relationships/hyperlink" Target="https://doi.org/10.17660/ActaHortic.2005.668.11" TargetMode="External"/><Relationship Id="rId148" Type="http://schemas.openxmlformats.org/officeDocument/2006/relationships/hyperlink" Target="https://onlinelibrary.wiley.com/doi/abs/10.1046/j.1439-0523.2001.00620.x" TargetMode="External"/><Relationship Id="rId169" Type="http://schemas.openxmlformats.org/officeDocument/2006/relationships/hyperlink" Target="https://academic.oup.com/pcp/article/57/2/325/2461069" TargetMode="External"/><Relationship Id="rId334" Type="http://schemas.openxmlformats.org/officeDocument/2006/relationships/hyperlink" Target="https://doi.org/10.1371/journal.pone.0097189" TargetMode="External"/><Relationship Id="rId355" Type="http://schemas.openxmlformats.org/officeDocument/2006/relationships/hyperlink" Target="https://doi.org/10.1093/gbe/evt049" TargetMode="External"/><Relationship Id="rId4" Type="http://schemas.openxmlformats.org/officeDocument/2006/relationships/hyperlink" Target="https://doi.org/10.1073/pnas.1207833109" TargetMode="External"/><Relationship Id="rId180" Type="http://schemas.openxmlformats.org/officeDocument/2006/relationships/hyperlink" Target="https://doi.org/10.1105/tpc.7.10.1583" TargetMode="External"/><Relationship Id="rId215" Type="http://schemas.openxmlformats.org/officeDocument/2006/relationships/hyperlink" Target="https://doi.org/10.1111/j.1365-313X.2007.03329.x" TargetMode="External"/><Relationship Id="rId236" Type="http://schemas.openxmlformats.org/officeDocument/2006/relationships/hyperlink" Target="https://www.ncbi.nlm.nih.gov/pmc/articles/PMC6128410/" TargetMode="External"/><Relationship Id="rId257" Type="http://schemas.openxmlformats.org/officeDocument/2006/relationships/hyperlink" Target="https://doi.org/10.1139/X10-206" TargetMode="External"/><Relationship Id="rId278" Type="http://schemas.openxmlformats.org/officeDocument/2006/relationships/hyperlink" Target="https://www.ncbi.nlm.nih.gov/pubmed/9177037" TargetMode="External"/><Relationship Id="rId303" Type="http://schemas.openxmlformats.org/officeDocument/2006/relationships/hyperlink" Target="https://www.researchgate.net/publication/287851210_Variability_of_rDNA_loci_in_dioecious_Rumex_acetosa_L_detected_by_fluorescence_in_situ_hybridization" TargetMode="External"/><Relationship Id="rId42" Type="http://schemas.openxmlformats.org/officeDocument/2006/relationships/hyperlink" Target="https://doi.org/10.1534/genetics.113.150755" TargetMode="External"/><Relationship Id="rId84" Type="http://schemas.openxmlformats.org/officeDocument/2006/relationships/hyperlink" Target="https://doi.org/10.1038/hdy.2012.96" TargetMode="External"/><Relationship Id="rId138" Type="http://schemas.openxmlformats.org/officeDocument/2006/relationships/hyperlink" Target="https://link.springer.com/article/10.1007%2Fs00412-018-0664-y" TargetMode="External"/><Relationship Id="rId345" Type="http://schemas.openxmlformats.org/officeDocument/2006/relationships/hyperlink" Target="https://link.springer.com/article/10.1007%2Fs10577-012-9312-1" TargetMode="External"/><Relationship Id="rId191" Type="http://schemas.openxmlformats.org/officeDocument/2006/relationships/hyperlink" Target="https://doi.org/10.1046/j.1365-313X.1997.12040805.x" TargetMode="External"/><Relationship Id="rId205" Type="http://schemas.openxmlformats.org/officeDocument/2006/relationships/hyperlink" Target="https://link.springer.com/article/10.1007/s10681-004-4758-7" TargetMode="External"/><Relationship Id="rId247" Type="http://schemas.openxmlformats.org/officeDocument/2006/relationships/hyperlink" Target="https://doi.org/10.1111/nph.15421" TargetMode="External"/><Relationship Id="rId107" Type="http://schemas.openxmlformats.org/officeDocument/2006/relationships/hyperlink" Target="https://doi.org/10.1111/mec.13126" TargetMode="External"/><Relationship Id="rId289" Type="http://schemas.openxmlformats.org/officeDocument/2006/relationships/hyperlink" Target="https://doi.org/10.1186/1471-2164-15-335" TargetMode="External"/><Relationship Id="rId11" Type="http://schemas.openxmlformats.org/officeDocument/2006/relationships/hyperlink" Target="https://doi.org/10.1534/g3.113.006288" TargetMode="External"/><Relationship Id="rId53" Type="http://schemas.openxmlformats.org/officeDocument/2006/relationships/hyperlink" Target="https://www.nature.com/articles/s41467-017-01064-8" TargetMode="External"/><Relationship Id="rId149" Type="http://schemas.openxmlformats.org/officeDocument/2006/relationships/hyperlink" Target="https://academic.oup.com/pcp/article-abstract/36/8/1549/1819656?redirectedFrom=fulltext" TargetMode="External"/><Relationship Id="rId314" Type="http://schemas.openxmlformats.org/officeDocument/2006/relationships/hyperlink" Target="https://link.springer.com/article/10.1023/A:1009252913344" TargetMode="External"/><Relationship Id="rId356" Type="http://schemas.openxmlformats.org/officeDocument/2006/relationships/hyperlink" Target="https://doi.org/10.1093/gbe/evt049" TargetMode="External"/><Relationship Id="rId95" Type="http://schemas.openxmlformats.org/officeDocument/2006/relationships/hyperlink" Target="https://doi.org/10.1134/S1022795411080023" TargetMode="External"/><Relationship Id="rId160" Type="http://schemas.openxmlformats.org/officeDocument/2006/relationships/hyperlink" Target="https://link.springer.com/article/10.1007/s00497-006-0030-8" TargetMode="External"/><Relationship Id="rId216" Type="http://schemas.openxmlformats.org/officeDocument/2006/relationships/hyperlink" Target="https://doi.org/10.1111/j.1365-313X.2010.04284.x" TargetMode="External"/><Relationship Id="rId258" Type="http://schemas.openxmlformats.org/officeDocument/2006/relationships/hyperlink" Target="https://onlinelibrary.wiley.com/doi/full/10.1111/plb.12048" TargetMode="External"/><Relationship Id="rId22" Type="http://schemas.openxmlformats.org/officeDocument/2006/relationships/hyperlink" Target="http://www.genome.org/cgi/doi/10.1101/gr.7076308" TargetMode="External"/><Relationship Id="rId64" Type="http://schemas.openxmlformats.org/officeDocument/2006/relationships/hyperlink" Target="https://www.nature.com/articles/nature02228" TargetMode="External"/><Relationship Id="rId118" Type="http://schemas.openxmlformats.org/officeDocument/2006/relationships/hyperlink" Target="https://doi.org/10.1371/journal.pgen.1005536" TargetMode="External"/><Relationship Id="rId325" Type="http://schemas.openxmlformats.org/officeDocument/2006/relationships/hyperlink" Target="https://www.researchgate.net/publication/10787588_Characterization_of_telomere-subtelomere_junctions_in_Silene_latifolia" TargetMode="External"/><Relationship Id="rId367" Type="http://schemas.openxmlformats.org/officeDocument/2006/relationships/hyperlink" Target="https://doi.org/10.1159/000362142" TargetMode="External"/><Relationship Id="rId171" Type="http://schemas.openxmlformats.org/officeDocument/2006/relationships/hyperlink" Target="https://www.nature.com/articles/s41467-018-07728-3" TargetMode="External"/><Relationship Id="rId227" Type="http://schemas.openxmlformats.org/officeDocument/2006/relationships/hyperlink" Target="https://doi.org/10.1371/journal.pone.0194605" TargetMode="External"/><Relationship Id="rId269" Type="http://schemas.openxmlformats.org/officeDocument/2006/relationships/hyperlink" Target="https://doi.org/10.1534/genetics.106.070110" TargetMode="External"/><Relationship Id="rId33" Type="http://schemas.openxmlformats.org/officeDocument/2006/relationships/hyperlink" Target="https://doi.org/10.1534/genetics.107.071175" TargetMode="External"/><Relationship Id="rId129" Type="http://schemas.openxmlformats.org/officeDocument/2006/relationships/hyperlink" Target="https://link.springer.com/article/10.1007/BF00332532" TargetMode="External"/><Relationship Id="rId280" Type="http://schemas.openxmlformats.org/officeDocument/2006/relationships/hyperlink" Target="https://doi.org/10.1093/molbev/msi003" TargetMode="External"/><Relationship Id="rId336" Type="http://schemas.openxmlformats.org/officeDocument/2006/relationships/hyperlink" Target="https://doi.org/10.1371/journal.pone.0097189" TargetMode="External"/><Relationship Id="rId75" Type="http://schemas.openxmlformats.org/officeDocument/2006/relationships/hyperlink" Target="https://doi.org/10.1534/g3.113.006288" TargetMode="External"/><Relationship Id="rId140" Type="http://schemas.openxmlformats.org/officeDocument/2006/relationships/hyperlink" Target="https://link.springer.com/article/10.1007/s11295-015-0904-8" TargetMode="External"/><Relationship Id="rId182" Type="http://schemas.openxmlformats.org/officeDocument/2006/relationships/hyperlink" Target="https://doi.org/10.1093/pcp/pcp064" TargetMode="External"/><Relationship Id="rId6" Type="http://schemas.openxmlformats.org/officeDocument/2006/relationships/hyperlink" Target="https://link.springer.com/article/10.1007%2Fs00438-015-1000-3" TargetMode="External"/><Relationship Id="rId238" Type="http://schemas.openxmlformats.org/officeDocument/2006/relationships/hyperlink" Target="https://www.jstage.jst.go.jp/article/pjab/85/3/85_3_108/_pdf" TargetMode="External"/><Relationship Id="rId291" Type="http://schemas.openxmlformats.org/officeDocument/2006/relationships/hyperlink" Target="https://link.springer.com/article/10.1007%2Fs00438-013-0747-7" TargetMode="External"/><Relationship Id="rId305" Type="http://schemas.openxmlformats.org/officeDocument/2006/relationships/hyperlink" Target="https://doi.org/10.1093/gbe/evt049" TargetMode="External"/><Relationship Id="rId347" Type="http://schemas.openxmlformats.org/officeDocument/2006/relationships/hyperlink" Target="https://link.springer.com/article/10.1007/s00425-005-0046-6" TargetMode="External"/><Relationship Id="rId44" Type="http://schemas.openxmlformats.org/officeDocument/2006/relationships/hyperlink" Target="https://doi.org/10.1007/s00122-006-0293-3" TargetMode="External"/><Relationship Id="rId86" Type="http://schemas.openxmlformats.org/officeDocument/2006/relationships/hyperlink" Target="http://dx.doi.org/10.1159%2F000321584" TargetMode="External"/><Relationship Id="rId151" Type="http://schemas.openxmlformats.org/officeDocument/2006/relationships/hyperlink" Target="https://www.tandfonline.com/doi/abs/10.1300/J237v08n01_02" TargetMode="External"/><Relationship Id="rId193" Type="http://schemas.openxmlformats.org/officeDocument/2006/relationships/hyperlink" Target="https://www.ncbi.nlm.nih.gov/pubmed/9426622" TargetMode="External"/><Relationship Id="rId207" Type="http://schemas.openxmlformats.org/officeDocument/2006/relationships/hyperlink" Target="https://link.springer.com/article/10.1007/s10681-004-4758-7" TargetMode="External"/><Relationship Id="rId249" Type="http://schemas.openxmlformats.org/officeDocument/2006/relationships/hyperlink" Target="https://doi.org/10.1111/nph.15421" TargetMode="External"/><Relationship Id="rId13" Type="http://schemas.openxmlformats.org/officeDocument/2006/relationships/hyperlink" Target="https://doi.org/10.3897/CompCytogen.v8i4.8473" TargetMode="External"/><Relationship Id="rId109" Type="http://schemas.openxmlformats.org/officeDocument/2006/relationships/hyperlink" Target="http://www.plantphysiol.org/cgi/doi/10.1104/pp.109.142984" TargetMode="External"/><Relationship Id="rId260" Type="http://schemas.openxmlformats.org/officeDocument/2006/relationships/hyperlink" Target="https://www.sciencedirect.com/science/article/pii/S0300908419300872" TargetMode="External"/><Relationship Id="rId316" Type="http://schemas.openxmlformats.org/officeDocument/2006/relationships/hyperlink" Target="https://doi.org/10.1007/s00239-004-0199-0" TargetMode="External"/><Relationship Id="rId55" Type="http://schemas.openxmlformats.org/officeDocument/2006/relationships/hyperlink" Target="https://link.springer.com/article/10.1023/A:1016382128401" TargetMode="External"/><Relationship Id="rId97" Type="http://schemas.openxmlformats.org/officeDocument/2006/relationships/hyperlink" Target="https://www.ncbi.nlm.nih.gov/pmc/articles/PMC6128410/" TargetMode="External"/><Relationship Id="rId120" Type="http://schemas.openxmlformats.org/officeDocument/2006/relationships/hyperlink" Target="https://doi.org/10.1139/G01-151" TargetMode="External"/><Relationship Id="rId358" Type="http://schemas.openxmlformats.org/officeDocument/2006/relationships/hyperlink" Target="https://doi.org/10.1093/gbe/evt049" TargetMode="External"/><Relationship Id="rId162" Type="http://schemas.openxmlformats.org/officeDocument/2006/relationships/hyperlink" Target="https://doi.org/10.1111/nph.13389" TargetMode="External"/><Relationship Id="rId218" Type="http://schemas.openxmlformats.org/officeDocument/2006/relationships/hyperlink" Target="https://doi.org/10.1111/j.1365-313X.2010.04284.x" TargetMode="External"/><Relationship Id="rId271" Type="http://schemas.openxmlformats.org/officeDocument/2006/relationships/hyperlink" Target="https://doi.org/10.1038/hdy.2010.76" TargetMode="External"/><Relationship Id="rId24" Type="http://schemas.openxmlformats.org/officeDocument/2006/relationships/hyperlink" Target="https://www.nrcresearchpress.com/doi/abs/10.1139/x10-206" TargetMode="External"/><Relationship Id="rId66" Type="http://schemas.openxmlformats.org/officeDocument/2006/relationships/hyperlink" Target="https://doi.org/10.1534/genetics.107.081463" TargetMode="External"/><Relationship Id="rId131" Type="http://schemas.openxmlformats.org/officeDocument/2006/relationships/hyperlink" Target="https://www.nature.com/articles/hdy201495" TargetMode="External"/><Relationship Id="rId327" Type="http://schemas.openxmlformats.org/officeDocument/2006/relationships/hyperlink" Target="https://doi.org/10.1007/s10265-003-0106-6" TargetMode="External"/><Relationship Id="rId369" Type="http://schemas.openxmlformats.org/officeDocument/2006/relationships/hyperlink" Target="https://doi.org/10.1371/journal.pone.0031898" TargetMode="External"/><Relationship Id="rId173" Type="http://schemas.openxmlformats.org/officeDocument/2006/relationships/hyperlink" Target="https://www.embopress.org/doi/full/10.15252/embj.2018100240" TargetMode="External"/><Relationship Id="rId229" Type="http://schemas.openxmlformats.org/officeDocument/2006/relationships/hyperlink" Target="https://academic.oup.com/mbe/article/29/12/3909/1010407" TargetMode="External"/><Relationship Id="rId240" Type="http://schemas.openxmlformats.org/officeDocument/2006/relationships/hyperlink" Target="https://www.pnas.org/content/pnas/104/15/6472.full.pdf" TargetMode="External"/><Relationship Id="rId35" Type="http://schemas.openxmlformats.org/officeDocument/2006/relationships/hyperlink" Target="https://doi.org/10.1007/s004970050009" TargetMode="External"/><Relationship Id="rId77" Type="http://schemas.openxmlformats.org/officeDocument/2006/relationships/hyperlink" Target="https://doi.org/10.1111/j.1558-5646.2010.01189.x" TargetMode="External"/><Relationship Id="rId100" Type="http://schemas.openxmlformats.org/officeDocument/2006/relationships/hyperlink" Target="https://doi.org/10.1038/s41438-019-0121-y" TargetMode="External"/><Relationship Id="rId282" Type="http://schemas.openxmlformats.org/officeDocument/2006/relationships/hyperlink" Target="https://doi.org/10.1016/j.ydbio.2006.09.013" TargetMode="External"/><Relationship Id="rId338" Type="http://schemas.openxmlformats.org/officeDocument/2006/relationships/hyperlink" Target="https://doi.org/10.1371/journal.pone.0097189" TargetMode="External"/><Relationship Id="rId8" Type="http://schemas.openxmlformats.org/officeDocument/2006/relationships/hyperlink" Target="https://doi.org/10.1186/1471-2164-15-20" TargetMode="External"/><Relationship Id="rId142" Type="http://schemas.openxmlformats.org/officeDocument/2006/relationships/hyperlink" Target="https://onlinelibrary.wiley.com/doi/full/10.1111/mec.12011" TargetMode="External"/><Relationship Id="rId184" Type="http://schemas.openxmlformats.org/officeDocument/2006/relationships/hyperlink" Target="https://doi.org/10.1104/pp.114.3.969" TargetMode="External"/><Relationship Id="rId251" Type="http://schemas.openxmlformats.org/officeDocument/2006/relationships/hyperlink" Target="https://onlinelibrary.wiley.com/doi/epdf/10.1111/plb.12217" TargetMode="External"/><Relationship Id="rId46" Type="http://schemas.openxmlformats.org/officeDocument/2006/relationships/hyperlink" Target="https://doi.org/10.1007/s10709-005-5701-0" TargetMode="External"/><Relationship Id="rId293" Type="http://schemas.openxmlformats.org/officeDocument/2006/relationships/hyperlink" Target="https://doi.org/10.1534/g3.113.006288" TargetMode="External"/><Relationship Id="rId307" Type="http://schemas.openxmlformats.org/officeDocument/2006/relationships/hyperlink" Target="https://doi.org/10.1016/j.gene.2005.10.013" TargetMode="External"/><Relationship Id="rId349" Type="http://schemas.openxmlformats.org/officeDocument/2006/relationships/hyperlink" Target="https://doi.org/10.1093/gbe/evt049" TargetMode="External"/><Relationship Id="rId88" Type="http://schemas.openxmlformats.org/officeDocument/2006/relationships/hyperlink" Target="http://dx.doi.org/10.1159%2F000321584" TargetMode="External"/><Relationship Id="rId111" Type="http://schemas.openxmlformats.org/officeDocument/2006/relationships/hyperlink" Target="https://doi.org/10.1038/srep18917" TargetMode="External"/><Relationship Id="rId153" Type="http://schemas.openxmlformats.org/officeDocument/2006/relationships/hyperlink" Target="https://www.mdpi.com/2073-4425/9/6/277" TargetMode="External"/><Relationship Id="rId195" Type="http://schemas.openxmlformats.org/officeDocument/2006/relationships/hyperlink" Target="https://doi.org/10.1105/tpc.6.12.1775" TargetMode="External"/><Relationship Id="rId209" Type="http://schemas.openxmlformats.org/officeDocument/2006/relationships/hyperlink" Target="https://link.springer.com/article/10.1007/s10681-004-4758-7" TargetMode="External"/><Relationship Id="rId360" Type="http://schemas.openxmlformats.org/officeDocument/2006/relationships/hyperlink" Target="https://doi.org/10.1139/G05-089" TargetMode="External"/><Relationship Id="rId220" Type="http://schemas.openxmlformats.org/officeDocument/2006/relationships/hyperlink" Target="https://doi.org/10.1111/j.1365-313X.2010.04284.x" TargetMode="External"/><Relationship Id="rId15" Type="http://schemas.openxmlformats.org/officeDocument/2006/relationships/hyperlink" Target="http://dx.doi.org/10.1016/j.mcp.2017.05.007" TargetMode="External"/><Relationship Id="rId57" Type="http://schemas.openxmlformats.org/officeDocument/2006/relationships/hyperlink" Target="https://link.springer.com/article/10.1007%2Fs00122-003-1212-5" TargetMode="External"/><Relationship Id="rId262" Type="http://schemas.openxmlformats.org/officeDocument/2006/relationships/hyperlink" Target="https://doi.org/10.1371/journal.pone.0018972" TargetMode="External"/><Relationship Id="rId318" Type="http://schemas.openxmlformats.org/officeDocument/2006/relationships/hyperlink" Target="https://doi.org/10.1093/gbe/evt049"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093/emboj/18.15.4169" TargetMode="External"/><Relationship Id="rId299" Type="http://schemas.openxmlformats.org/officeDocument/2006/relationships/hyperlink" Target="https://doi.org/10.1371/journal.pone.0031898" TargetMode="External"/><Relationship Id="rId21" Type="http://schemas.openxmlformats.org/officeDocument/2006/relationships/hyperlink" Target="https://www.jstage.jst.go.jp/article/cytologia1929/63/4/63_4_459/_pdf" TargetMode="External"/><Relationship Id="rId63" Type="http://schemas.openxmlformats.org/officeDocument/2006/relationships/hyperlink" Target="https://doi.org/10.5586/asbp.1970.043" TargetMode="External"/><Relationship Id="rId159" Type="http://schemas.openxmlformats.org/officeDocument/2006/relationships/hyperlink" Target="https://www.nature.com/articles/6800327" TargetMode="External"/><Relationship Id="rId324" Type="http://schemas.openxmlformats.org/officeDocument/2006/relationships/hyperlink" Target="https://doi.org/10.1186/1471-2164-15-20" TargetMode="External"/><Relationship Id="rId366" Type="http://schemas.openxmlformats.org/officeDocument/2006/relationships/hyperlink" Target="https://doi.org/10.1038/srep09076" TargetMode="External"/><Relationship Id="rId170" Type="http://schemas.openxmlformats.org/officeDocument/2006/relationships/hyperlink" Target="https://doi.org/10.1098/rspb.2003.2580" TargetMode="External"/><Relationship Id="rId226" Type="http://schemas.openxmlformats.org/officeDocument/2006/relationships/hyperlink" Target="https://doi.org/10.1159/000121075" TargetMode="External"/><Relationship Id="rId433" Type="http://schemas.openxmlformats.org/officeDocument/2006/relationships/hyperlink" Target="https://www.biorxiv.org/content/10.1101/721324v1" TargetMode="External"/><Relationship Id="rId268" Type="http://schemas.openxmlformats.org/officeDocument/2006/relationships/hyperlink" Target="https://doi.org/10.1159/000328831" TargetMode="External"/><Relationship Id="rId32" Type="http://schemas.openxmlformats.org/officeDocument/2006/relationships/hyperlink" Target="https://doi.org/10.1111/tpj.15150" TargetMode="External"/><Relationship Id="rId74" Type="http://schemas.openxmlformats.org/officeDocument/2006/relationships/hyperlink" Target="https://link.springer.com/article/10.1007/BF00332532" TargetMode="External"/><Relationship Id="rId128" Type="http://schemas.openxmlformats.org/officeDocument/2006/relationships/hyperlink" Target="https://www.ncbi.nlm.nih.gov/pubmed/10791829" TargetMode="External"/><Relationship Id="rId335" Type="http://schemas.openxmlformats.org/officeDocument/2006/relationships/hyperlink" Target="https://doi.org/10.1086/677229" TargetMode="External"/><Relationship Id="rId377" Type="http://schemas.openxmlformats.org/officeDocument/2006/relationships/hyperlink" Target="https://doi.org/10.1515/abcsb-2016-0017" TargetMode="External"/><Relationship Id="rId5" Type="http://schemas.openxmlformats.org/officeDocument/2006/relationships/hyperlink" Target="https://link.springer.com/article/10.1007/s10681-011-0527-6" TargetMode="External"/><Relationship Id="rId181" Type="http://schemas.openxmlformats.org/officeDocument/2006/relationships/hyperlink" Target="http://www.demeter.org.es/pdf/investi_a/In_situ_Hybridisierung_an_Hanf_Chromosomen.pdf" TargetMode="External"/><Relationship Id="rId237" Type="http://schemas.openxmlformats.org/officeDocument/2006/relationships/hyperlink" Target="https://onlinelibrary.wiley.com/doi/full/10.1111/j.1755-0998.2009.02570.x" TargetMode="External"/><Relationship Id="rId402" Type="http://schemas.openxmlformats.org/officeDocument/2006/relationships/hyperlink" Target="https://doi.org/10.1016/j.sjbs.2017.08.002" TargetMode="External"/><Relationship Id="rId279" Type="http://schemas.openxmlformats.org/officeDocument/2006/relationships/hyperlink" Target="https://doi.org/10.1139/G10-115" TargetMode="External"/><Relationship Id="rId444" Type="http://schemas.openxmlformats.org/officeDocument/2006/relationships/hyperlink" Target="https://www.tandfonline.com/doi/full/10.1080/14620316.2018.1538707?scroll=top&amp;needAccess=true" TargetMode="External"/><Relationship Id="rId43" Type="http://schemas.openxmlformats.org/officeDocument/2006/relationships/hyperlink" Target="http://caliban.mpipz.mpg.de/correns/pflanzen_vererbung/correns_vererbung_pflanzen.pdf" TargetMode="External"/><Relationship Id="rId139" Type="http://schemas.openxmlformats.org/officeDocument/2006/relationships/hyperlink" Target="http://www.genetics.org/content/158/3/1269" TargetMode="External"/><Relationship Id="rId290" Type="http://schemas.openxmlformats.org/officeDocument/2006/relationships/hyperlink" Target="https://doi.org/10.3897/CompCytogen.v6i3.3261" TargetMode="External"/><Relationship Id="rId304" Type="http://schemas.openxmlformats.org/officeDocument/2006/relationships/hyperlink" Target="https://link.springer.com/article/10.1007%2Fs00438-013-0747-7" TargetMode="External"/><Relationship Id="rId346" Type="http://schemas.openxmlformats.org/officeDocument/2006/relationships/hyperlink" Target="https://doi.org/10.1007/s10681-014-1136-y" TargetMode="External"/><Relationship Id="rId388" Type="http://schemas.openxmlformats.org/officeDocument/2006/relationships/hyperlink" Target="https://www.ncbi.nlm.nih.gov/pmc/articles/PMC5264649/" TargetMode="External"/><Relationship Id="rId85" Type="http://schemas.openxmlformats.org/officeDocument/2006/relationships/hyperlink" Target="https://www.jstage.jst.go.jp/article/ggs1921/63/5/63_5_413/_article/-char/ja/" TargetMode="External"/><Relationship Id="rId150" Type="http://schemas.openxmlformats.org/officeDocument/2006/relationships/hyperlink" Target="http://www.genetics.org/content/160/2/717.long" TargetMode="External"/><Relationship Id="rId192" Type="http://schemas.openxmlformats.org/officeDocument/2006/relationships/hyperlink" Target="https://doi.org/10.1093/pcp/pci080" TargetMode="External"/><Relationship Id="rId206" Type="http://schemas.openxmlformats.org/officeDocument/2006/relationships/hyperlink" Target="https://www.jstor.org/stable/24097568?seq=1" TargetMode="External"/><Relationship Id="rId413" Type="http://schemas.openxmlformats.org/officeDocument/2006/relationships/hyperlink" Target="https://doi.org/10.1105/tpc.17.00787" TargetMode="External"/><Relationship Id="rId248" Type="http://schemas.openxmlformats.org/officeDocument/2006/relationships/hyperlink" Target="https://www.genetics.org/content/182/4/1109" TargetMode="External"/><Relationship Id="rId455" Type="http://schemas.openxmlformats.org/officeDocument/2006/relationships/hyperlink" Target="https://academic.oup.com/gbe/article/11/2/350/5288778" TargetMode="External"/><Relationship Id="rId12" Type="http://schemas.openxmlformats.org/officeDocument/2006/relationships/hyperlink" Target="https://www.jstor.org/stable/3240149?seq=1" TargetMode="External"/><Relationship Id="rId108" Type="http://schemas.openxmlformats.org/officeDocument/2006/relationships/hyperlink" Target="https://link.springer.com/article/10.1007%2Fs001220050995" TargetMode="External"/><Relationship Id="rId315" Type="http://schemas.openxmlformats.org/officeDocument/2006/relationships/hyperlink" Target="https://onlinelibrary.wiley.com/doi/full/10.1111/mec.12011" TargetMode="External"/><Relationship Id="rId357" Type="http://schemas.openxmlformats.org/officeDocument/2006/relationships/hyperlink" Target="https://www.ncbi.nlm.nih.gov/pmc/articles/PMC4815579/pdf/hdy201495a.pdf" TargetMode="External"/><Relationship Id="rId54" Type="http://schemas.openxmlformats.org/officeDocument/2006/relationships/hyperlink" Target="https://academic.oup.com/jhered/article-abstract/48/6/290/905759/" TargetMode="External"/><Relationship Id="rId96" Type="http://schemas.openxmlformats.org/officeDocument/2006/relationships/hyperlink" Target="https://doi.org/10.1105/tpc.7.10.1583" TargetMode="External"/><Relationship Id="rId161" Type="http://schemas.openxmlformats.org/officeDocument/2006/relationships/hyperlink" Target="https://www.ncbi.nlm.nih.gov/pmc/articles/PMC1462768/" TargetMode="External"/><Relationship Id="rId217" Type="http://schemas.openxmlformats.org/officeDocument/2006/relationships/hyperlink" Target="https://doi.org/10.1055/s-2006-924728" TargetMode="External"/><Relationship Id="rId399" Type="http://schemas.openxmlformats.org/officeDocument/2006/relationships/hyperlink" Target="https://www.tandfonline.com/doi/abs/10.1080/00087114.2017.1339174?journalCode=tcar20" TargetMode="External"/><Relationship Id="rId259" Type="http://schemas.openxmlformats.org/officeDocument/2006/relationships/hyperlink" Target="https://www.ncbi.nlm.nih.gov/pmc/articles/PMC2880461/pdf/nihms-197056.pdf" TargetMode="External"/><Relationship Id="rId424" Type="http://schemas.openxmlformats.org/officeDocument/2006/relationships/hyperlink" Target="https://www.ncbi.nlm.nih.gov/pmc/articles/PMC6162277/" TargetMode="External"/><Relationship Id="rId23" Type="http://schemas.openxmlformats.org/officeDocument/2006/relationships/hyperlink" Target="https://bmcplantbiol.biomedcentral.com/articles/10.1186/s12870-014-0229-z" TargetMode="External"/><Relationship Id="rId119" Type="http://schemas.openxmlformats.org/officeDocument/2006/relationships/hyperlink" Target="https://www.ncbi.nlm.nih.gov/pubmed/10189703" TargetMode="External"/><Relationship Id="rId270" Type="http://schemas.openxmlformats.org/officeDocument/2006/relationships/hyperlink" Target="https://doi.org/10.1073/pnas.171304798" TargetMode="External"/><Relationship Id="rId326" Type="http://schemas.openxmlformats.org/officeDocument/2006/relationships/hyperlink" Target="https://doi.org/10.1016/j.scienta.2014.06.041" TargetMode="External"/><Relationship Id="rId65" Type="http://schemas.openxmlformats.org/officeDocument/2006/relationships/hyperlink" Target="https://www.degruyter.com/view/j/botm.1971.14.issue-2/botm.1971.14.2.113/botm.1971.14.2.113.xml" TargetMode="External"/><Relationship Id="rId130" Type="http://schemas.openxmlformats.org/officeDocument/2006/relationships/hyperlink" Target="https://doi.org/10.1007/s004970050009" TargetMode="External"/><Relationship Id="rId368" Type="http://schemas.openxmlformats.org/officeDocument/2006/relationships/hyperlink" Target="https://www.ias.ac.in/article/fulltext/jgen/094/04/0793-0808" TargetMode="External"/><Relationship Id="rId172" Type="http://schemas.openxmlformats.org/officeDocument/2006/relationships/hyperlink" Target="https://doi.org/10.1007/BF02805244" TargetMode="External"/><Relationship Id="rId228" Type="http://schemas.openxmlformats.org/officeDocument/2006/relationships/hyperlink" Target="https://doi.org/10.1007/s10577-008-1254-2" TargetMode="External"/><Relationship Id="rId435" Type="http://schemas.openxmlformats.org/officeDocument/2006/relationships/hyperlink" Target="https://link.springer.com/content/pdf/10.1007%2Fs13237-019-00297-w.pdf" TargetMode="External"/><Relationship Id="rId281" Type="http://schemas.openxmlformats.org/officeDocument/2006/relationships/hyperlink" Target="https://doi.org/10.1038/hdy.2010.76" TargetMode="External"/><Relationship Id="rId337" Type="http://schemas.openxmlformats.org/officeDocument/2006/relationships/hyperlink" Target="https://doi.org/10.1186/1471-2164-15-285" TargetMode="External"/><Relationship Id="rId34" Type="http://schemas.openxmlformats.org/officeDocument/2006/relationships/hyperlink" Target="https://www.nature.com/articles/s41437-020-00397-3" TargetMode="External"/><Relationship Id="rId76" Type="http://schemas.openxmlformats.org/officeDocument/2006/relationships/hyperlink" Target="https://ci.nii.ac.jp/naid/10021852346/" TargetMode="External"/><Relationship Id="rId141" Type="http://schemas.openxmlformats.org/officeDocument/2006/relationships/hyperlink" Target="https://bioone.org/journals/The-Bryologist/volume-104/issue-4/0007-2745(2001)104%5b0543:IODRST%5d2.0.CO;2/Identification-of-DNA-Regions-Specific-to-the-X-and-Y/10.1639/0007-2745(2001)104%5b0543:IODRST%5d2.0.CO;2.full" TargetMode="External"/><Relationship Id="rId379" Type="http://schemas.openxmlformats.org/officeDocument/2006/relationships/hyperlink" Target="https://www.sciencedirect.com/science/article/pii/S0304423816300553" TargetMode="External"/><Relationship Id="rId7" Type="http://schemas.openxmlformats.org/officeDocument/2006/relationships/hyperlink" Target="https://academic.oup.com/mbe/article/38/3/968/5919079" TargetMode="External"/><Relationship Id="rId183" Type="http://schemas.openxmlformats.org/officeDocument/2006/relationships/hyperlink" Target="https://doi.org/10.17660/ActaHortic.2005.668.11" TargetMode="External"/><Relationship Id="rId239" Type="http://schemas.openxmlformats.org/officeDocument/2006/relationships/hyperlink" Target="https://doi.org/10.1111/j.1420-9101.2008.01641.x" TargetMode="External"/><Relationship Id="rId390" Type="http://schemas.openxmlformats.org/officeDocument/2006/relationships/hyperlink" Target="https://doi.org/10.1016/j.gene.2017.05.058" TargetMode="External"/><Relationship Id="rId404" Type="http://schemas.openxmlformats.org/officeDocument/2006/relationships/hyperlink" Target="https://doi.org/10.1038/srep45388" TargetMode="External"/><Relationship Id="rId446" Type="http://schemas.openxmlformats.org/officeDocument/2006/relationships/hyperlink" Target="https://www.nature.com/articles/s41598-019-45039-9.pdf?origin=ppub" TargetMode="External"/><Relationship Id="rId250" Type="http://schemas.openxmlformats.org/officeDocument/2006/relationships/hyperlink" Target="https://doi.org/10.1093/pcp/pcp064" TargetMode="External"/><Relationship Id="rId292" Type="http://schemas.openxmlformats.org/officeDocument/2006/relationships/hyperlink" Target="https://www.researchgate.net/publication/260430737_Development_of_an_ISSR_based_STS_marker_for_sex_identification_in_pointed_gourd_Trichosanthes_dioica_Roxb" TargetMode="External"/><Relationship Id="rId306" Type="http://schemas.openxmlformats.org/officeDocument/2006/relationships/hyperlink" Target="https://doi.org/10.1038/hdy.2012.96" TargetMode="External"/><Relationship Id="rId45" Type="http://schemas.openxmlformats.org/officeDocument/2006/relationships/hyperlink" Target="https://www.genetics.org/content/genetics/21/3/282.full.pdf" TargetMode="External"/><Relationship Id="rId87" Type="http://schemas.openxmlformats.org/officeDocument/2006/relationships/hyperlink" Target="https://doi.org/10.1016/0168-9452(91)90272-A" TargetMode="External"/><Relationship Id="rId110" Type="http://schemas.openxmlformats.org/officeDocument/2006/relationships/hyperlink" Target="https://www.jstor.org/stable/2446304" TargetMode="External"/><Relationship Id="rId348" Type="http://schemas.openxmlformats.org/officeDocument/2006/relationships/hyperlink" Target="https://doi.org/10.1093/dnares/dsv019" TargetMode="External"/><Relationship Id="rId152" Type="http://schemas.openxmlformats.org/officeDocument/2006/relationships/hyperlink" Target="https://doi.org/10.1139/G01-151" TargetMode="External"/><Relationship Id="rId194" Type="http://schemas.openxmlformats.org/officeDocument/2006/relationships/hyperlink" Target="https://doi.org/10.1534/genetics.105.040444" TargetMode="External"/><Relationship Id="rId208" Type="http://schemas.openxmlformats.org/officeDocument/2006/relationships/hyperlink" Target="https://www.researchgate.net/publication/247836789_Average_Packing_Ratio_and_Evolution_of_Sex_Chromosomes_in_Dioecious_Coccinia_indica_and_Trichosanthes_dioica" TargetMode="External"/><Relationship Id="rId415" Type="http://schemas.openxmlformats.org/officeDocument/2006/relationships/hyperlink" Target="https://doi.org/10.1371/journal.pone.0194605" TargetMode="External"/><Relationship Id="rId457" Type="http://schemas.openxmlformats.org/officeDocument/2006/relationships/hyperlink" Target="https://onlinelibrary.wiley.com/doi/full/10.1111/gcbb.12667" TargetMode="External"/><Relationship Id="rId261" Type="http://schemas.openxmlformats.org/officeDocument/2006/relationships/hyperlink" Target="https://www.uv.es/jgpausas/teach/harris-Pannell-2010-JEcol_Leucadendron-serotiny-sexual-dimorphism-dioecy.pdf" TargetMode="External"/><Relationship Id="rId14" Type="http://schemas.openxmlformats.org/officeDocument/2006/relationships/hyperlink" Target="https://edepot.wur.nl/294770" TargetMode="External"/><Relationship Id="rId56" Type="http://schemas.openxmlformats.org/officeDocument/2006/relationships/hyperlink" Target="https://onlinelibrary.wiley.com/doi/pdf/10.1111/j.1601-5223.1957.tb03454.x" TargetMode="External"/><Relationship Id="rId317" Type="http://schemas.openxmlformats.org/officeDocument/2006/relationships/hyperlink" Target="https://doi.org/10.1371/journal.pone.0060181" TargetMode="External"/><Relationship Id="rId359" Type="http://schemas.openxmlformats.org/officeDocument/2006/relationships/hyperlink" Target="https://www.ncbi.nlm.nih.gov/pmc/articles/PMC4317651/pdf/413.pdf" TargetMode="External"/><Relationship Id="rId98" Type="http://schemas.openxmlformats.org/officeDocument/2006/relationships/hyperlink" Target="https://www.ncbi.nlm.nih.gov/pubmed/8893544" TargetMode="External"/><Relationship Id="rId121" Type="http://schemas.openxmlformats.org/officeDocument/2006/relationships/hyperlink" Target="https://link.springer.com/article/10.1007/s004970000049" TargetMode="External"/><Relationship Id="rId163" Type="http://schemas.openxmlformats.org/officeDocument/2006/relationships/hyperlink" Target="http://www.genetics.org/content/163/1/321.long" TargetMode="External"/><Relationship Id="rId219" Type="http://schemas.openxmlformats.org/officeDocument/2006/relationships/hyperlink" Target="https://doi.org/10.1534/genetics.107.071175" TargetMode="External"/><Relationship Id="rId370" Type="http://schemas.openxmlformats.org/officeDocument/2006/relationships/hyperlink" Target="https://www.nature.com/articles/hdy2014125.pdf" TargetMode="External"/><Relationship Id="rId426" Type="http://schemas.openxmlformats.org/officeDocument/2006/relationships/hyperlink" Target="https://www.ncbi.nlm.nih.gov/pmc/articles/PMC6128410/" TargetMode="External"/><Relationship Id="rId230" Type="http://schemas.openxmlformats.org/officeDocument/2006/relationships/hyperlink" Target="https://doi.org/10.1508/cytologia.73.159" TargetMode="External"/><Relationship Id="rId25" Type="http://schemas.openxmlformats.org/officeDocument/2006/relationships/hyperlink" Target="https://academic.oup.com/aob/article/119/4/591/2932070" TargetMode="External"/><Relationship Id="rId67" Type="http://schemas.openxmlformats.org/officeDocument/2006/relationships/hyperlink" Target="https://link.springer.com/article/10.1007/BF00277336" TargetMode="External"/><Relationship Id="rId272" Type="http://schemas.openxmlformats.org/officeDocument/2006/relationships/hyperlink" Target="https://doi.org/10.1139/b11-025" TargetMode="External"/><Relationship Id="rId328" Type="http://schemas.openxmlformats.org/officeDocument/2006/relationships/hyperlink" Target="https://link.springer.com/article/10.1007%2Fs13237-014-0114-z" TargetMode="External"/><Relationship Id="rId132" Type="http://schemas.openxmlformats.org/officeDocument/2006/relationships/hyperlink" Target="http://www.genetics.org/content/159/3/981" TargetMode="External"/><Relationship Id="rId174" Type="http://schemas.openxmlformats.org/officeDocument/2006/relationships/hyperlink" Target="https://doi.org/10.1371/journal.pbio.0030004" TargetMode="External"/><Relationship Id="rId381" Type="http://schemas.openxmlformats.org/officeDocument/2006/relationships/hyperlink" Target="https://link.springer.com/article/10.1007/s00425-016-2485-7" TargetMode="External"/><Relationship Id="rId241" Type="http://schemas.openxmlformats.org/officeDocument/2006/relationships/hyperlink" Target="https://link.springer.com/article/10.1007/s11461-009-0037-z" TargetMode="External"/><Relationship Id="rId437" Type="http://schemas.openxmlformats.org/officeDocument/2006/relationships/hyperlink" Target="https://doi.org/10.1038/s41437-018-0084-z" TargetMode="External"/><Relationship Id="rId36" Type="http://schemas.openxmlformats.org/officeDocument/2006/relationships/hyperlink" Target="https://doi.org/10.1038/s41477-021-00884-3" TargetMode="External"/><Relationship Id="rId283" Type="http://schemas.openxmlformats.org/officeDocument/2006/relationships/hyperlink" Target="https://doi.org/10.1371/journal.pone.0018972" TargetMode="External"/><Relationship Id="rId339" Type="http://schemas.openxmlformats.org/officeDocument/2006/relationships/hyperlink" Target="https://doi.org/10.1111/plb.12048" TargetMode="External"/><Relationship Id="rId78" Type="http://schemas.openxmlformats.org/officeDocument/2006/relationships/hyperlink" Target="https://www.jstage.jst.go.jp/article/cytologia1929/45/4/45_4_739/_pdf" TargetMode="External"/><Relationship Id="rId101" Type="http://schemas.openxmlformats.org/officeDocument/2006/relationships/hyperlink" Target="https://www.ncbi.nlm.nih.gov/pubmed/9088644" TargetMode="External"/><Relationship Id="rId143" Type="http://schemas.openxmlformats.org/officeDocument/2006/relationships/hyperlink" Target="https://link.springer.com/article/10.1023%2FA%3A1020204729122" TargetMode="External"/><Relationship Id="rId185" Type="http://schemas.openxmlformats.org/officeDocument/2006/relationships/hyperlink" Target="https://onlinelibrary.wiley.com/doi/full/10.1111/j.1365-313X.2005.02336.x" TargetMode="External"/><Relationship Id="rId350" Type="http://schemas.openxmlformats.org/officeDocument/2006/relationships/hyperlink" Target="https://link.springer.com/article/10.1007%2Fs00438-015-1000-3" TargetMode="External"/><Relationship Id="rId406" Type="http://schemas.openxmlformats.org/officeDocument/2006/relationships/hyperlink" Target="https://www.ncbi.nlm.nih.gov/pmc/articles/PMC5737746/pdf/evx254.pdf" TargetMode="External"/><Relationship Id="rId9" Type="http://schemas.openxmlformats.org/officeDocument/2006/relationships/hyperlink" Target="https://doi.org/10.1111/j.1601-5223.1944.tb03303.x" TargetMode="External"/><Relationship Id="rId210" Type="http://schemas.openxmlformats.org/officeDocument/2006/relationships/hyperlink" Target="https://doi.org/10.1534/genetics.107.075424" TargetMode="External"/><Relationship Id="rId392" Type="http://schemas.openxmlformats.org/officeDocument/2006/relationships/hyperlink" Target="https://doi.org/10.1186/s12915-017-0419-x" TargetMode="External"/><Relationship Id="rId448" Type="http://schemas.openxmlformats.org/officeDocument/2006/relationships/hyperlink" Target="https://www.nature.com/articles/s41438-019-0121-y" TargetMode="External"/><Relationship Id="rId252" Type="http://schemas.openxmlformats.org/officeDocument/2006/relationships/hyperlink" Target="https://academicjournals.org/article/article1380626535_Kim%20et%20al.pdf" TargetMode="External"/><Relationship Id="rId294" Type="http://schemas.openxmlformats.org/officeDocument/2006/relationships/hyperlink" Target="https://pubag.nal.usda.gov/catalog/1228889" TargetMode="External"/><Relationship Id="rId308" Type="http://schemas.openxmlformats.org/officeDocument/2006/relationships/hyperlink" Target="https://www.ncbi.nlm.nih.gov/pmc/articles/PMC3547029/" TargetMode="External"/><Relationship Id="rId47" Type="http://schemas.openxmlformats.org/officeDocument/2006/relationships/hyperlink" Target="https://www.ncbi.nlm.nih.gov/pmc/articles/PMC1209100/pdf/409.pdf" TargetMode="External"/><Relationship Id="rId89" Type="http://schemas.openxmlformats.org/officeDocument/2006/relationships/hyperlink" Target="https://reader.elsevier.com/reader/sd/pii/S0024407483710259?token=9B3377CC8D492AE08FD0F55B2F4A6A63A1410DD270B22E7AC4F9D8A0A83C4105C92FCA22CFEFDF53735716F27EA4F63A" TargetMode="External"/><Relationship Id="rId112" Type="http://schemas.openxmlformats.org/officeDocument/2006/relationships/hyperlink" Target="https://www.researchgate.net/publication/253672790_Y_chromosome_specific_markers_and_the_evolution_of_dioecy_in_the_genus_Silene" TargetMode="External"/><Relationship Id="rId154" Type="http://schemas.openxmlformats.org/officeDocument/2006/relationships/hyperlink" Target="https://doi.org/10.1007/s00412-002-0213-5" TargetMode="External"/><Relationship Id="rId361" Type="http://schemas.openxmlformats.org/officeDocument/2006/relationships/hyperlink" Target="https://geneticsmr.com/articles/5252" TargetMode="External"/><Relationship Id="rId196" Type="http://schemas.openxmlformats.org/officeDocument/2006/relationships/hyperlink" Target="https://link.springer.com/content/pdf/10.1007%2Fs10681-006-9198-0.pdf" TargetMode="External"/><Relationship Id="rId417" Type="http://schemas.openxmlformats.org/officeDocument/2006/relationships/hyperlink" Target="https://doi.org/10.1371/journal.pbio.2006062" TargetMode="External"/><Relationship Id="rId459" Type="http://schemas.openxmlformats.org/officeDocument/2006/relationships/vmlDrawing" Target="../drawings/vmlDrawing2.vml"/><Relationship Id="rId16" Type="http://schemas.openxmlformats.org/officeDocument/2006/relationships/hyperlink" Target="https://doi.org/10.1508/cytologia.36.205" TargetMode="External"/><Relationship Id="rId221" Type="http://schemas.openxmlformats.org/officeDocument/2006/relationships/hyperlink" Target="https://doi.org/10.1111/j.1439-0523.2005.01079.x" TargetMode="External"/><Relationship Id="rId263" Type="http://schemas.openxmlformats.org/officeDocument/2006/relationships/hyperlink" Target="https://doi.org/10.1007/s11295-010-0297-7" TargetMode="External"/><Relationship Id="rId319" Type="http://schemas.openxmlformats.org/officeDocument/2006/relationships/hyperlink" Target="https://onlinelibrary.wiley.com/doi/full/10.1111/evo.12223" TargetMode="External"/><Relationship Id="rId58" Type="http://schemas.openxmlformats.org/officeDocument/2006/relationships/hyperlink" Target="https://link.springer.com/content/pdf/10.1038/1811584a0.pdf" TargetMode="External"/><Relationship Id="rId123" Type="http://schemas.openxmlformats.org/officeDocument/2006/relationships/hyperlink" Target="https://doi.org/10.1046/j.1469-8137.2000.00771.x" TargetMode="External"/><Relationship Id="rId330" Type="http://schemas.openxmlformats.org/officeDocument/2006/relationships/hyperlink" Target="https://www.ncbi.nlm.nih.gov/pmc/articles/PMC4236900/pdf/TSWJ2014-216896.pdf" TargetMode="External"/><Relationship Id="rId165" Type="http://schemas.openxmlformats.org/officeDocument/2006/relationships/hyperlink" Target="https://doi.org/10.1093/dnares/10.5.213" TargetMode="External"/><Relationship Id="rId372" Type="http://schemas.openxmlformats.org/officeDocument/2006/relationships/hyperlink" Target="https://www.ncbi.nlm.nih.gov/pmc/articles/PMC4528323/pdf/1663.pdf" TargetMode="External"/><Relationship Id="rId428" Type="http://schemas.openxmlformats.org/officeDocument/2006/relationships/hyperlink" Target="https://doi.org/10.1007/s00438-018-1473-y" TargetMode="External"/><Relationship Id="rId232" Type="http://schemas.openxmlformats.org/officeDocument/2006/relationships/hyperlink" Target="https://doi.org/10.1139/G08-024" TargetMode="External"/><Relationship Id="rId274" Type="http://schemas.openxmlformats.org/officeDocument/2006/relationships/hyperlink" Target="https://content.sciendo.com/configurable/contentpage/journals$002fcszma$002f60$002f1$002farticle-p1.xml" TargetMode="External"/><Relationship Id="rId27" Type="http://schemas.openxmlformats.org/officeDocument/2006/relationships/hyperlink" Target="https://doi.org/10.1101/517946" TargetMode="External"/><Relationship Id="rId69" Type="http://schemas.openxmlformats.org/officeDocument/2006/relationships/hyperlink" Target="https://doi.org/10.1080/00087114.1972.10796503" TargetMode="External"/><Relationship Id="rId134" Type="http://schemas.openxmlformats.org/officeDocument/2006/relationships/hyperlink" Target="https://www.jstage.jst.go.jp/article/cytologia1929/66/1/66_1_55/_pdf" TargetMode="External"/><Relationship Id="rId80" Type="http://schemas.openxmlformats.org/officeDocument/2006/relationships/hyperlink" Target="https://link.springer.com/article/10.1007/BF02490200" TargetMode="External"/><Relationship Id="rId176" Type="http://schemas.openxmlformats.org/officeDocument/2006/relationships/hyperlink" Target="https://www.researchgate.net/publication/287851210_Variability_of_rDNA_loci_in_dioecious_Rumex_acetosa_L_detected_by_fluorescence_in_situ_hybridization" TargetMode="External"/><Relationship Id="rId341" Type="http://schemas.openxmlformats.org/officeDocument/2006/relationships/hyperlink" Target="https://doi.org/10.1159/000355212" TargetMode="External"/><Relationship Id="rId383" Type="http://schemas.openxmlformats.org/officeDocument/2006/relationships/hyperlink" Target="https://doi.org/10.1038/srep18917" TargetMode="External"/><Relationship Id="rId439" Type="http://schemas.openxmlformats.org/officeDocument/2006/relationships/hyperlink" Target="https://www.embopress.org/doi/full/10.15252/embj.2018100240" TargetMode="External"/><Relationship Id="rId201" Type="http://schemas.openxmlformats.org/officeDocument/2006/relationships/hyperlink" Target="https://doi.org/10.1007/s10709-005-5701-0" TargetMode="External"/><Relationship Id="rId243" Type="http://schemas.openxmlformats.org/officeDocument/2006/relationships/hyperlink" Target="https://doi.org/10.1007/s11295-009-0204-2" TargetMode="External"/><Relationship Id="rId285" Type="http://schemas.openxmlformats.org/officeDocument/2006/relationships/hyperlink" Target="https://doi.org/10.1017/S0021859610000948" TargetMode="External"/><Relationship Id="rId450" Type="http://schemas.openxmlformats.org/officeDocument/2006/relationships/hyperlink" Target="https://link.springer.com/article/10.1007/s00497-019-00378-5" TargetMode="External"/><Relationship Id="rId38" Type="http://schemas.openxmlformats.org/officeDocument/2006/relationships/hyperlink" Target="https://doi.org/10.1126/science.49.1261.218" TargetMode="External"/><Relationship Id="rId103" Type="http://schemas.openxmlformats.org/officeDocument/2006/relationships/hyperlink" Target="https://doi.org/10.1046/j.1365-313X.1997.d01-4.x" TargetMode="External"/><Relationship Id="rId310" Type="http://schemas.openxmlformats.org/officeDocument/2006/relationships/hyperlink" Target="https://doi.org/10.1111/evo.12165" TargetMode="External"/><Relationship Id="rId91" Type="http://schemas.openxmlformats.org/officeDocument/2006/relationships/hyperlink" Target="https://books.google.es/books?hl=es&amp;lr=&amp;id=yov7iUL7OTAC&amp;oi=fnd&amp;pg=PA295&amp;dq=Cytokinins+and+reproductive+organogenesis+in+Mercurialis&amp;ots=0dF_iUKBwc&amp;sig=Dx4xU8tXOAL5s7AVJmuYfOrZXIc" TargetMode="External"/><Relationship Id="rId145" Type="http://schemas.openxmlformats.org/officeDocument/2006/relationships/hyperlink" Target="https://academic.oup.com/nar/article/30/21/4675/1105300" TargetMode="External"/><Relationship Id="rId187" Type="http://schemas.openxmlformats.org/officeDocument/2006/relationships/hyperlink" Target="https://doi.org/10.1016/j.scienta.2004.06.008" TargetMode="External"/><Relationship Id="rId352" Type="http://schemas.openxmlformats.org/officeDocument/2006/relationships/hyperlink" Target="https://phytokeys.pensoft.net/article/5797/" TargetMode="External"/><Relationship Id="rId394" Type="http://schemas.openxmlformats.org/officeDocument/2006/relationships/hyperlink" Target="https://doi.org/10.1111/nph.14711" TargetMode="External"/><Relationship Id="rId408" Type="http://schemas.openxmlformats.org/officeDocument/2006/relationships/hyperlink" Target="https://doi.org/10.1093/gbe/evx174" TargetMode="External"/><Relationship Id="rId212" Type="http://schemas.openxmlformats.org/officeDocument/2006/relationships/hyperlink" Target="https://www.nrcresearchpress.com/doi/abs/10.1139/G07-066" TargetMode="External"/><Relationship Id="rId254" Type="http://schemas.openxmlformats.org/officeDocument/2006/relationships/hyperlink" Target="https://doi.org/10.1055/s-0030-1249978" TargetMode="External"/><Relationship Id="rId49" Type="http://schemas.openxmlformats.org/officeDocument/2006/relationships/hyperlink" Target="https://www.nature.com/articles/163926a0" TargetMode="External"/><Relationship Id="rId114" Type="http://schemas.openxmlformats.org/officeDocument/2006/relationships/hyperlink" Target="https://doi.org/10.1139/g99-001" TargetMode="External"/><Relationship Id="rId296" Type="http://schemas.openxmlformats.org/officeDocument/2006/relationships/hyperlink" Target="https://doi.org/10.1007/s11295-012-0495-6" TargetMode="External"/><Relationship Id="rId60" Type="http://schemas.openxmlformats.org/officeDocument/2006/relationships/hyperlink" Target="https://doi.org/10.1093/oxfordjournals.aob.a083792" TargetMode="External"/><Relationship Id="rId156" Type="http://schemas.openxmlformats.org/officeDocument/2006/relationships/hyperlink" Target="https://www.tandfonline.com/doi/abs/10.1300/J237v08n01_02" TargetMode="External"/><Relationship Id="rId198" Type="http://schemas.openxmlformats.org/officeDocument/2006/relationships/hyperlink" Target="https://doi.org/10.1016/j.gene.2005.10.013" TargetMode="External"/><Relationship Id="rId321" Type="http://schemas.openxmlformats.org/officeDocument/2006/relationships/hyperlink" Target="https://doi.org/10.1371/journal.pone.0097189" TargetMode="External"/><Relationship Id="rId363" Type="http://schemas.openxmlformats.org/officeDocument/2006/relationships/hyperlink" Target="https://doi.org/10.1371/journal.pone.0143861" TargetMode="External"/><Relationship Id="rId419" Type="http://schemas.openxmlformats.org/officeDocument/2006/relationships/hyperlink" Target="https://www.frontiersin.org/articles/10.3389/fpls.2018.01345/full" TargetMode="External"/><Relationship Id="rId223" Type="http://schemas.openxmlformats.org/officeDocument/2006/relationships/hyperlink" Target="https://doi.org/10.1038/hdy.2008.100" TargetMode="External"/><Relationship Id="rId430" Type="http://schemas.openxmlformats.org/officeDocument/2006/relationships/hyperlink" Target="https://doi.org/10.1186/s12864-018-4547-7" TargetMode="External"/><Relationship Id="rId18" Type="http://schemas.openxmlformats.org/officeDocument/2006/relationships/hyperlink" Target="https://link.springer.com/article/10.1007/BF00027515" TargetMode="External"/><Relationship Id="rId265" Type="http://schemas.openxmlformats.org/officeDocument/2006/relationships/hyperlink" Target="https://doi.org/10.1139/g10-008" TargetMode="External"/><Relationship Id="rId125" Type="http://schemas.openxmlformats.org/officeDocument/2006/relationships/hyperlink" Target="https://doi.org/10.1046/j.1365-313x.2000.00882.x" TargetMode="External"/><Relationship Id="rId167" Type="http://schemas.openxmlformats.org/officeDocument/2006/relationships/hyperlink" Target="https://link.springer.com/article/10.1007/s10681-004-4758-7" TargetMode="External"/><Relationship Id="rId332" Type="http://schemas.openxmlformats.org/officeDocument/2006/relationships/hyperlink" Target="https://doi.org/10.2503/jjshs1.CH-109" TargetMode="External"/><Relationship Id="rId374" Type="http://schemas.openxmlformats.org/officeDocument/2006/relationships/hyperlink" Target="https://onlinelibrary.wiley.com/doi/pdf/10.1111/tpj.13254" TargetMode="External"/><Relationship Id="rId71" Type="http://schemas.openxmlformats.org/officeDocument/2006/relationships/hyperlink" Target="https://doi.org/10.1007/BF00265149" TargetMode="External"/><Relationship Id="rId234" Type="http://schemas.openxmlformats.org/officeDocument/2006/relationships/hyperlink" Target="https://www.ncbi.nlm.nih.gov/pubmed/19284545" TargetMode="External"/><Relationship Id="rId2" Type="http://schemas.openxmlformats.org/officeDocument/2006/relationships/hyperlink" Target="https://royalsocietypublishing.org/doi/abs/10.1098/rstb.2021.0219" TargetMode="External"/><Relationship Id="rId29" Type="http://schemas.openxmlformats.org/officeDocument/2006/relationships/hyperlink" Target="https://doi.org/10.1111/1755-0998.13362" TargetMode="External"/><Relationship Id="rId255" Type="http://schemas.openxmlformats.org/officeDocument/2006/relationships/hyperlink" Target="https://doi.org/10.1111/j.1365-313X.2010.04284.x" TargetMode="External"/><Relationship Id="rId276" Type="http://schemas.openxmlformats.org/officeDocument/2006/relationships/hyperlink" Target="https://doi.org/10.1139/X10-206" TargetMode="External"/><Relationship Id="rId297" Type="http://schemas.openxmlformats.org/officeDocument/2006/relationships/hyperlink" Target="https://doi.org/10.1159/000339383" TargetMode="External"/><Relationship Id="rId441" Type="http://schemas.openxmlformats.org/officeDocument/2006/relationships/hyperlink" Target="https://www.ncbi.nlm.nih.gov/pubmed/31504768" TargetMode="External"/><Relationship Id="rId40" Type="http://schemas.openxmlformats.org/officeDocument/2006/relationships/hyperlink" Target="https://pdfs.semanticscholar.org/64a0/a21598c575a7c383cd5619472e562fc3570d.pdf" TargetMode="External"/><Relationship Id="rId115" Type="http://schemas.openxmlformats.org/officeDocument/2006/relationships/hyperlink" Target="https://www.jstor.org/stable/24102845?seq=1" TargetMode="External"/><Relationship Id="rId136" Type="http://schemas.openxmlformats.org/officeDocument/2006/relationships/hyperlink" Target="https://www.ncbi.nlm.nih.gov/pubmed/11729166" TargetMode="External"/><Relationship Id="rId157" Type="http://schemas.openxmlformats.org/officeDocument/2006/relationships/hyperlink" Target="https://doi.org/10.1023/A:1024646818324" TargetMode="External"/><Relationship Id="rId178" Type="http://schemas.openxmlformats.org/officeDocument/2006/relationships/hyperlink" Target="https://doi.org/10.1007/s00122-003-1425-7" TargetMode="External"/><Relationship Id="rId301" Type="http://schemas.openxmlformats.org/officeDocument/2006/relationships/hyperlink" Target="https://doi.org/10.1534/g3.112.003749" TargetMode="External"/><Relationship Id="rId322" Type="http://schemas.openxmlformats.org/officeDocument/2006/relationships/hyperlink" Target="https://doi.org/10.1371/journal.pone.0085118" TargetMode="External"/><Relationship Id="rId343" Type="http://schemas.openxmlformats.org/officeDocument/2006/relationships/hyperlink" Target="https://doi.org/10.1111/nph.12669" TargetMode="External"/><Relationship Id="rId364" Type="http://schemas.openxmlformats.org/officeDocument/2006/relationships/hyperlink" Target="https://link.springer.com/article/10.1007/s11295-015-0904-8" TargetMode="External"/><Relationship Id="rId61" Type="http://schemas.openxmlformats.org/officeDocument/2006/relationships/hyperlink" Target="https://www.genetics.org/content/genetics/48/10/1265.full.pdf" TargetMode="External"/><Relationship Id="rId82" Type="http://schemas.openxmlformats.org/officeDocument/2006/relationships/hyperlink" Target="https://doi.org/10.1080/0028825X.1983.10428565" TargetMode="External"/><Relationship Id="rId199" Type="http://schemas.openxmlformats.org/officeDocument/2006/relationships/hyperlink" Target="https://doi.org/10.1007/s00412-006-0065-5" TargetMode="External"/><Relationship Id="rId203" Type="http://schemas.openxmlformats.org/officeDocument/2006/relationships/hyperlink" Target="https://doi.org/10.1073/pnas.0606622103" TargetMode="External"/><Relationship Id="rId385" Type="http://schemas.openxmlformats.org/officeDocument/2006/relationships/hyperlink" Target="https://www.nature.com/articles/s41467-017-01064-8" TargetMode="External"/><Relationship Id="rId19" Type="http://schemas.openxmlformats.org/officeDocument/2006/relationships/hyperlink" Target="https://doi.org/10.1508/cytologia.60.141" TargetMode="External"/><Relationship Id="rId224" Type="http://schemas.openxmlformats.org/officeDocument/2006/relationships/hyperlink" Target="https://doi.org/10.1007/s11032-007-9114-x" TargetMode="External"/><Relationship Id="rId245" Type="http://schemas.openxmlformats.org/officeDocument/2006/relationships/hyperlink" Target="https://www.nature.com/articles/hdy200917" TargetMode="External"/><Relationship Id="rId266" Type="http://schemas.openxmlformats.org/officeDocument/2006/relationships/hyperlink" Target="https://doi.org/10.1093/pcp/pcp187" TargetMode="External"/><Relationship Id="rId287" Type="http://schemas.openxmlformats.org/officeDocument/2006/relationships/hyperlink" Target="https://link.springer.com/article/10.1007%2Fs10577-012-9312-1" TargetMode="External"/><Relationship Id="rId410" Type="http://schemas.openxmlformats.org/officeDocument/2006/relationships/hyperlink" Target="https://doi.org/10.1016/j.gdata.2017.01.004" TargetMode="External"/><Relationship Id="rId431" Type="http://schemas.openxmlformats.org/officeDocument/2006/relationships/hyperlink" Target="https://link.springer.com/article/10.1007%2Fs00438-017-1405-2" TargetMode="External"/><Relationship Id="rId452" Type="http://schemas.openxmlformats.org/officeDocument/2006/relationships/hyperlink" Target="https://www.frontiersin.org/articles/10.3389/fgene.2019.00440/full" TargetMode="External"/><Relationship Id="rId30" Type="http://schemas.openxmlformats.org/officeDocument/2006/relationships/hyperlink" Target="https://doi.org/10.1111/nph.17662" TargetMode="External"/><Relationship Id="rId105" Type="http://schemas.openxmlformats.org/officeDocument/2006/relationships/hyperlink" Target="https://doi.org/10.1139/g97-793" TargetMode="External"/><Relationship Id="rId126" Type="http://schemas.openxmlformats.org/officeDocument/2006/relationships/hyperlink" Target="https://www.bioversityinternational.org/fileadmin/PGR/article-issue_121-art_11-lang_en.html" TargetMode="External"/><Relationship Id="rId147" Type="http://schemas.openxmlformats.org/officeDocument/2006/relationships/hyperlink" Target="https://onlinelibrary.wiley.com/doi/pdf/10.1034/j.1601-5223.2002.01610.x" TargetMode="External"/><Relationship Id="rId168" Type="http://schemas.openxmlformats.org/officeDocument/2006/relationships/hyperlink" Target="https://www.nature.com/articles/nature02228" TargetMode="External"/><Relationship Id="rId312" Type="http://schemas.openxmlformats.org/officeDocument/2006/relationships/hyperlink" Target="https://nph.onlinelibrary.wiley.com/doi/full/10.1111/nph.12069" TargetMode="External"/><Relationship Id="rId333" Type="http://schemas.openxmlformats.org/officeDocument/2006/relationships/hyperlink" Target="https://science.sciencemag.org/content/346/6209/646" TargetMode="External"/><Relationship Id="rId354" Type="http://schemas.openxmlformats.org/officeDocument/2006/relationships/hyperlink" Target="https://doi.org/10.1371/journal.pone.0124890" TargetMode="External"/><Relationship Id="rId51" Type="http://schemas.openxmlformats.org/officeDocument/2006/relationships/hyperlink" Target="https://www.jstor.org/stable/2438712" TargetMode="External"/><Relationship Id="rId72" Type="http://schemas.openxmlformats.org/officeDocument/2006/relationships/hyperlink" Target="https://nph.onlinelibrary.wiley.com/doi/pdf/10.1111/j.1469-8137.1975.tb01345.x" TargetMode="External"/><Relationship Id="rId93" Type="http://schemas.openxmlformats.org/officeDocument/2006/relationships/hyperlink" Target="https://link.springer.com/article/10.1007/BF00242255" TargetMode="External"/><Relationship Id="rId189" Type="http://schemas.openxmlformats.org/officeDocument/2006/relationships/hyperlink" Target="https://doi.org/10.1007/s00239-004-0199-0" TargetMode="External"/><Relationship Id="rId375" Type="http://schemas.openxmlformats.org/officeDocument/2006/relationships/hyperlink" Target="https://doi.org/10.1111/nph.13983" TargetMode="External"/><Relationship Id="rId396" Type="http://schemas.openxmlformats.org/officeDocument/2006/relationships/hyperlink" Target="http://dx.doi.org/10.1016/j.mcp.2017.05.007" TargetMode="External"/><Relationship Id="rId3" Type="http://schemas.openxmlformats.org/officeDocument/2006/relationships/hyperlink" Target="https://academic.oup.com/aobpla/article/12/1/plz079/5680175" TargetMode="External"/><Relationship Id="rId214" Type="http://schemas.openxmlformats.org/officeDocument/2006/relationships/hyperlink" Target="https://doi.org/10.1016/j.ydbio.2006.09.013" TargetMode="External"/><Relationship Id="rId235" Type="http://schemas.openxmlformats.org/officeDocument/2006/relationships/hyperlink" Target="https://www.jstage.jst.go.jp/article/pjab/85/3/85_3_108/_pdf" TargetMode="External"/><Relationship Id="rId256" Type="http://schemas.openxmlformats.org/officeDocument/2006/relationships/hyperlink" Target="https://www.genetics.org/content/186/4/1425.long" TargetMode="External"/><Relationship Id="rId277" Type="http://schemas.openxmlformats.org/officeDocument/2006/relationships/hyperlink" Target="https://doi.org/10.1146/annurev-arplant-042110-103914" TargetMode="External"/><Relationship Id="rId298" Type="http://schemas.openxmlformats.org/officeDocument/2006/relationships/hyperlink" Target="https://doi.org/10.1186/1471-2164-13-226" TargetMode="External"/><Relationship Id="rId400" Type="http://schemas.openxmlformats.org/officeDocument/2006/relationships/hyperlink" Target="https://www.nature.com/articles/s41598-017-11677-0" TargetMode="External"/><Relationship Id="rId421" Type="http://schemas.openxmlformats.org/officeDocument/2006/relationships/hyperlink" Target="https://genomebiology.biomedcentral.com/articles/10.1186/s13059-017-1383-z" TargetMode="External"/><Relationship Id="rId442" Type="http://schemas.openxmlformats.org/officeDocument/2006/relationships/hyperlink" Target="https://nph.onlinelibrary.wiley.com/doi/full/10.1111/nph.16016" TargetMode="External"/><Relationship Id="rId116" Type="http://schemas.openxmlformats.org/officeDocument/2006/relationships/hyperlink" Target="https://doi.org/10.1007/s004120050377" TargetMode="External"/><Relationship Id="rId137" Type="http://schemas.openxmlformats.org/officeDocument/2006/relationships/hyperlink" Target="https://doi.org/10.1093/oxfordjournals.molbev.a003762" TargetMode="External"/><Relationship Id="rId158" Type="http://schemas.openxmlformats.org/officeDocument/2006/relationships/hyperlink" Target="https://doi.org/10.1023/A:1025941206391" TargetMode="External"/><Relationship Id="rId302" Type="http://schemas.openxmlformats.org/officeDocument/2006/relationships/hyperlink" Target="https://doi.org/10.1007/s10535-012-0083-5" TargetMode="External"/><Relationship Id="rId323" Type="http://schemas.openxmlformats.org/officeDocument/2006/relationships/hyperlink" Target="https://link.springer.com/content/pdf/10.1007/s10681-013-1023-y.pdf" TargetMode="External"/><Relationship Id="rId344" Type="http://schemas.openxmlformats.org/officeDocument/2006/relationships/hyperlink" Target="https://doi.org/10.1111/jeb.12371" TargetMode="External"/><Relationship Id="rId20" Type="http://schemas.openxmlformats.org/officeDocument/2006/relationships/hyperlink" Target="https://link.springer.com/article/10.1007/BF02221391" TargetMode="External"/><Relationship Id="rId41" Type="http://schemas.openxmlformats.org/officeDocument/2006/relationships/hyperlink" Target="https://www.journals.uchicago.edu/doi/abs/10.1086/333338?mobileUi=0" TargetMode="External"/><Relationship Id="rId62" Type="http://schemas.openxmlformats.org/officeDocument/2006/relationships/hyperlink" Target="https://link.springer.com/chapter/10.1007%2F978-94-007-0944-7_21" TargetMode="External"/><Relationship Id="rId83" Type="http://schemas.openxmlformats.org/officeDocument/2006/relationships/hyperlink" Target="https://link.springer.com/article/10.1007%2FBF00033390" TargetMode="External"/><Relationship Id="rId179" Type="http://schemas.openxmlformats.org/officeDocument/2006/relationships/hyperlink" Target="https://doi.org/10.1093/molbev/msi003" TargetMode="External"/><Relationship Id="rId365" Type="http://schemas.openxmlformats.org/officeDocument/2006/relationships/hyperlink" Target="https://onlinelibrary.wiley.com/doi/full/10.1111/mec.13126" TargetMode="External"/><Relationship Id="rId386" Type="http://schemas.openxmlformats.org/officeDocument/2006/relationships/hyperlink" Target="https://www.nature.com/articles/srep41497" TargetMode="External"/><Relationship Id="rId190" Type="http://schemas.openxmlformats.org/officeDocument/2006/relationships/hyperlink" Target="https://www.ncbi.nlm.nih.gov/pmc/articles/PMC1456801/" TargetMode="External"/><Relationship Id="rId204" Type="http://schemas.openxmlformats.org/officeDocument/2006/relationships/hyperlink" Target="https://link.springer.com/article/10.1007/s10681-005-9031-1" TargetMode="External"/><Relationship Id="rId225" Type="http://schemas.openxmlformats.org/officeDocument/2006/relationships/hyperlink" Target="http://www.genome.org/cgi/doi/10.1101/gr.7076308" TargetMode="External"/><Relationship Id="rId246" Type="http://schemas.openxmlformats.org/officeDocument/2006/relationships/hyperlink" Target="https://doi.org/10.1007/s00438-008-0405-7" TargetMode="External"/><Relationship Id="rId267" Type="http://schemas.openxmlformats.org/officeDocument/2006/relationships/hyperlink" Target="https://link.springer.com/article/10.1134/S1022795411080023" TargetMode="External"/><Relationship Id="rId288" Type="http://schemas.openxmlformats.org/officeDocument/2006/relationships/hyperlink" Target="https://doi.org/10.1073/pnas.1207833109" TargetMode="External"/><Relationship Id="rId411" Type="http://schemas.openxmlformats.org/officeDocument/2006/relationships/hyperlink" Target="https://doi.org/10.1111/nph.14919" TargetMode="External"/><Relationship Id="rId432" Type="http://schemas.openxmlformats.org/officeDocument/2006/relationships/hyperlink" Target="https://doi.org/10.1007/s00122-018-3127-1" TargetMode="External"/><Relationship Id="rId453" Type="http://schemas.openxmlformats.org/officeDocument/2006/relationships/hyperlink" Target="https://doi.org/10.1080/07352689.2016.1267496" TargetMode="External"/><Relationship Id="rId106" Type="http://schemas.openxmlformats.org/officeDocument/2006/relationships/hyperlink" Target="https://doi.org/10.1104/pp.114.3.969" TargetMode="External"/><Relationship Id="rId127" Type="http://schemas.openxmlformats.org/officeDocument/2006/relationships/hyperlink" Target="https://doi.org/10.1104/pp.124.2.627" TargetMode="External"/><Relationship Id="rId313" Type="http://schemas.openxmlformats.org/officeDocument/2006/relationships/hyperlink" Target="https://doi.org/10.1371/journal.pone.0064276" TargetMode="External"/><Relationship Id="rId10" Type="http://schemas.openxmlformats.org/officeDocument/2006/relationships/hyperlink" Target="https://doi.org/10.1002/j.1537-2197.1954.tb14376.x" TargetMode="External"/><Relationship Id="rId31" Type="http://schemas.openxmlformats.org/officeDocument/2006/relationships/hyperlink" Target="https://doi.org/10.1111/tpj.15009" TargetMode="External"/><Relationship Id="rId52" Type="http://schemas.openxmlformats.org/officeDocument/2006/relationships/hyperlink" Target="https://www.nature.com/articles/hdy195543" TargetMode="External"/><Relationship Id="rId73" Type="http://schemas.openxmlformats.org/officeDocument/2006/relationships/hyperlink" Target="https://academic.oup.com/aob/article-abstract/41/2/375/180560?redirectedFrom=fulltext" TargetMode="External"/><Relationship Id="rId94" Type="http://schemas.openxmlformats.org/officeDocument/2006/relationships/hyperlink" Target="https://www.researchgate.net/publication/268180715_A_Restriction_Fragment_Length_Polymorphism_Probe_for_Early_Diagnosis_of_Gender_in_Asparagus_officinalis_L" TargetMode="External"/><Relationship Id="rId148" Type="http://schemas.openxmlformats.org/officeDocument/2006/relationships/hyperlink" Target="https://doi.org/10.1139/G01-143" TargetMode="External"/><Relationship Id="rId169" Type="http://schemas.openxmlformats.org/officeDocument/2006/relationships/hyperlink" Target="https://link.springer.com/chapter/10.1007%2F978-94-007-0944-7_21" TargetMode="External"/><Relationship Id="rId334" Type="http://schemas.openxmlformats.org/officeDocument/2006/relationships/hyperlink" Target="http://ijpaes.com/admin/php/uploads/476_pdf.pdf" TargetMode="External"/><Relationship Id="rId355" Type="http://schemas.openxmlformats.org/officeDocument/2006/relationships/hyperlink" Target="https://academic.oup.com/pcp/article/57/2/325/2461069" TargetMode="External"/><Relationship Id="rId376" Type="http://schemas.openxmlformats.org/officeDocument/2006/relationships/hyperlink" Target="https://doi.org/10.1007/s10681-016-1655-9" TargetMode="External"/><Relationship Id="rId397" Type="http://schemas.openxmlformats.org/officeDocument/2006/relationships/hyperlink" Target="https://www.sciencedirect.com/science/article/pii/S0092867417311248" TargetMode="External"/><Relationship Id="rId4" Type="http://schemas.openxmlformats.org/officeDocument/2006/relationships/hyperlink" Target="https://esajournals.onlinelibrary.wiley.com/doi/epdf/10.1890/09-0685.1" TargetMode="External"/><Relationship Id="rId180" Type="http://schemas.openxmlformats.org/officeDocument/2006/relationships/hyperlink" Target="http://www.demeter.org.es/pdf/investi_a/In_situ_Hybridisierung_an_Hanf_Chromosomen.pdf" TargetMode="External"/><Relationship Id="rId215" Type="http://schemas.openxmlformats.org/officeDocument/2006/relationships/hyperlink" Target="https://doi.org/10.3732/ajb.94.2.141" TargetMode="External"/><Relationship Id="rId236" Type="http://schemas.openxmlformats.org/officeDocument/2006/relationships/hyperlink" Target="https://doi.org/10.1111/j.1365-2745.2009.01484.x" TargetMode="External"/><Relationship Id="rId257" Type="http://schemas.openxmlformats.org/officeDocument/2006/relationships/hyperlink" Target="https://doi.org/10.1111/j.1558-5646.2010.01189.x" TargetMode="External"/><Relationship Id="rId278" Type="http://schemas.openxmlformats.org/officeDocument/2006/relationships/hyperlink" Target="https://doi.org/10.1016/j.tig.2011.05.001" TargetMode="External"/><Relationship Id="rId401" Type="http://schemas.openxmlformats.org/officeDocument/2006/relationships/hyperlink" Target="https://link.springer.com/article/10.1007/s10722-017-0564-7" TargetMode="External"/><Relationship Id="rId422" Type="http://schemas.openxmlformats.org/officeDocument/2006/relationships/hyperlink" Target="https://www.mdpi.com/2073-4425/9/6/277" TargetMode="External"/><Relationship Id="rId443" Type="http://schemas.openxmlformats.org/officeDocument/2006/relationships/hyperlink" Target="https://www.genetics.org/content/212/3/815.abstract" TargetMode="External"/><Relationship Id="rId303" Type="http://schemas.openxmlformats.org/officeDocument/2006/relationships/hyperlink" Target="https://doi.org/10.1007/s00438-012-0674-z" TargetMode="External"/><Relationship Id="rId42" Type="http://schemas.openxmlformats.org/officeDocument/2006/relationships/hyperlink" Target="https://link.springer.com/article/10.1007/BF01961517" TargetMode="External"/><Relationship Id="rId84" Type="http://schemas.openxmlformats.org/officeDocument/2006/relationships/hyperlink" Target="https://www.jstage.jst.go.jp/article/cytologia1929/53/3/53_3_475/_pdf" TargetMode="External"/><Relationship Id="rId138" Type="http://schemas.openxmlformats.org/officeDocument/2006/relationships/hyperlink" Target="https://doi.org/10.1093/oxfordjournals.molbev.a003930" TargetMode="External"/><Relationship Id="rId345" Type="http://schemas.openxmlformats.org/officeDocument/2006/relationships/hyperlink" Target="https://doi.org/10.1111/pbr.12199" TargetMode="External"/><Relationship Id="rId387" Type="http://schemas.openxmlformats.org/officeDocument/2006/relationships/hyperlink" Target="https://link.springer.com/chapter/10.1007/978-3-319-54564-6_18" TargetMode="External"/><Relationship Id="rId191" Type="http://schemas.openxmlformats.org/officeDocument/2006/relationships/hyperlink" Target="https://doi.org/10.1007/s00425-004-1365-8" TargetMode="External"/><Relationship Id="rId205" Type="http://schemas.openxmlformats.org/officeDocument/2006/relationships/hyperlink" Target="https://doi.org/10.1534/genetics.107.081463" TargetMode="External"/><Relationship Id="rId247" Type="http://schemas.openxmlformats.org/officeDocument/2006/relationships/hyperlink" Target="https://link.springer.com/article/10.1007%2Fs10709-008-9261-y" TargetMode="External"/><Relationship Id="rId412" Type="http://schemas.openxmlformats.org/officeDocument/2006/relationships/hyperlink" Target="https://www.frontiersin.org/articles/10.3389/fpls.2017.00098/full" TargetMode="External"/><Relationship Id="rId107" Type="http://schemas.openxmlformats.org/officeDocument/2006/relationships/hyperlink" Target="https://link.springer.com/article/10.1007/s001220050914" TargetMode="External"/><Relationship Id="rId289" Type="http://schemas.openxmlformats.org/officeDocument/2006/relationships/hyperlink" Target="https://academic.oup.com/mbe/article/29/12/3909/1010407" TargetMode="External"/><Relationship Id="rId454" Type="http://schemas.openxmlformats.org/officeDocument/2006/relationships/hyperlink" Target="https://www.nature.com/articles/s41598-018-37412-x" TargetMode="External"/><Relationship Id="rId11" Type="http://schemas.openxmlformats.org/officeDocument/2006/relationships/hyperlink" Target="https://doi.org/10.1139/b59-032" TargetMode="External"/><Relationship Id="rId53" Type="http://schemas.openxmlformats.org/officeDocument/2006/relationships/hyperlink" Target="https://pdfs.semanticscholar.org/5f4c/084bf8a37fc00d2c06686979874a4177188f.pdf" TargetMode="External"/><Relationship Id="rId149" Type="http://schemas.openxmlformats.org/officeDocument/2006/relationships/hyperlink" Target="https://doi.org/10.1139/G02-052" TargetMode="External"/><Relationship Id="rId314" Type="http://schemas.openxmlformats.org/officeDocument/2006/relationships/hyperlink" Target="https://doi.org/10.1371/journal.pone.0062681" TargetMode="External"/><Relationship Id="rId356" Type="http://schemas.openxmlformats.org/officeDocument/2006/relationships/hyperlink" Target="https://link.springer.com/article/10.1007/s10265-015-0724-9" TargetMode="External"/><Relationship Id="rId398" Type="http://schemas.openxmlformats.org/officeDocument/2006/relationships/hyperlink" Target="https://academic.oup.com/aobpla/article/9/2/plx013/3104464" TargetMode="External"/><Relationship Id="rId95" Type="http://schemas.openxmlformats.org/officeDocument/2006/relationships/hyperlink" Target="https://academic.oup.com/pcp/article-abstract/36/8/1549/1819656?redirectedFrom=fulltext" TargetMode="External"/><Relationship Id="rId160" Type="http://schemas.openxmlformats.org/officeDocument/2006/relationships/hyperlink" Target="https://doi.org/10.1007/s10265-003-0106-6" TargetMode="External"/><Relationship Id="rId216" Type="http://schemas.openxmlformats.org/officeDocument/2006/relationships/hyperlink" Target="https://doi.org/10.1007/s10577-007-1166-6" TargetMode="External"/><Relationship Id="rId423" Type="http://schemas.openxmlformats.org/officeDocument/2006/relationships/hyperlink" Target="https://www.nature.com/articles/s42003-018-0019-5" TargetMode="External"/><Relationship Id="rId258" Type="http://schemas.openxmlformats.org/officeDocument/2006/relationships/hyperlink" Target="https://doi.org/10.1093/jhered/esq001" TargetMode="External"/><Relationship Id="rId22" Type="http://schemas.openxmlformats.org/officeDocument/2006/relationships/hyperlink" Target="https://doi.org/10.1071/SB98028" TargetMode="External"/><Relationship Id="rId64" Type="http://schemas.openxmlformats.org/officeDocument/2006/relationships/hyperlink" Target="https://doi.org/10.1266/jjg.46.33" TargetMode="External"/><Relationship Id="rId118" Type="http://schemas.openxmlformats.org/officeDocument/2006/relationships/hyperlink" Target="https://www.researchgate.net/publication/292328703_A_subtelomeric_satellite_DNA_family_isolated_from_the_genome_of_the_dioecious_plant_Silene_latifolia" TargetMode="External"/><Relationship Id="rId325" Type="http://schemas.openxmlformats.org/officeDocument/2006/relationships/hyperlink" Target="https://doi.org/10.1186/1471-2164-15-335" TargetMode="External"/><Relationship Id="rId367" Type="http://schemas.openxmlformats.org/officeDocument/2006/relationships/hyperlink" Target="https://onlinelibrary.wiley.com/doi/epdf/10.1111/plb.12217" TargetMode="External"/><Relationship Id="rId171" Type="http://schemas.openxmlformats.org/officeDocument/2006/relationships/hyperlink" Target="https://link.springer.com/content/pdf/10.1007%2Fs00497-004-0208-x.pdf" TargetMode="External"/><Relationship Id="rId227" Type="http://schemas.openxmlformats.org/officeDocument/2006/relationships/hyperlink" Target="https://doi.org/10.1534/genetics.107.081745" TargetMode="External"/><Relationship Id="rId269" Type="http://schemas.openxmlformats.org/officeDocument/2006/relationships/hyperlink" Target="http://dx.doi.org/10.1159%2F000321584" TargetMode="External"/><Relationship Id="rId434" Type="http://schemas.openxmlformats.org/officeDocument/2006/relationships/hyperlink" Target="https://agritrop.cirad.fr/591491/1/Cormier2019_Article_AReferenceHigh-densityGeneticM.pdf" TargetMode="External"/><Relationship Id="rId33" Type="http://schemas.openxmlformats.org/officeDocument/2006/relationships/hyperlink" Target="https://doi.org/10.1111/tpj.15116" TargetMode="External"/><Relationship Id="rId129" Type="http://schemas.openxmlformats.org/officeDocument/2006/relationships/hyperlink" Target="https://link.springer.com/article/10.1023/A:1009252913344" TargetMode="External"/><Relationship Id="rId280" Type="http://schemas.openxmlformats.org/officeDocument/2006/relationships/hyperlink" Target="https://doi.org/10.1186/1471-2164-12-376" TargetMode="External"/><Relationship Id="rId336" Type="http://schemas.openxmlformats.org/officeDocument/2006/relationships/hyperlink" Target="https://evodevojournal.biomedcentral.com/articles/10.1186/2041-9139-5-42" TargetMode="External"/><Relationship Id="rId75" Type="http://schemas.openxmlformats.org/officeDocument/2006/relationships/hyperlink" Target="https://ci.nii.ac.jp/naid/10006433850/" TargetMode="External"/><Relationship Id="rId140" Type="http://schemas.openxmlformats.org/officeDocument/2006/relationships/hyperlink" Target="https://doi.org/10.1016/S0764-4469(01)01322-1" TargetMode="External"/><Relationship Id="rId182" Type="http://schemas.openxmlformats.org/officeDocument/2006/relationships/hyperlink" Target="https://doi.org/10.1139/g05-056" TargetMode="External"/><Relationship Id="rId378" Type="http://schemas.openxmlformats.org/officeDocument/2006/relationships/hyperlink" Target="https://www.mdpi.com/2218-1989/6/2/13" TargetMode="External"/><Relationship Id="rId403" Type="http://schemas.openxmlformats.org/officeDocument/2006/relationships/hyperlink" Target="https://doi.org/10.1007/s11032-017-0705-x" TargetMode="External"/><Relationship Id="rId6" Type="http://schemas.openxmlformats.org/officeDocument/2006/relationships/hyperlink" Target="https://www.nature.com/articles/s41477-020-0672-9" TargetMode="External"/><Relationship Id="rId238" Type="http://schemas.openxmlformats.org/officeDocument/2006/relationships/hyperlink" Target="https://www.nrcresearchpress.com/doi/10.1139/G08-120" TargetMode="External"/><Relationship Id="rId445" Type="http://schemas.openxmlformats.org/officeDocument/2006/relationships/hyperlink" Target="https://www.ncbi.nlm.nih.gov/pmc/articles/PMC6335074/pdf/PBI-17-397.pdf" TargetMode="External"/><Relationship Id="rId291" Type="http://schemas.openxmlformats.org/officeDocument/2006/relationships/hyperlink" Target="https://www.ajol.info/index.php/ajb/article/view/127617" TargetMode="External"/><Relationship Id="rId305" Type="http://schemas.openxmlformats.org/officeDocument/2006/relationships/hyperlink" Target="https://doi.org/10.1159/000345370" TargetMode="External"/><Relationship Id="rId347" Type="http://schemas.openxmlformats.org/officeDocument/2006/relationships/hyperlink" Target="https://link.springer.com/article/10.1007/s40011-013-0226-2" TargetMode="External"/><Relationship Id="rId44" Type="http://schemas.openxmlformats.org/officeDocument/2006/relationships/hyperlink" Target="https://www.journals.uchicago.edu/doi/abs/10.1086/334075?journalCode=botanicalgazette" TargetMode="External"/><Relationship Id="rId86" Type="http://schemas.openxmlformats.org/officeDocument/2006/relationships/hyperlink" Target="https://doi.org/10.1508/cytologia.56.409" TargetMode="External"/><Relationship Id="rId151" Type="http://schemas.openxmlformats.org/officeDocument/2006/relationships/hyperlink" Target="https://www.ncbi.nlm.nih.gov/pubmed/12175078" TargetMode="External"/><Relationship Id="rId389" Type="http://schemas.openxmlformats.org/officeDocument/2006/relationships/hyperlink" Target="https://doi.org/10.1186/s12870-017-1187-z" TargetMode="External"/><Relationship Id="rId193" Type="http://schemas.openxmlformats.org/officeDocument/2006/relationships/hyperlink" Target="https://doi.org/10.1266/ggs.80.395" TargetMode="External"/><Relationship Id="rId207" Type="http://schemas.openxmlformats.org/officeDocument/2006/relationships/hyperlink" Target="https://link.springer.com/article/10.1007%2Fs00438-007-0243-z" TargetMode="External"/><Relationship Id="rId249" Type="http://schemas.openxmlformats.org/officeDocument/2006/relationships/hyperlink" Target="https://doi.org/10.1093/molbev/msp141" TargetMode="External"/><Relationship Id="rId414" Type="http://schemas.openxmlformats.org/officeDocument/2006/relationships/hyperlink" Target="https://doi.org/10.3389/fpls.2018.01068" TargetMode="External"/><Relationship Id="rId456" Type="http://schemas.openxmlformats.org/officeDocument/2006/relationships/hyperlink" Target="https://journals.plos.org/plosone/article?id=10.1371/journal.pone.0214949" TargetMode="External"/><Relationship Id="rId13" Type="http://schemas.openxmlformats.org/officeDocument/2006/relationships/hyperlink" Target="https://www.journals.uchicago.edu/doi/abs/10.1086/336044" TargetMode="External"/><Relationship Id="rId109" Type="http://schemas.openxmlformats.org/officeDocument/2006/relationships/hyperlink" Target="https://onlinelibrary.wiley.com/doi/pdf/10.1111/j.1601-5223.1998.00045.x" TargetMode="External"/><Relationship Id="rId260" Type="http://schemas.openxmlformats.org/officeDocument/2006/relationships/hyperlink" Target="https://link.springer.com/article/10.1007/s10709-010-9449-9" TargetMode="External"/><Relationship Id="rId316" Type="http://schemas.openxmlformats.org/officeDocument/2006/relationships/hyperlink" Target="https://doi.org/10.1093/gbe/evt049" TargetMode="External"/><Relationship Id="rId55" Type="http://schemas.openxmlformats.org/officeDocument/2006/relationships/hyperlink" Target="https://onlinelibrary.wiley.com/doi/abs/10.1111/j.1601-5223.1957.tb03444.x" TargetMode="External"/><Relationship Id="rId97" Type="http://schemas.openxmlformats.org/officeDocument/2006/relationships/hyperlink" Target="https://onlinelibrary.wiley.com/doi/abs/10.1111/j.1399-3054.1996.tb00210.x" TargetMode="External"/><Relationship Id="rId120" Type="http://schemas.openxmlformats.org/officeDocument/2006/relationships/hyperlink" Target="https://doi.org/10.1002/(SICI)1520-6408(1999)25:3%3c267::AID-DVG9%3e3.0.CO;2-9" TargetMode="External"/><Relationship Id="rId358" Type="http://schemas.openxmlformats.org/officeDocument/2006/relationships/hyperlink" Target="https://doi.org/10.1016/j.scienta.2015.07.006" TargetMode="External"/><Relationship Id="rId162" Type="http://schemas.openxmlformats.org/officeDocument/2006/relationships/hyperlink" Target="https://doi.org/10.1093/molbev/msg114" TargetMode="External"/><Relationship Id="rId218" Type="http://schemas.openxmlformats.org/officeDocument/2006/relationships/hyperlink" Target="https://doi.org/10.1534/genetics.106.070110" TargetMode="External"/><Relationship Id="rId425" Type="http://schemas.openxmlformats.org/officeDocument/2006/relationships/hyperlink" Target="https://link.springer.com/article/10.1007%2Fs00412-018-0664-y" TargetMode="External"/><Relationship Id="rId271" Type="http://schemas.openxmlformats.org/officeDocument/2006/relationships/hyperlink" Target="https://link.springer.com/article/10.1007/s12041-011-0026-5" TargetMode="External"/><Relationship Id="rId24" Type="http://schemas.openxmlformats.org/officeDocument/2006/relationships/hyperlink" Target="https://onlinelibrary.wiley.com/doi/full/10.1111/jse.12266" TargetMode="External"/><Relationship Id="rId66" Type="http://schemas.openxmlformats.org/officeDocument/2006/relationships/hyperlink" Target="https://link.springer.com/article/10.1007/BF00577104" TargetMode="External"/><Relationship Id="rId131" Type="http://schemas.openxmlformats.org/officeDocument/2006/relationships/hyperlink" Target="https://onlinelibrary.wiley.com/doi/abs/10.1046/j.1439-0523.2001.00620.x" TargetMode="External"/><Relationship Id="rId327" Type="http://schemas.openxmlformats.org/officeDocument/2006/relationships/hyperlink" Target="https://doi.org/10.1186/s12870-014-0325-0" TargetMode="External"/><Relationship Id="rId369" Type="http://schemas.openxmlformats.org/officeDocument/2006/relationships/hyperlink" Target="https://doi.org/10.1007/s10577-014-9446-4" TargetMode="External"/><Relationship Id="rId173" Type="http://schemas.openxmlformats.org/officeDocument/2006/relationships/hyperlink" Target="https://link.springer.com/content/pdf/10.1023%2FB%3AEUPH.0000032741.99885.c4.pdf" TargetMode="External"/><Relationship Id="rId229" Type="http://schemas.openxmlformats.org/officeDocument/2006/relationships/hyperlink" Target="https://doi.org/10.1017/S0016672307009056" TargetMode="External"/><Relationship Id="rId380" Type="http://schemas.openxmlformats.org/officeDocument/2006/relationships/hyperlink" Target="https://www.ncbi.nlm.nih.gov/pubmed/27118680" TargetMode="External"/><Relationship Id="rId436" Type="http://schemas.openxmlformats.org/officeDocument/2006/relationships/hyperlink" Target="https://www.biorxiv.org/content/10.1101/517946v1.abstract" TargetMode="External"/><Relationship Id="rId240" Type="http://schemas.openxmlformats.org/officeDocument/2006/relationships/hyperlink" Target="http://dx.doi.org/10.1080/14620316.2009.11512557" TargetMode="External"/><Relationship Id="rId35" Type="http://schemas.openxmlformats.org/officeDocument/2006/relationships/hyperlink" Target="https://www.frontiersin.org/articles/10.3389/fpls.2020.575462/full" TargetMode="External"/><Relationship Id="rId77" Type="http://schemas.openxmlformats.org/officeDocument/2006/relationships/hyperlink" Target="https://doi.org/10.1038/hdy.1979.23" TargetMode="External"/><Relationship Id="rId100" Type="http://schemas.openxmlformats.org/officeDocument/2006/relationships/hyperlink" Target="https://doi.org/10.1046/j.1365-313X.1997.12040805.x" TargetMode="External"/><Relationship Id="rId282" Type="http://schemas.openxmlformats.org/officeDocument/2006/relationships/hyperlink" Target="https://journals.plos.org/plosone/article?id=10.1371/journal.pone.0021915" TargetMode="External"/><Relationship Id="rId338" Type="http://schemas.openxmlformats.org/officeDocument/2006/relationships/hyperlink" Target="https://www.geneticsmr.com/sites/default/files/articles/year2014/vol13-1/pdf/gmr2977.pdf" TargetMode="External"/><Relationship Id="rId8" Type="http://schemas.openxmlformats.org/officeDocument/2006/relationships/hyperlink" Target="https://doi.org/10.1508/cytologia.1.109" TargetMode="External"/><Relationship Id="rId142" Type="http://schemas.openxmlformats.org/officeDocument/2006/relationships/hyperlink" Target="https://link.springer.com/article/10.1023/A:1016382128401" TargetMode="External"/><Relationship Id="rId184" Type="http://schemas.openxmlformats.org/officeDocument/2006/relationships/hyperlink" Target="https://link.springer.com/article/10.1007/s00425-005-0046-6" TargetMode="External"/><Relationship Id="rId391" Type="http://schemas.openxmlformats.org/officeDocument/2006/relationships/hyperlink" Target="https://doi.org/10.1007/s10577-017-9555-y" TargetMode="External"/><Relationship Id="rId405" Type="http://schemas.openxmlformats.org/officeDocument/2006/relationships/hyperlink" Target="https://doi.org/10.1038/s41598-017-01893-z" TargetMode="External"/><Relationship Id="rId447" Type="http://schemas.openxmlformats.org/officeDocument/2006/relationships/hyperlink" Target="https://www.cambridge.org/core/services/aop-cambridge-core/content/view/9072C8D7BB4DBFE410417166CB791D0E/S0043174519000274a.pdf/div-class-title-sex-specific-markers-for-waterhemp-span-class-italic-amaranthus-tuberculatus-span-and-palmer-amaranth-span-class-italic-amaranthus-palmeri-span-div.pdf" TargetMode="External"/><Relationship Id="rId251" Type="http://schemas.openxmlformats.org/officeDocument/2006/relationships/hyperlink" Target="https://link.springer.com/content/pdf/10.1007%2Fs00122-009-0979-4.pdf" TargetMode="External"/><Relationship Id="rId46" Type="http://schemas.openxmlformats.org/officeDocument/2006/relationships/hyperlink" Target="https://www.jstage.jst.go.jp/article/jplantres1887/51/603/51_603_110/_pdf/-char/en" TargetMode="External"/><Relationship Id="rId293" Type="http://schemas.openxmlformats.org/officeDocument/2006/relationships/hyperlink" Target="https://doi.org/10.1080/14620316.2012.11512839" TargetMode="External"/><Relationship Id="rId307" Type="http://schemas.openxmlformats.org/officeDocument/2006/relationships/hyperlink" Target="https://doi.org/10.1534/g3.113.006288" TargetMode="External"/><Relationship Id="rId349" Type="http://schemas.openxmlformats.org/officeDocument/2006/relationships/hyperlink" Target="https://doi.org/10.1111/nph.13389" TargetMode="External"/><Relationship Id="rId88" Type="http://schemas.openxmlformats.org/officeDocument/2006/relationships/hyperlink" Target="https://link.springer.com/article/10.1007/BF00046050" TargetMode="External"/><Relationship Id="rId111" Type="http://schemas.openxmlformats.org/officeDocument/2006/relationships/hyperlink" Target="https://www.nature.com/articles/30492" TargetMode="External"/><Relationship Id="rId153" Type="http://schemas.openxmlformats.org/officeDocument/2006/relationships/hyperlink" Target="https://doi.org/10.1266/ggs.77.393" TargetMode="External"/><Relationship Id="rId195" Type="http://schemas.openxmlformats.org/officeDocument/2006/relationships/hyperlink" Target="https://link.springer.com/article/10.1007/s00497-006-0030-8" TargetMode="External"/><Relationship Id="rId209" Type="http://schemas.openxmlformats.org/officeDocument/2006/relationships/hyperlink" Target="https://www.jstor.org/stable/24099164?seq=1" TargetMode="External"/><Relationship Id="rId360" Type="http://schemas.openxmlformats.org/officeDocument/2006/relationships/hyperlink" Target="https://doi.org/10.1111/plb.12189" TargetMode="External"/><Relationship Id="rId416" Type="http://schemas.openxmlformats.org/officeDocument/2006/relationships/hyperlink" Target="https://doi.org/10.1016/j.bcab.2018.08.004" TargetMode="External"/><Relationship Id="rId220" Type="http://schemas.openxmlformats.org/officeDocument/2006/relationships/hyperlink" Target="https://doi.org/10.1007/s11816-007-0031-6" TargetMode="External"/><Relationship Id="rId458" Type="http://schemas.openxmlformats.org/officeDocument/2006/relationships/hyperlink" Target="https://doi.org/10.3390/genes12030381" TargetMode="External"/><Relationship Id="rId15" Type="http://schemas.openxmlformats.org/officeDocument/2006/relationships/hyperlink" Target="https://link.springer.com/article/10.1007%252FBF00329609" TargetMode="External"/><Relationship Id="rId57" Type="http://schemas.openxmlformats.org/officeDocument/2006/relationships/hyperlink" Target="https://doi.org/10.1038/1791143a0" TargetMode="External"/><Relationship Id="rId262" Type="http://schemas.openxmlformats.org/officeDocument/2006/relationships/hyperlink" Target="https://link.springer.com/article/10.1007/s11816-009-0113-8" TargetMode="External"/><Relationship Id="rId318" Type="http://schemas.openxmlformats.org/officeDocument/2006/relationships/hyperlink" Target="https://doi.org/10.1534/genetics.113.150755" TargetMode="External"/><Relationship Id="rId99" Type="http://schemas.openxmlformats.org/officeDocument/2006/relationships/hyperlink" Target="https://doi.org/10.1139/g97-048" TargetMode="External"/><Relationship Id="rId122" Type="http://schemas.openxmlformats.org/officeDocument/2006/relationships/hyperlink" Target="https://www.ncbi.nlm.nih.gov/pubmed/11202435" TargetMode="External"/><Relationship Id="rId164" Type="http://schemas.openxmlformats.org/officeDocument/2006/relationships/hyperlink" Target="https://www.ncbi.nlm.nih.gov/pmc/articles/PMC1462803/" TargetMode="External"/><Relationship Id="rId371" Type="http://schemas.openxmlformats.org/officeDocument/2006/relationships/hyperlink" Target="https://doi.org/10.1371/journal.pgen.1005536" TargetMode="External"/><Relationship Id="rId427" Type="http://schemas.openxmlformats.org/officeDocument/2006/relationships/hyperlink" Target="https://doi.org/10.1111/mec.14466" TargetMode="External"/><Relationship Id="rId26" Type="http://schemas.openxmlformats.org/officeDocument/2006/relationships/hyperlink" Target="https://doi.org/10.1002/evl3.142" TargetMode="External"/><Relationship Id="rId231" Type="http://schemas.openxmlformats.org/officeDocument/2006/relationships/hyperlink" Target="https://onlinelibrary.wiley.com/doi/full/10.1111/j.1755-0998.2008.02344.x" TargetMode="External"/><Relationship Id="rId273" Type="http://schemas.openxmlformats.org/officeDocument/2006/relationships/hyperlink" Target="https://doi.org/10.1111/j.1525-142X.2011.00467.x" TargetMode="External"/><Relationship Id="rId329" Type="http://schemas.openxmlformats.org/officeDocument/2006/relationships/hyperlink" Target="https://doi.org/10.3897/CompCytogen.v8i4.8473" TargetMode="External"/><Relationship Id="rId68" Type="http://schemas.openxmlformats.org/officeDocument/2006/relationships/hyperlink" Target="https://pdfs.semanticscholar.org/d599/63442262082968b540cdf8d9ef4c89f5c966.pdf" TargetMode="External"/><Relationship Id="rId133" Type="http://schemas.openxmlformats.org/officeDocument/2006/relationships/hyperlink" Target="https://link.springer.com/content/pdf/10.1023/A:1011676328165.pdf" TargetMode="External"/><Relationship Id="rId175" Type="http://schemas.openxmlformats.org/officeDocument/2006/relationships/hyperlink" Target="https://academic.oup.com/biolinnean/article/82/4/547/2643086" TargetMode="External"/><Relationship Id="rId340" Type="http://schemas.openxmlformats.org/officeDocument/2006/relationships/hyperlink" Target="https://doi.org/10.1007/s12041-014-0326-7" TargetMode="External"/><Relationship Id="rId200" Type="http://schemas.openxmlformats.org/officeDocument/2006/relationships/hyperlink" Target="https://doi.org/10.1007/s00122-006-0293-3" TargetMode="External"/><Relationship Id="rId382" Type="http://schemas.openxmlformats.org/officeDocument/2006/relationships/hyperlink" Target="https://doi.org/10.1371/journal.pone.0147671" TargetMode="External"/><Relationship Id="rId438" Type="http://schemas.openxmlformats.org/officeDocument/2006/relationships/hyperlink" Target="https://journals.plos.org/plosgenetics/article?id=10.1371/journal.pgen.1007997" TargetMode="External"/><Relationship Id="rId242" Type="http://schemas.openxmlformats.org/officeDocument/2006/relationships/hyperlink" Target="https://doi.org/10.1186/1471-2164-10-620" TargetMode="External"/><Relationship Id="rId284" Type="http://schemas.openxmlformats.org/officeDocument/2006/relationships/hyperlink" Target="https://www.researchgate.net/publication/233902887_Sex_determination_of_jojoba_Simmondsia_chinensis_cv_Arizona_by_random_amplified_polymorphic_DNA_RAPD_molecular_markers" TargetMode="External"/><Relationship Id="rId37" Type="http://schemas.openxmlformats.org/officeDocument/2006/relationships/hyperlink" Target="https://www.jstor.org/stable/984196" TargetMode="External"/><Relationship Id="rId79" Type="http://schemas.openxmlformats.org/officeDocument/2006/relationships/hyperlink" Target="https://www.jstage.jst.go.jp/article/cytologia1929/46/1-2/46_1-2_173/_pdf/-char/en" TargetMode="External"/><Relationship Id="rId102" Type="http://schemas.openxmlformats.org/officeDocument/2006/relationships/hyperlink" Target="https://www.ncbi.nlm.nih.gov/pubmed/9426622" TargetMode="External"/><Relationship Id="rId144" Type="http://schemas.openxmlformats.org/officeDocument/2006/relationships/hyperlink" Target="https://doi.org/10.1016/S0925-4773(02)00041-2" TargetMode="External"/><Relationship Id="rId90" Type="http://schemas.openxmlformats.org/officeDocument/2006/relationships/hyperlink" Target="https://books.google.es/books?hl=es&amp;lr=&amp;id=yov7iUL7OTAC&amp;oi=fnd&amp;pg=PA295&amp;dq=Cytokinins+and+reproductive+organogenesis+in+Mercurialis&amp;ots=0dF_iUKBwc&amp;sig=Dx4xU8tXOAL5s7AVJmuYfOrZXIc" TargetMode="External"/><Relationship Id="rId186" Type="http://schemas.openxmlformats.org/officeDocument/2006/relationships/hyperlink" Target="https://dl.sciencesocieties.org/publications/cs/abstracts/45/6/2529" TargetMode="External"/><Relationship Id="rId351" Type="http://schemas.openxmlformats.org/officeDocument/2006/relationships/hyperlink" Target="https://link.springer.com/article/10.1007%2Fs00239-015-9680-1" TargetMode="External"/><Relationship Id="rId393" Type="http://schemas.openxmlformats.org/officeDocument/2006/relationships/hyperlink" Target="https://doi.org/10.1093/jhered/esx077" TargetMode="External"/><Relationship Id="rId407" Type="http://schemas.openxmlformats.org/officeDocument/2006/relationships/hyperlink" Target="https://doi.org/10.1111/tpj.13322" TargetMode="External"/><Relationship Id="rId449" Type="http://schemas.openxmlformats.org/officeDocument/2006/relationships/hyperlink" Target="https://www.sciencedirect.com/science/article/pii/S0300908419300872" TargetMode="External"/><Relationship Id="rId211" Type="http://schemas.openxmlformats.org/officeDocument/2006/relationships/hyperlink" Target="https://www.ajol.info/index.php/ajb/article/view/56121" TargetMode="External"/><Relationship Id="rId253" Type="http://schemas.openxmlformats.org/officeDocument/2006/relationships/hyperlink" Target="https://doi.org/10.1111/j.1095-8339.2010.01073.x" TargetMode="External"/><Relationship Id="rId295" Type="http://schemas.openxmlformats.org/officeDocument/2006/relationships/hyperlink" Target="https://doi.org/10.1093/jxb/ers064" TargetMode="External"/><Relationship Id="rId309" Type="http://schemas.openxmlformats.org/officeDocument/2006/relationships/hyperlink" Target="https://bsapubs.onlinelibrary.wiley.com/doi/pdf/10.3732/ajb.1200068" TargetMode="External"/><Relationship Id="rId460" Type="http://schemas.openxmlformats.org/officeDocument/2006/relationships/comments" Target="../comments2.xml"/><Relationship Id="rId48" Type="http://schemas.openxmlformats.org/officeDocument/2006/relationships/hyperlink" Target="https://link.springer.com/article/10.1007/BF03049901" TargetMode="External"/><Relationship Id="rId113" Type="http://schemas.openxmlformats.org/officeDocument/2006/relationships/hyperlink" Target="https://www.jstage.jst.go.jp/article/cytologia1929/64/4/64_4_435/_article/-char/ja/" TargetMode="External"/><Relationship Id="rId320" Type="http://schemas.openxmlformats.org/officeDocument/2006/relationships/hyperlink" Target="https://doi.org/10.1271/bbb.120943" TargetMode="External"/><Relationship Id="rId155" Type="http://schemas.openxmlformats.org/officeDocument/2006/relationships/hyperlink" Target="https://link.springer.com/article/10.1007%2Fs00122-003-1212-5" TargetMode="External"/><Relationship Id="rId197" Type="http://schemas.openxmlformats.org/officeDocument/2006/relationships/hyperlink" Target="https://doi.org/10.1139/G05-089" TargetMode="External"/><Relationship Id="rId362" Type="http://schemas.openxmlformats.org/officeDocument/2006/relationships/hyperlink" Target="https://doi.org/10.1186/s12864-015-1326-6" TargetMode="External"/><Relationship Id="rId418" Type="http://schemas.openxmlformats.org/officeDocument/2006/relationships/hyperlink" Target="https://doi.org/10.3390/molecules23051048" TargetMode="External"/><Relationship Id="rId222" Type="http://schemas.openxmlformats.org/officeDocument/2006/relationships/hyperlink" Target="https://doi.org/10.1038/nature06856" TargetMode="External"/><Relationship Id="rId264" Type="http://schemas.openxmlformats.org/officeDocument/2006/relationships/hyperlink" Target="https://doi.org/10.1002/bies.200900124" TargetMode="External"/><Relationship Id="rId17" Type="http://schemas.openxmlformats.org/officeDocument/2006/relationships/hyperlink" Target="https://www.jstor.org/stable/2445260?seq=1" TargetMode="External"/><Relationship Id="rId59" Type="http://schemas.openxmlformats.org/officeDocument/2006/relationships/hyperlink" Target="https://www.sciencedirect.com/science/article/abs/pii/S0065266008601637" TargetMode="External"/><Relationship Id="rId124" Type="http://schemas.openxmlformats.org/officeDocument/2006/relationships/hyperlink" Target="https://academic.oup.com/dnaresearch/article/7/3/165/343815" TargetMode="External"/><Relationship Id="rId70" Type="http://schemas.openxmlformats.org/officeDocument/2006/relationships/hyperlink" Target="https://www.nature.com/articles/hdy197299.pdf" TargetMode="External"/><Relationship Id="rId166" Type="http://schemas.openxmlformats.org/officeDocument/2006/relationships/hyperlink" Target="https://www.researchgate.net/publication/10787588_Characterization_of_telomere-subtelomere_junctions_in_Silene_latifolia" TargetMode="External"/><Relationship Id="rId331" Type="http://schemas.openxmlformats.org/officeDocument/2006/relationships/hyperlink" Target="https://www.sciencedirect.com/science/article/pii/S0960982214009051" TargetMode="External"/><Relationship Id="rId373" Type="http://schemas.openxmlformats.org/officeDocument/2006/relationships/hyperlink" Target="https://doi.org/10.1508/cytologia.81.349" TargetMode="External"/><Relationship Id="rId429" Type="http://schemas.openxmlformats.org/officeDocument/2006/relationships/hyperlink" Target="https://onlinelibrary.wiley.com/doi/10.1111/mec.14562" TargetMode="External"/><Relationship Id="rId1" Type="http://schemas.openxmlformats.org/officeDocument/2006/relationships/hyperlink" Target="https://doi.org/10.1098/rstb.2021.0229" TargetMode="External"/><Relationship Id="rId233" Type="http://schemas.openxmlformats.org/officeDocument/2006/relationships/hyperlink" Target="https://doi.org/10.1534/genetics.107.085670" TargetMode="External"/><Relationship Id="rId440" Type="http://schemas.openxmlformats.org/officeDocument/2006/relationships/hyperlink" Target="https://www.ncbi.nlm.nih.gov/pubmed/30289430" TargetMode="External"/><Relationship Id="rId28" Type="http://schemas.openxmlformats.org/officeDocument/2006/relationships/hyperlink" Target="https://www.biorxiv.org/content/10.1101/2020.07.03.163634v2.full.pdf" TargetMode="External"/><Relationship Id="rId275" Type="http://schemas.openxmlformats.org/officeDocument/2006/relationships/hyperlink" Target="https://link.springer.com/content/pdf/10.1007%2Fs10681-011-0419-9.pdf" TargetMode="External"/><Relationship Id="rId300" Type="http://schemas.openxmlformats.org/officeDocument/2006/relationships/hyperlink" Target="https://doi.org/10.1534/g3.111.001420" TargetMode="External"/><Relationship Id="rId81" Type="http://schemas.openxmlformats.org/officeDocument/2006/relationships/hyperlink" Target="http://agris.fao.org/agris-search/search.do?recordID=US201302002024" TargetMode="External"/><Relationship Id="rId135" Type="http://schemas.openxmlformats.org/officeDocument/2006/relationships/hyperlink" Target="https://www.jstage.jst.go.jp/article/jsbbs/51/4/51_4_219/_pdf" TargetMode="External"/><Relationship Id="rId177" Type="http://schemas.openxmlformats.org/officeDocument/2006/relationships/hyperlink" Target="https://www.researchgate.net/publication/286981393_Identification_of_a_long_Y-chromosome_enriched_repetitive_sequence_in_Rumex_acetosa_L" TargetMode="External"/><Relationship Id="rId342" Type="http://schemas.openxmlformats.org/officeDocument/2006/relationships/hyperlink" Target="https://doi.org/10.1159/000362142" TargetMode="External"/><Relationship Id="rId384" Type="http://schemas.openxmlformats.org/officeDocument/2006/relationships/hyperlink" Target="https://doi.org/10.1371/journal.pone.0180542" TargetMode="External"/><Relationship Id="rId202" Type="http://schemas.openxmlformats.org/officeDocument/2006/relationships/hyperlink" Target="https://doi.org/10.1007/s00438-006-0140-x" TargetMode="External"/><Relationship Id="rId244" Type="http://schemas.openxmlformats.org/officeDocument/2006/relationships/hyperlink" Target="http://www.plantphysiol.org/cgi/doi/10.1104/pp.109.142984" TargetMode="External"/><Relationship Id="rId39" Type="http://schemas.openxmlformats.org/officeDocument/2006/relationships/hyperlink" Target="https://www.nature.com/articles/112687c0" TargetMode="External"/><Relationship Id="rId286" Type="http://schemas.openxmlformats.org/officeDocument/2006/relationships/hyperlink" Target="https://doi.org/10.1007/s00497-012-0191-6" TargetMode="External"/><Relationship Id="rId451" Type="http://schemas.openxmlformats.org/officeDocument/2006/relationships/hyperlink" Target="https://doi.org/10.1111/nph.15421" TargetMode="External"/><Relationship Id="rId50" Type="http://schemas.openxmlformats.org/officeDocument/2006/relationships/hyperlink" Target="https://www.nature.com/articles/170330a0" TargetMode="External"/><Relationship Id="rId104" Type="http://schemas.openxmlformats.org/officeDocument/2006/relationships/hyperlink" Target="https://www.ncbi.nlm.nih.gov/pubmed/9177037" TargetMode="External"/><Relationship Id="rId146" Type="http://schemas.openxmlformats.org/officeDocument/2006/relationships/hyperlink" Target="https://link.springer.com/article/10.1023/A:1020361424758" TargetMode="External"/><Relationship Id="rId188" Type="http://schemas.openxmlformats.org/officeDocument/2006/relationships/hyperlink" Target="http://www.ndsl.kr/ndsl/search/detail/article/articleSearchResultDetail.do?cn=JAKO200503018546440" TargetMode="External"/><Relationship Id="rId311" Type="http://schemas.openxmlformats.org/officeDocument/2006/relationships/hyperlink" Target="https://doi.org/10.1111/j.1438-8677.2012.00673.x" TargetMode="External"/><Relationship Id="rId353" Type="http://schemas.openxmlformats.org/officeDocument/2006/relationships/hyperlink" Target="https://www.tandfonline.com/doi/abs/10.1080/14620316.2015.11513191?journalCode=thsb20" TargetMode="External"/><Relationship Id="rId395" Type="http://schemas.openxmlformats.org/officeDocument/2006/relationships/hyperlink" Target="https://doi.org/10.1093/gbe/evw303" TargetMode="External"/><Relationship Id="rId409" Type="http://schemas.openxmlformats.org/officeDocument/2006/relationships/hyperlink" Target="https://doi.org/10.1093/molbev/msx144" TargetMode="External"/><Relationship Id="rId92" Type="http://schemas.openxmlformats.org/officeDocument/2006/relationships/hyperlink" Target="https://doi.org/10.1105/tpc.6.12.1775" TargetMode="External"/><Relationship Id="rId213" Type="http://schemas.openxmlformats.org/officeDocument/2006/relationships/hyperlink" Target="https://www.pnas.org/content/pnas/104/15/6472.full.pdf" TargetMode="External"/><Relationship Id="rId420" Type="http://schemas.openxmlformats.org/officeDocument/2006/relationships/hyperlink" Target="https://www.nature.com/articles/s41467-018-07728-3"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oi.org/10.1093/emboj/18.15.4169" TargetMode="External"/><Relationship Id="rId299" Type="http://schemas.openxmlformats.org/officeDocument/2006/relationships/hyperlink" Target="https://doi.org/10.1371/journal.pone.0031898" TargetMode="External"/><Relationship Id="rId21" Type="http://schemas.openxmlformats.org/officeDocument/2006/relationships/hyperlink" Target="https://www.jstage.jst.go.jp/article/cytologia1929/63/4/63_4_459/_pdf" TargetMode="External"/><Relationship Id="rId63" Type="http://schemas.openxmlformats.org/officeDocument/2006/relationships/hyperlink" Target="https://doi.org/10.5586/asbp.1970.043" TargetMode="External"/><Relationship Id="rId159" Type="http://schemas.openxmlformats.org/officeDocument/2006/relationships/hyperlink" Target="https://www.nature.com/articles/6800327" TargetMode="External"/><Relationship Id="rId324" Type="http://schemas.openxmlformats.org/officeDocument/2006/relationships/hyperlink" Target="https://doi.org/10.1186/1471-2164-15-20" TargetMode="External"/><Relationship Id="rId366" Type="http://schemas.openxmlformats.org/officeDocument/2006/relationships/hyperlink" Target="https://doi.org/10.1038/srep09076" TargetMode="External"/><Relationship Id="rId170" Type="http://schemas.openxmlformats.org/officeDocument/2006/relationships/hyperlink" Target="https://doi.org/10.1098/rspb.2003.2580" TargetMode="External"/><Relationship Id="rId226" Type="http://schemas.openxmlformats.org/officeDocument/2006/relationships/hyperlink" Target="https://doi.org/10.1159/000121075" TargetMode="External"/><Relationship Id="rId433" Type="http://schemas.openxmlformats.org/officeDocument/2006/relationships/hyperlink" Target="https://www.biorxiv.org/content/10.1101/721324v1" TargetMode="External"/><Relationship Id="rId268" Type="http://schemas.openxmlformats.org/officeDocument/2006/relationships/hyperlink" Target="https://doi.org/10.1159/000328831" TargetMode="External"/><Relationship Id="rId32" Type="http://schemas.openxmlformats.org/officeDocument/2006/relationships/hyperlink" Target="https://doi.org/10.1111/tpj.15150" TargetMode="External"/><Relationship Id="rId74" Type="http://schemas.openxmlformats.org/officeDocument/2006/relationships/hyperlink" Target="https://link.springer.com/article/10.1007/BF00332532" TargetMode="External"/><Relationship Id="rId128" Type="http://schemas.openxmlformats.org/officeDocument/2006/relationships/hyperlink" Target="https://www.ncbi.nlm.nih.gov/pubmed/10791829" TargetMode="External"/><Relationship Id="rId335" Type="http://schemas.openxmlformats.org/officeDocument/2006/relationships/hyperlink" Target="https://doi.org/10.1086/677229" TargetMode="External"/><Relationship Id="rId377" Type="http://schemas.openxmlformats.org/officeDocument/2006/relationships/hyperlink" Target="https://doi.org/10.1515/abcsb-2016-0017" TargetMode="External"/><Relationship Id="rId5" Type="http://schemas.openxmlformats.org/officeDocument/2006/relationships/hyperlink" Target="https://link.springer.com/article/10.1007/s10681-011-0527-6" TargetMode="External"/><Relationship Id="rId181" Type="http://schemas.openxmlformats.org/officeDocument/2006/relationships/hyperlink" Target="http://www.demeter.org.es/pdf/investi_a/In_situ_Hybridisierung_an_Hanf_Chromosomen.pdf" TargetMode="External"/><Relationship Id="rId237" Type="http://schemas.openxmlformats.org/officeDocument/2006/relationships/hyperlink" Target="https://onlinelibrary.wiley.com/doi/full/10.1111/j.1755-0998.2009.02570.x" TargetMode="External"/><Relationship Id="rId402" Type="http://schemas.openxmlformats.org/officeDocument/2006/relationships/hyperlink" Target="https://doi.org/10.1016/j.sjbs.2017.08.002" TargetMode="External"/><Relationship Id="rId279" Type="http://schemas.openxmlformats.org/officeDocument/2006/relationships/hyperlink" Target="https://doi.org/10.1139/G10-115" TargetMode="External"/><Relationship Id="rId444" Type="http://schemas.openxmlformats.org/officeDocument/2006/relationships/hyperlink" Target="https://www.tandfonline.com/doi/full/10.1080/14620316.2018.1538707?scroll=top&amp;needAccess=true" TargetMode="External"/><Relationship Id="rId43" Type="http://schemas.openxmlformats.org/officeDocument/2006/relationships/hyperlink" Target="http://caliban.mpipz.mpg.de/correns/pflanzen_vererbung/correns_vererbung_pflanzen.pdf" TargetMode="External"/><Relationship Id="rId139" Type="http://schemas.openxmlformats.org/officeDocument/2006/relationships/hyperlink" Target="http://www.genetics.org/content/158/3/1269" TargetMode="External"/><Relationship Id="rId290" Type="http://schemas.openxmlformats.org/officeDocument/2006/relationships/hyperlink" Target="https://doi.org/10.3897/CompCytogen.v6i3.3261" TargetMode="External"/><Relationship Id="rId304" Type="http://schemas.openxmlformats.org/officeDocument/2006/relationships/hyperlink" Target="https://link.springer.com/article/10.1007%2Fs00438-013-0747-7" TargetMode="External"/><Relationship Id="rId346" Type="http://schemas.openxmlformats.org/officeDocument/2006/relationships/hyperlink" Target="https://doi.org/10.1007/s10681-014-1136-y" TargetMode="External"/><Relationship Id="rId388" Type="http://schemas.openxmlformats.org/officeDocument/2006/relationships/hyperlink" Target="https://www.ncbi.nlm.nih.gov/pmc/articles/PMC5264649/" TargetMode="External"/><Relationship Id="rId85" Type="http://schemas.openxmlformats.org/officeDocument/2006/relationships/hyperlink" Target="https://www.jstage.jst.go.jp/article/ggs1921/63/5/63_5_413/_article/-char/ja/" TargetMode="External"/><Relationship Id="rId150" Type="http://schemas.openxmlformats.org/officeDocument/2006/relationships/hyperlink" Target="http://www.genetics.org/content/160/2/717.long" TargetMode="External"/><Relationship Id="rId192" Type="http://schemas.openxmlformats.org/officeDocument/2006/relationships/hyperlink" Target="https://doi.org/10.1093/pcp/pci080" TargetMode="External"/><Relationship Id="rId206" Type="http://schemas.openxmlformats.org/officeDocument/2006/relationships/hyperlink" Target="https://www.jstor.org/stable/24097568?seq=1" TargetMode="External"/><Relationship Id="rId413" Type="http://schemas.openxmlformats.org/officeDocument/2006/relationships/hyperlink" Target="https://doi.org/10.1105/tpc.17.00787" TargetMode="External"/><Relationship Id="rId248" Type="http://schemas.openxmlformats.org/officeDocument/2006/relationships/hyperlink" Target="https://www.genetics.org/content/182/4/1109" TargetMode="External"/><Relationship Id="rId455" Type="http://schemas.openxmlformats.org/officeDocument/2006/relationships/hyperlink" Target="https://academic.oup.com/gbe/article/11/2/350/5288778" TargetMode="External"/><Relationship Id="rId12" Type="http://schemas.openxmlformats.org/officeDocument/2006/relationships/hyperlink" Target="https://www.jstor.org/stable/3240149?seq=1" TargetMode="External"/><Relationship Id="rId108" Type="http://schemas.openxmlformats.org/officeDocument/2006/relationships/hyperlink" Target="https://link.springer.com/article/10.1007%2Fs001220050995" TargetMode="External"/><Relationship Id="rId315" Type="http://schemas.openxmlformats.org/officeDocument/2006/relationships/hyperlink" Target="https://onlinelibrary.wiley.com/doi/full/10.1111/mec.12011" TargetMode="External"/><Relationship Id="rId357" Type="http://schemas.openxmlformats.org/officeDocument/2006/relationships/hyperlink" Target="https://www.ncbi.nlm.nih.gov/pmc/articles/PMC4815579/pdf/hdy201495a.pdf" TargetMode="External"/><Relationship Id="rId54" Type="http://schemas.openxmlformats.org/officeDocument/2006/relationships/hyperlink" Target="https://academic.oup.com/jhered/article-abstract/48/6/290/905759/" TargetMode="External"/><Relationship Id="rId96" Type="http://schemas.openxmlformats.org/officeDocument/2006/relationships/hyperlink" Target="https://doi.org/10.1105/tpc.7.10.1583" TargetMode="External"/><Relationship Id="rId161" Type="http://schemas.openxmlformats.org/officeDocument/2006/relationships/hyperlink" Target="https://www.ncbi.nlm.nih.gov/pmc/articles/PMC1462768/" TargetMode="External"/><Relationship Id="rId217" Type="http://schemas.openxmlformats.org/officeDocument/2006/relationships/hyperlink" Target="https://doi.org/10.1055/s-2006-924728" TargetMode="External"/><Relationship Id="rId399" Type="http://schemas.openxmlformats.org/officeDocument/2006/relationships/hyperlink" Target="https://www.tandfonline.com/doi/abs/10.1080/00087114.2017.1339174?journalCode=tcar20" TargetMode="External"/><Relationship Id="rId259" Type="http://schemas.openxmlformats.org/officeDocument/2006/relationships/hyperlink" Target="https://www.ncbi.nlm.nih.gov/pmc/articles/PMC2880461/pdf/nihms-197056.pdf" TargetMode="External"/><Relationship Id="rId424" Type="http://schemas.openxmlformats.org/officeDocument/2006/relationships/hyperlink" Target="https://www.ncbi.nlm.nih.gov/pmc/articles/PMC6162277/" TargetMode="External"/><Relationship Id="rId23" Type="http://schemas.openxmlformats.org/officeDocument/2006/relationships/hyperlink" Target="https://bmcplantbiol.biomedcentral.com/articles/10.1186/s12870-014-0229-z" TargetMode="External"/><Relationship Id="rId119" Type="http://schemas.openxmlformats.org/officeDocument/2006/relationships/hyperlink" Target="https://www.ncbi.nlm.nih.gov/pubmed/10189703" TargetMode="External"/><Relationship Id="rId270" Type="http://schemas.openxmlformats.org/officeDocument/2006/relationships/hyperlink" Target="https://doi.org/10.1073/pnas.171304798" TargetMode="External"/><Relationship Id="rId326" Type="http://schemas.openxmlformats.org/officeDocument/2006/relationships/hyperlink" Target="https://doi.org/10.1016/j.scienta.2014.06.041" TargetMode="External"/><Relationship Id="rId65" Type="http://schemas.openxmlformats.org/officeDocument/2006/relationships/hyperlink" Target="https://www.degruyter.com/view/j/botm.1971.14.issue-2/botm.1971.14.2.113/botm.1971.14.2.113.xml" TargetMode="External"/><Relationship Id="rId130" Type="http://schemas.openxmlformats.org/officeDocument/2006/relationships/hyperlink" Target="https://doi.org/10.1007/s004970050009" TargetMode="External"/><Relationship Id="rId368" Type="http://schemas.openxmlformats.org/officeDocument/2006/relationships/hyperlink" Target="https://www.ias.ac.in/article/fulltext/jgen/094/04/0793-0808" TargetMode="External"/><Relationship Id="rId172" Type="http://schemas.openxmlformats.org/officeDocument/2006/relationships/hyperlink" Target="https://doi.org/10.1007/BF02805244" TargetMode="External"/><Relationship Id="rId228" Type="http://schemas.openxmlformats.org/officeDocument/2006/relationships/hyperlink" Target="https://doi.org/10.1007/s10577-008-1254-2" TargetMode="External"/><Relationship Id="rId435" Type="http://schemas.openxmlformats.org/officeDocument/2006/relationships/hyperlink" Target="https://link.springer.com/content/pdf/10.1007%2Fs13237-019-00297-w.pdf" TargetMode="External"/><Relationship Id="rId281" Type="http://schemas.openxmlformats.org/officeDocument/2006/relationships/hyperlink" Target="https://doi.org/10.1038/hdy.2010.76" TargetMode="External"/><Relationship Id="rId337" Type="http://schemas.openxmlformats.org/officeDocument/2006/relationships/hyperlink" Target="https://doi.org/10.1186/1471-2164-15-285" TargetMode="External"/><Relationship Id="rId34" Type="http://schemas.openxmlformats.org/officeDocument/2006/relationships/hyperlink" Target="https://www.nature.com/articles/s41437-020-00397-3" TargetMode="External"/><Relationship Id="rId76" Type="http://schemas.openxmlformats.org/officeDocument/2006/relationships/hyperlink" Target="https://ci.nii.ac.jp/naid/10021852346/" TargetMode="External"/><Relationship Id="rId141" Type="http://schemas.openxmlformats.org/officeDocument/2006/relationships/hyperlink" Target="https://bioone.org/journals/The-Bryologist/volume-104/issue-4/0007-2745(2001)104%5b0543:IODRST%5d2.0.CO;2/Identification-of-DNA-Regions-Specific-to-the-X-and-Y/10.1639/0007-2745(2001)104%5b0543:IODRST%5d2.0.CO;2.full" TargetMode="External"/><Relationship Id="rId379" Type="http://schemas.openxmlformats.org/officeDocument/2006/relationships/hyperlink" Target="https://www.sciencedirect.com/science/article/pii/S0304423816300553" TargetMode="External"/><Relationship Id="rId7" Type="http://schemas.openxmlformats.org/officeDocument/2006/relationships/hyperlink" Target="https://academic.oup.com/mbe/article/38/3/968/5919079" TargetMode="External"/><Relationship Id="rId183" Type="http://schemas.openxmlformats.org/officeDocument/2006/relationships/hyperlink" Target="https://doi.org/10.17660/ActaHortic.2005.668.11" TargetMode="External"/><Relationship Id="rId239" Type="http://schemas.openxmlformats.org/officeDocument/2006/relationships/hyperlink" Target="https://doi.org/10.1111/j.1420-9101.2008.01641.x" TargetMode="External"/><Relationship Id="rId390" Type="http://schemas.openxmlformats.org/officeDocument/2006/relationships/hyperlink" Target="https://doi.org/10.1016/j.gene.2017.05.058" TargetMode="External"/><Relationship Id="rId404" Type="http://schemas.openxmlformats.org/officeDocument/2006/relationships/hyperlink" Target="https://doi.org/10.1038/srep45388" TargetMode="External"/><Relationship Id="rId446" Type="http://schemas.openxmlformats.org/officeDocument/2006/relationships/hyperlink" Target="https://www.nature.com/articles/s41598-019-45039-9.pdf?origin=ppub" TargetMode="External"/><Relationship Id="rId250" Type="http://schemas.openxmlformats.org/officeDocument/2006/relationships/hyperlink" Target="https://doi.org/10.1093/pcp/pcp064" TargetMode="External"/><Relationship Id="rId292" Type="http://schemas.openxmlformats.org/officeDocument/2006/relationships/hyperlink" Target="https://www.researchgate.net/publication/260430737_Development_of_an_ISSR_based_STS_marker_for_sex_identification_in_pointed_gourd_Trichosanthes_dioica_Roxb" TargetMode="External"/><Relationship Id="rId306" Type="http://schemas.openxmlformats.org/officeDocument/2006/relationships/hyperlink" Target="https://doi.org/10.1038/hdy.2012.96" TargetMode="External"/><Relationship Id="rId45" Type="http://schemas.openxmlformats.org/officeDocument/2006/relationships/hyperlink" Target="https://www.genetics.org/content/genetics/21/3/282.full.pdf" TargetMode="External"/><Relationship Id="rId87" Type="http://schemas.openxmlformats.org/officeDocument/2006/relationships/hyperlink" Target="https://doi.org/10.1016/0168-9452(91)90272-A" TargetMode="External"/><Relationship Id="rId110" Type="http://schemas.openxmlformats.org/officeDocument/2006/relationships/hyperlink" Target="https://www.jstor.org/stable/2446304" TargetMode="External"/><Relationship Id="rId348" Type="http://schemas.openxmlformats.org/officeDocument/2006/relationships/hyperlink" Target="https://doi.org/10.1093/dnares/dsv019" TargetMode="External"/><Relationship Id="rId152" Type="http://schemas.openxmlformats.org/officeDocument/2006/relationships/hyperlink" Target="https://doi.org/10.1139/G01-151" TargetMode="External"/><Relationship Id="rId194" Type="http://schemas.openxmlformats.org/officeDocument/2006/relationships/hyperlink" Target="https://doi.org/10.1534/genetics.105.040444" TargetMode="External"/><Relationship Id="rId208" Type="http://schemas.openxmlformats.org/officeDocument/2006/relationships/hyperlink" Target="https://www.researchgate.net/publication/247836789_Average_Packing_Ratio_and_Evolution_of_Sex_Chromosomes_in_Dioecious_Coccinia_indica_and_Trichosanthes_dioica" TargetMode="External"/><Relationship Id="rId415" Type="http://schemas.openxmlformats.org/officeDocument/2006/relationships/hyperlink" Target="https://doi.org/10.1371/journal.pone.0194605" TargetMode="External"/><Relationship Id="rId457" Type="http://schemas.openxmlformats.org/officeDocument/2006/relationships/hyperlink" Target="https://onlinelibrary.wiley.com/doi/full/10.1111/gcbb.12667" TargetMode="External"/><Relationship Id="rId261" Type="http://schemas.openxmlformats.org/officeDocument/2006/relationships/hyperlink" Target="https://www.uv.es/jgpausas/teach/harris-Pannell-2010-JEcol_Leucadendron-serotiny-sexual-dimorphism-dioecy.pdf" TargetMode="External"/><Relationship Id="rId14" Type="http://schemas.openxmlformats.org/officeDocument/2006/relationships/hyperlink" Target="https://edepot.wur.nl/294770" TargetMode="External"/><Relationship Id="rId56" Type="http://schemas.openxmlformats.org/officeDocument/2006/relationships/hyperlink" Target="https://onlinelibrary.wiley.com/doi/pdf/10.1111/j.1601-5223.1957.tb03454.x" TargetMode="External"/><Relationship Id="rId317" Type="http://schemas.openxmlformats.org/officeDocument/2006/relationships/hyperlink" Target="https://doi.org/10.1371/journal.pone.0060181" TargetMode="External"/><Relationship Id="rId359" Type="http://schemas.openxmlformats.org/officeDocument/2006/relationships/hyperlink" Target="https://www.ncbi.nlm.nih.gov/pmc/articles/PMC4317651/pdf/413.pdf" TargetMode="External"/><Relationship Id="rId98" Type="http://schemas.openxmlformats.org/officeDocument/2006/relationships/hyperlink" Target="https://www.ncbi.nlm.nih.gov/pubmed/8893544" TargetMode="External"/><Relationship Id="rId121" Type="http://schemas.openxmlformats.org/officeDocument/2006/relationships/hyperlink" Target="https://link.springer.com/article/10.1007/s004970000049" TargetMode="External"/><Relationship Id="rId163" Type="http://schemas.openxmlformats.org/officeDocument/2006/relationships/hyperlink" Target="http://www.genetics.org/content/163/1/321.long" TargetMode="External"/><Relationship Id="rId219" Type="http://schemas.openxmlformats.org/officeDocument/2006/relationships/hyperlink" Target="https://doi.org/10.1534/genetics.107.071175" TargetMode="External"/><Relationship Id="rId370" Type="http://schemas.openxmlformats.org/officeDocument/2006/relationships/hyperlink" Target="https://www.nature.com/articles/hdy2014125.pdf" TargetMode="External"/><Relationship Id="rId426" Type="http://schemas.openxmlformats.org/officeDocument/2006/relationships/hyperlink" Target="https://www.ncbi.nlm.nih.gov/pmc/articles/PMC6128410/" TargetMode="External"/><Relationship Id="rId230" Type="http://schemas.openxmlformats.org/officeDocument/2006/relationships/hyperlink" Target="https://doi.org/10.1508/cytologia.73.159" TargetMode="External"/><Relationship Id="rId25" Type="http://schemas.openxmlformats.org/officeDocument/2006/relationships/hyperlink" Target="https://academic.oup.com/aob/article/119/4/591/2932070" TargetMode="External"/><Relationship Id="rId67" Type="http://schemas.openxmlformats.org/officeDocument/2006/relationships/hyperlink" Target="https://link.springer.com/article/10.1007/BF00277336" TargetMode="External"/><Relationship Id="rId272" Type="http://schemas.openxmlformats.org/officeDocument/2006/relationships/hyperlink" Target="https://doi.org/10.1139/b11-025" TargetMode="External"/><Relationship Id="rId328" Type="http://schemas.openxmlformats.org/officeDocument/2006/relationships/hyperlink" Target="https://link.springer.com/article/10.1007%2Fs13237-014-0114-z" TargetMode="External"/><Relationship Id="rId132" Type="http://schemas.openxmlformats.org/officeDocument/2006/relationships/hyperlink" Target="http://www.genetics.org/content/159/3/981" TargetMode="External"/><Relationship Id="rId174" Type="http://schemas.openxmlformats.org/officeDocument/2006/relationships/hyperlink" Target="https://doi.org/10.1371/journal.pbio.0030004" TargetMode="External"/><Relationship Id="rId381" Type="http://schemas.openxmlformats.org/officeDocument/2006/relationships/hyperlink" Target="https://link.springer.com/article/10.1007/s00425-016-2485-7" TargetMode="External"/><Relationship Id="rId241" Type="http://schemas.openxmlformats.org/officeDocument/2006/relationships/hyperlink" Target="https://link.springer.com/article/10.1007/s11461-009-0037-z" TargetMode="External"/><Relationship Id="rId437" Type="http://schemas.openxmlformats.org/officeDocument/2006/relationships/hyperlink" Target="https://doi.org/10.1038/s41437-018-0084-z" TargetMode="External"/><Relationship Id="rId36" Type="http://schemas.openxmlformats.org/officeDocument/2006/relationships/hyperlink" Target="https://doi.org/10.1038/s41477-021-00884-3" TargetMode="External"/><Relationship Id="rId283" Type="http://schemas.openxmlformats.org/officeDocument/2006/relationships/hyperlink" Target="https://doi.org/10.1371/journal.pone.0018972" TargetMode="External"/><Relationship Id="rId339" Type="http://schemas.openxmlformats.org/officeDocument/2006/relationships/hyperlink" Target="https://doi.org/10.1111/plb.12048" TargetMode="External"/><Relationship Id="rId78" Type="http://schemas.openxmlformats.org/officeDocument/2006/relationships/hyperlink" Target="https://www.jstage.jst.go.jp/article/cytologia1929/45/4/45_4_739/_pdf" TargetMode="External"/><Relationship Id="rId101" Type="http://schemas.openxmlformats.org/officeDocument/2006/relationships/hyperlink" Target="https://www.ncbi.nlm.nih.gov/pubmed/9088644" TargetMode="External"/><Relationship Id="rId143" Type="http://schemas.openxmlformats.org/officeDocument/2006/relationships/hyperlink" Target="https://link.springer.com/article/10.1023%2FA%3A1020204729122" TargetMode="External"/><Relationship Id="rId185" Type="http://schemas.openxmlformats.org/officeDocument/2006/relationships/hyperlink" Target="https://onlinelibrary.wiley.com/doi/full/10.1111/j.1365-313X.2005.02336.x" TargetMode="External"/><Relationship Id="rId350" Type="http://schemas.openxmlformats.org/officeDocument/2006/relationships/hyperlink" Target="https://link.springer.com/article/10.1007%2Fs00438-015-1000-3" TargetMode="External"/><Relationship Id="rId406" Type="http://schemas.openxmlformats.org/officeDocument/2006/relationships/hyperlink" Target="https://www.ncbi.nlm.nih.gov/pmc/articles/PMC5737746/pdf/evx254.pdf" TargetMode="External"/><Relationship Id="rId9" Type="http://schemas.openxmlformats.org/officeDocument/2006/relationships/hyperlink" Target="https://doi.org/10.1111/j.1601-5223.1944.tb03303.x" TargetMode="External"/><Relationship Id="rId210" Type="http://schemas.openxmlformats.org/officeDocument/2006/relationships/hyperlink" Target="https://doi.org/10.1534/genetics.107.075424" TargetMode="External"/><Relationship Id="rId392" Type="http://schemas.openxmlformats.org/officeDocument/2006/relationships/hyperlink" Target="https://doi.org/10.1186/s12915-017-0419-x" TargetMode="External"/><Relationship Id="rId448" Type="http://schemas.openxmlformats.org/officeDocument/2006/relationships/hyperlink" Target="https://www.nature.com/articles/s41438-019-0121-y" TargetMode="External"/><Relationship Id="rId252" Type="http://schemas.openxmlformats.org/officeDocument/2006/relationships/hyperlink" Target="https://academicjournals.org/article/article1380626535_Kim%20et%20al.pdf" TargetMode="External"/><Relationship Id="rId294" Type="http://schemas.openxmlformats.org/officeDocument/2006/relationships/hyperlink" Target="https://pubag.nal.usda.gov/catalog/1228889" TargetMode="External"/><Relationship Id="rId308" Type="http://schemas.openxmlformats.org/officeDocument/2006/relationships/hyperlink" Target="https://www.ncbi.nlm.nih.gov/pmc/articles/PMC3547029/" TargetMode="External"/><Relationship Id="rId47" Type="http://schemas.openxmlformats.org/officeDocument/2006/relationships/hyperlink" Target="https://www.ncbi.nlm.nih.gov/pmc/articles/PMC1209100/pdf/409.pdf" TargetMode="External"/><Relationship Id="rId89" Type="http://schemas.openxmlformats.org/officeDocument/2006/relationships/hyperlink" Target="https://reader.elsevier.com/reader/sd/pii/S0024407483710259?token=9B3377CC8D492AE08FD0F55B2F4A6A63A1410DD270B22E7AC4F9D8A0A83C4105C92FCA22CFEFDF53735716F27EA4F63A" TargetMode="External"/><Relationship Id="rId112" Type="http://schemas.openxmlformats.org/officeDocument/2006/relationships/hyperlink" Target="https://www.researchgate.net/publication/253672790_Y_chromosome_specific_markers_and_the_evolution_of_dioecy_in_the_genus_Silene" TargetMode="External"/><Relationship Id="rId154" Type="http://schemas.openxmlformats.org/officeDocument/2006/relationships/hyperlink" Target="https://doi.org/10.1007/s00412-002-0213-5" TargetMode="External"/><Relationship Id="rId361" Type="http://schemas.openxmlformats.org/officeDocument/2006/relationships/hyperlink" Target="https://geneticsmr.com/articles/5252" TargetMode="External"/><Relationship Id="rId196" Type="http://schemas.openxmlformats.org/officeDocument/2006/relationships/hyperlink" Target="https://link.springer.com/content/pdf/10.1007%2Fs10681-006-9198-0.pdf" TargetMode="External"/><Relationship Id="rId417" Type="http://schemas.openxmlformats.org/officeDocument/2006/relationships/hyperlink" Target="https://doi.org/10.1371/journal.pbio.2006062" TargetMode="External"/><Relationship Id="rId16" Type="http://schemas.openxmlformats.org/officeDocument/2006/relationships/hyperlink" Target="https://doi.org/10.1508/cytologia.36.205" TargetMode="External"/><Relationship Id="rId221" Type="http://schemas.openxmlformats.org/officeDocument/2006/relationships/hyperlink" Target="https://doi.org/10.1111/j.1439-0523.2005.01079.x" TargetMode="External"/><Relationship Id="rId263" Type="http://schemas.openxmlformats.org/officeDocument/2006/relationships/hyperlink" Target="https://doi.org/10.1007/s11295-010-0297-7" TargetMode="External"/><Relationship Id="rId319" Type="http://schemas.openxmlformats.org/officeDocument/2006/relationships/hyperlink" Target="https://onlinelibrary.wiley.com/doi/full/10.1111/evo.12223" TargetMode="External"/><Relationship Id="rId58" Type="http://schemas.openxmlformats.org/officeDocument/2006/relationships/hyperlink" Target="https://link.springer.com/content/pdf/10.1038/1811584a0.pdf" TargetMode="External"/><Relationship Id="rId123" Type="http://schemas.openxmlformats.org/officeDocument/2006/relationships/hyperlink" Target="https://doi.org/10.1046/j.1469-8137.2000.00771.x" TargetMode="External"/><Relationship Id="rId330" Type="http://schemas.openxmlformats.org/officeDocument/2006/relationships/hyperlink" Target="https://www.ncbi.nlm.nih.gov/pmc/articles/PMC4236900/pdf/TSWJ2014-216896.pdf" TargetMode="External"/><Relationship Id="rId165" Type="http://schemas.openxmlformats.org/officeDocument/2006/relationships/hyperlink" Target="https://doi.org/10.1093/dnares/10.5.213" TargetMode="External"/><Relationship Id="rId372" Type="http://schemas.openxmlformats.org/officeDocument/2006/relationships/hyperlink" Target="https://www.ncbi.nlm.nih.gov/pmc/articles/PMC4528323/pdf/1663.pdf" TargetMode="External"/><Relationship Id="rId428" Type="http://schemas.openxmlformats.org/officeDocument/2006/relationships/hyperlink" Target="https://doi.org/10.1007/s00438-018-1473-y" TargetMode="External"/><Relationship Id="rId232" Type="http://schemas.openxmlformats.org/officeDocument/2006/relationships/hyperlink" Target="https://doi.org/10.1139/G08-024" TargetMode="External"/><Relationship Id="rId274" Type="http://schemas.openxmlformats.org/officeDocument/2006/relationships/hyperlink" Target="https://content.sciendo.com/configurable/contentpage/journals$002fcszma$002f60$002f1$002farticle-p1.xml" TargetMode="External"/><Relationship Id="rId27" Type="http://schemas.openxmlformats.org/officeDocument/2006/relationships/hyperlink" Target="https://doi.org/10.1101/517946" TargetMode="External"/><Relationship Id="rId69" Type="http://schemas.openxmlformats.org/officeDocument/2006/relationships/hyperlink" Target="https://doi.org/10.1080/00087114.1972.10796503" TargetMode="External"/><Relationship Id="rId134" Type="http://schemas.openxmlformats.org/officeDocument/2006/relationships/hyperlink" Target="https://www.jstage.jst.go.jp/article/cytologia1929/66/1/66_1_55/_pdf" TargetMode="External"/><Relationship Id="rId80" Type="http://schemas.openxmlformats.org/officeDocument/2006/relationships/hyperlink" Target="https://link.springer.com/article/10.1007/BF02490200" TargetMode="External"/><Relationship Id="rId176" Type="http://schemas.openxmlformats.org/officeDocument/2006/relationships/hyperlink" Target="https://www.researchgate.net/publication/287851210_Variability_of_rDNA_loci_in_dioecious_Rumex_acetosa_L_detected_by_fluorescence_in_situ_hybridization" TargetMode="External"/><Relationship Id="rId341" Type="http://schemas.openxmlformats.org/officeDocument/2006/relationships/hyperlink" Target="https://doi.org/10.1159/000355212" TargetMode="External"/><Relationship Id="rId383" Type="http://schemas.openxmlformats.org/officeDocument/2006/relationships/hyperlink" Target="https://doi.org/10.1038/srep18917" TargetMode="External"/><Relationship Id="rId439" Type="http://schemas.openxmlformats.org/officeDocument/2006/relationships/hyperlink" Target="https://www.embopress.org/doi/full/10.15252/embj.2018100240" TargetMode="External"/><Relationship Id="rId201" Type="http://schemas.openxmlformats.org/officeDocument/2006/relationships/hyperlink" Target="https://doi.org/10.1007/s10709-005-5701-0" TargetMode="External"/><Relationship Id="rId243" Type="http://schemas.openxmlformats.org/officeDocument/2006/relationships/hyperlink" Target="https://doi.org/10.1007/s11295-009-0204-2" TargetMode="External"/><Relationship Id="rId285" Type="http://schemas.openxmlformats.org/officeDocument/2006/relationships/hyperlink" Target="https://doi.org/10.1017/S0021859610000948" TargetMode="External"/><Relationship Id="rId450" Type="http://schemas.openxmlformats.org/officeDocument/2006/relationships/hyperlink" Target="https://link.springer.com/article/10.1007/s00497-019-00378-5" TargetMode="External"/><Relationship Id="rId38" Type="http://schemas.openxmlformats.org/officeDocument/2006/relationships/hyperlink" Target="https://doi.org/10.1126/science.49.1261.218" TargetMode="External"/><Relationship Id="rId103" Type="http://schemas.openxmlformats.org/officeDocument/2006/relationships/hyperlink" Target="https://doi.org/10.1046/j.1365-313X.1997.d01-4.x" TargetMode="External"/><Relationship Id="rId310" Type="http://schemas.openxmlformats.org/officeDocument/2006/relationships/hyperlink" Target="https://doi.org/10.1111/evo.12165" TargetMode="External"/><Relationship Id="rId91" Type="http://schemas.openxmlformats.org/officeDocument/2006/relationships/hyperlink" Target="https://books.google.es/books?hl=es&amp;lr=&amp;id=yov7iUL7OTAC&amp;oi=fnd&amp;pg=PA295&amp;dq=Cytokinins+and+reproductive+organogenesis+in+Mercurialis&amp;ots=0dF_iUKBwc&amp;sig=Dx4xU8tXOAL5s7AVJmuYfOrZXIc" TargetMode="External"/><Relationship Id="rId145" Type="http://schemas.openxmlformats.org/officeDocument/2006/relationships/hyperlink" Target="https://academic.oup.com/nar/article/30/21/4675/1105300" TargetMode="External"/><Relationship Id="rId187" Type="http://schemas.openxmlformats.org/officeDocument/2006/relationships/hyperlink" Target="https://doi.org/10.1016/j.scienta.2004.06.008" TargetMode="External"/><Relationship Id="rId352" Type="http://schemas.openxmlformats.org/officeDocument/2006/relationships/hyperlink" Target="https://phytokeys.pensoft.net/article/5797/" TargetMode="External"/><Relationship Id="rId394" Type="http://schemas.openxmlformats.org/officeDocument/2006/relationships/hyperlink" Target="https://doi.org/10.1111/nph.14711" TargetMode="External"/><Relationship Id="rId408" Type="http://schemas.openxmlformats.org/officeDocument/2006/relationships/hyperlink" Target="https://doi.org/10.1093/gbe/evx174" TargetMode="External"/><Relationship Id="rId212" Type="http://schemas.openxmlformats.org/officeDocument/2006/relationships/hyperlink" Target="https://www.nrcresearchpress.com/doi/abs/10.1139/G07-066" TargetMode="External"/><Relationship Id="rId254" Type="http://schemas.openxmlformats.org/officeDocument/2006/relationships/hyperlink" Target="https://doi.org/10.1055/s-0030-1249978" TargetMode="External"/><Relationship Id="rId49" Type="http://schemas.openxmlformats.org/officeDocument/2006/relationships/hyperlink" Target="https://www.nature.com/articles/163926a0" TargetMode="External"/><Relationship Id="rId114" Type="http://schemas.openxmlformats.org/officeDocument/2006/relationships/hyperlink" Target="https://doi.org/10.1139/g99-001" TargetMode="External"/><Relationship Id="rId296" Type="http://schemas.openxmlformats.org/officeDocument/2006/relationships/hyperlink" Target="https://doi.org/10.1007/s11295-012-0495-6" TargetMode="External"/><Relationship Id="rId60" Type="http://schemas.openxmlformats.org/officeDocument/2006/relationships/hyperlink" Target="https://doi.org/10.1093/oxfordjournals.aob.a083792" TargetMode="External"/><Relationship Id="rId156" Type="http://schemas.openxmlformats.org/officeDocument/2006/relationships/hyperlink" Target="https://www.tandfonline.com/doi/abs/10.1300/J237v08n01_02" TargetMode="External"/><Relationship Id="rId198" Type="http://schemas.openxmlformats.org/officeDocument/2006/relationships/hyperlink" Target="https://doi.org/10.1016/j.gene.2005.10.013" TargetMode="External"/><Relationship Id="rId321" Type="http://schemas.openxmlformats.org/officeDocument/2006/relationships/hyperlink" Target="https://doi.org/10.1371/journal.pone.0097189" TargetMode="External"/><Relationship Id="rId363" Type="http://schemas.openxmlformats.org/officeDocument/2006/relationships/hyperlink" Target="https://doi.org/10.1371/journal.pone.0143861" TargetMode="External"/><Relationship Id="rId419" Type="http://schemas.openxmlformats.org/officeDocument/2006/relationships/hyperlink" Target="https://www.frontiersin.org/articles/10.3389/fpls.2018.01345/full" TargetMode="External"/><Relationship Id="rId223" Type="http://schemas.openxmlformats.org/officeDocument/2006/relationships/hyperlink" Target="https://doi.org/10.1038/hdy.2008.100" TargetMode="External"/><Relationship Id="rId430" Type="http://schemas.openxmlformats.org/officeDocument/2006/relationships/hyperlink" Target="https://doi.org/10.1186/s12864-018-4547-7" TargetMode="External"/><Relationship Id="rId18" Type="http://schemas.openxmlformats.org/officeDocument/2006/relationships/hyperlink" Target="https://link.springer.com/article/10.1007/BF00027515" TargetMode="External"/><Relationship Id="rId265" Type="http://schemas.openxmlformats.org/officeDocument/2006/relationships/hyperlink" Target="https://doi.org/10.1139/g10-008" TargetMode="External"/><Relationship Id="rId125" Type="http://schemas.openxmlformats.org/officeDocument/2006/relationships/hyperlink" Target="https://doi.org/10.1046/j.1365-313x.2000.00882.x" TargetMode="External"/><Relationship Id="rId167" Type="http://schemas.openxmlformats.org/officeDocument/2006/relationships/hyperlink" Target="https://link.springer.com/article/10.1007/s10681-004-4758-7" TargetMode="External"/><Relationship Id="rId332" Type="http://schemas.openxmlformats.org/officeDocument/2006/relationships/hyperlink" Target="https://doi.org/10.2503/jjshs1.CH-109" TargetMode="External"/><Relationship Id="rId374" Type="http://schemas.openxmlformats.org/officeDocument/2006/relationships/hyperlink" Target="https://onlinelibrary.wiley.com/doi/pdf/10.1111/tpj.13254" TargetMode="External"/><Relationship Id="rId71" Type="http://schemas.openxmlformats.org/officeDocument/2006/relationships/hyperlink" Target="https://doi.org/10.1007/BF00265149" TargetMode="External"/><Relationship Id="rId234" Type="http://schemas.openxmlformats.org/officeDocument/2006/relationships/hyperlink" Target="https://www.ncbi.nlm.nih.gov/pubmed/19284545" TargetMode="External"/><Relationship Id="rId2" Type="http://schemas.openxmlformats.org/officeDocument/2006/relationships/hyperlink" Target="https://royalsocietypublishing.org/doi/abs/10.1098/rstb.2021.0219" TargetMode="External"/><Relationship Id="rId29" Type="http://schemas.openxmlformats.org/officeDocument/2006/relationships/hyperlink" Target="https://doi.org/10.1111/1755-0998.13362" TargetMode="External"/><Relationship Id="rId255" Type="http://schemas.openxmlformats.org/officeDocument/2006/relationships/hyperlink" Target="https://doi.org/10.1111/j.1365-313X.2010.04284.x" TargetMode="External"/><Relationship Id="rId276" Type="http://schemas.openxmlformats.org/officeDocument/2006/relationships/hyperlink" Target="https://doi.org/10.1139/X10-206" TargetMode="External"/><Relationship Id="rId297" Type="http://schemas.openxmlformats.org/officeDocument/2006/relationships/hyperlink" Target="https://doi.org/10.1159/000339383" TargetMode="External"/><Relationship Id="rId441" Type="http://schemas.openxmlformats.org/officeDocument/2006/relationships/hyperlink" Target="https://www.ncbi.nlm.nih.gov/pubmed/31504768" TargetMode="External"/><Relationship Id="rId40" Type="http://schemas.openxmlformats.org/officeDocument/2006/relationships/hyperlink" Target="https://pdfs.semanticscholar.org/64a0/a21598c575a7c383cd5619472e562fc3570d.pdf" TargetMode="External"/><Relationship Id="rId115" Type="http://schemas.openxmlformats.org/officeDocument/2006/relationships/hyperlink" Target="https://www.jstor.org/stable/24102845?seq=1" TargetMode="External"/><Relationship Id="rId136" Type="http://schemas.openxmlformats.org/officeDocument/2006/relationships/hyperlink" Target="https://www.ncbi.nlm.nih.gov/pubmed/11729166" TargetMode="External"/><Relationship Id="rId157" Type="http://schemas.openxmlformats.org/officeDocument/2006/relationships/hyperlink" Target="https://doi.org/10.1023/A:1024646818324" TargetMode="External"/><Relationship Id="rId178" Type="http://schemas.openxmlformats.org/officeDocument/2006/relationships/hyperlink" Target="https://doi.org/10.1007/s00122-003-1425-7" TargetMode="External"/><Relationship Id="rId301" Type="http://schemas.openxmlformats.org/officeDocument/2006/relationships/hyperlink" Target="https://doi.org/10.1534/g3.112.003749" TargetMode="External"/><Relationship Id="rId322" Type="http://schemas.openxmlformats.org/officeDocument/2006/relationships/hyperlink" Target="https://doi.org/10.1371/journal.pone.0085118" TargetMode="External"/><Relationship Id="rId343" Type="http://schemas.openxmlformats.org/officeDocument/2006/relationships/hyperlink" Target="https://doi.org/10.1111/nph.12669" TargetMode="External"/><Relationship Id="rId364" Type="http://schemas.openxmlformats.org/officeDocument/2006/relationships/hyperlink" Target="https://link.springer.com/article/10.1007/s11295-015-0904-8" TargetMode="External"/><Relationship Id="rId61" Type="http://schemas.openxmlformats.org/officeDocument/2006/relationships/hyperlink" Target="https://www.genetics.org/content/genetics/48/10/1265.full.pdf" TargetMode="External"/><Relationship Id="rId82" Type="http://schemas.openxmlformats.org/officeDocument/2006/relationships/hyperlink" Target="https://doi.org/10.1080/0028825X.1983.10428565" TargetMode="External"/><Relationship Id="rId199" Type="http://schemas.openxmlformats.org/officeDocument/2006/relationships/hyperlink" Target="https://doi.org/10.1007/s00412-006-0065-5" TargetMode="External"/><Relationship Id="rId203" Type="http://schemas.openxmlformats.org/officeDocument/2006/relationships/hyperlink" Target="https://doi.org/10.1073/pnas.0606622103" TargetMode="External"/><Relationship Id="rId385" Type="http://schemas.openxmlformats.org/officeDocument/2006/relationships/hyperlink" Target="https://www.nature.com/articles/s41467-017-01064-8" TargetMode="External"/><Relationship Id="rId19" Type="http://schemas.openxmlformats.org/officeDocument/2006/relationships/hyperlink" Target="https://doi.org/10.1508/cytologia.60.141" TargetMode="External"/><Relationship Id="rId224" Type="http://schemas.openxmlformats.org/officeDocument/2006/relationships/hyperlink" Target="https://doi.org/10.1007/s11032-007-9114-x" TargetMode="External"/><Relationship Id="rId245" Type="http://schemas.openxmlformats.org/officeDocument/2006/relationships/hyperlink" Target="https://www.nature.com/articles/hdy200917" TargetMode="External"/><Relationship Id="rId266" Type="http://schemas.openxmlformats.org/officeDocument/2006/relationships/hyperlink" Target="https://doi.org/10.1093/pcp/pcp187" TargetMode="External"/><Relationship Id="rId287" Type="http://schemas.openxmlformats.org/officeDocument/2006/relationships/hyperlink" Target="https://link.springer.com/article/10.1007%2Fs10577-012-9312-1" TargetMode="External"/><Relationship Id="rId410" Type="http://schemas.openxmlformats.org/officeDocument/2006/relationships/hyperlink" Target="https://doi.org/10.1016/j.gdata.2017.01.004" TargetMode="External"/><Relationship Id="rId431" Type="http://schemas.openxmlformats.org/officeDocument/2006/relationships/hyperlink" Target="https://link.springer.com/article/10.1007%2Fs00438-017-1405-2" TargetMode="External"/><Relationship Id="rId452" Type="http://schemas.openxmlformats.org/officeDocument/2006/relationships/hyperlink" Target="https://www.frontiersin.org/articles/10.3389/fgene.2019.00440/full" TargetMode="External"/><Relationship Id="rId30" Type="http://schemas.openxmlformats.org/officeDocument/2006/relationships/hyperlink" Target="https://doi.org/10.1111/nph.17662" TargetMode="External"/><Relationship Id="rId105" Type="http://schemas.openxmlformats.org/officeDocument/2006/relationships/hyperlink" Target="https://doi.org/10.1139/g97-793" TargetMode="External"/><Relationship Id="rId126" Type="http://schemas.openxmlformats.org/officeDocument/2006/relationships/hyperlink" Target="https://www.bioversityinternational.org/fileadmin/PGR/article-issue_121-art_11-lang_en.html" TargetMode="External"/><Relationship Id="rId147" Type="http://schemas.openxmlformats.org/officeDocument/2006/relationships/hyperlink" Target="https://onlinelibrary.wiley.com/doi/pdf/10.1034/j.1601-5223.2002.01610.x" TargetMode="External"/><Relationship Id="rId168" Type="http://schemas.openxmlformats.org/officeDocument/2006/relationships/hyperlink" Target="https://www.nature.com/articles/nature02228" TargetMode="External"/><Relationship Id="rId312" Type="http://schemas.openxmlformats.org/officeDocument/2006/relationships/hyperlink" Target="https://nph.onlinelibrary.wiley.com/doi/full/10.1111/nph.12069" TargetMode="External"/><Relationship Id="rId333" Type="http://schemas.openxmlformats.org/officeDocument/2006/relationships/hyperlink" Target="https://science.sciencemag.org/content/346/6209/646" TargetMode="External"/><Relationship Id="rId354" Type="http://schemas.openxmlformats.org/officeDocument/2006/relationships/hyperlink" Target="https://doi.org/10.1371/journal.pone.0124890" TargetMode="External"/><Relationship Id="rId51" Type="http://schemas.openxmlformats.org/officeDocument/2006/relationships/hyperlink" Target="https://www.jstor.org/stable/2438712" TargetMode="External"/><Relationship Id="rId72" Type="http://schemas.openxmlformats.org/officeDocument/2006/relationships/hyperlink" Target="https://nph.onlinelibrary.wiley.com/doi/pdf/10.1111/j.1469-8137.1975.tb01345.x" TargetMode="External"/><Relationship Id="rId93" Type="http://schemas.openxmlformats.org/officeDocument/2006/relationships/hyperlink" Target="https://link.springer.com/article/10.1007/BF00242255" TargetMode="External"/><Relationship Id="rId189" Type="http://schemas.openxmlformats.org/officeDocument/2006/relationships/hyperlink" Target="https://doi.org/10.1007/s00239-004-0199-0" TargetMode="External"/><Relationship Id="rId375" Type="http://schemas.openxmlformats.org/officeDocument/2006/relationships/hyperlink" Target="https://doi.org/10.1111/nph.13983" TargetMode="External"/><Relationship Id="rId396" Type="http://schemas.openxmlformats.org/officeDocument/2006/relationships/hyperlink" Target="http://dx.doi.org/10.1016/j.mcp.2017.05.007" TargetMode="External"/><Relationship Id="rId3" Type="http://schemas.openxmlformats.org/officeDocument/2006/relationships/hyperlink" Target="https://academic.oup.com/aobpla/article/12/1/plz079/5680175" TargetMode="External"/><Relationship Id="rId214" Type="http://schemas.openxmlformats.org/officeDocument/2006/relationships/hyperlink" Target="https://doi.org/10.1016/j.ydbio.2006.09.013" TargetMode="External"/><Relationship Id="rId235" Type="http://schemas.openxmlformats.org/officeDocument/2006/relationships/hyperlink" Target="https://www.jstage.jst.go.jp/article/pjab/85/3/85_3_108/_pdf" TargetMode="External"/><Relationship Id="rId256" Type="http://schemas.openxmlformats.org/officeDocument/2006/relationships/hyperlink" Target="https://www.genetics.org/content/186/4/1425.long" TargetMode="External"/><Relationship Id="rId277" Type="http://schemas.openxmlformats.org/officeDocument/2006/relationships/hyperlink" Target="https://doi.org/10.1146/annurev-arplant-042110-103914" TargetMode="External"/><Relationship Id="rId298" Type="http://schemas.openxmlformats.org/officeDocument/2006/relationships/hyperlink" Target="https://doi.org/10.1186/1471-2164-13-226" TargetMode="External"/><Relationship Id="rId400" Type="http://schemas.openxmlformats.org/officeDocument/2006/relationships/hyperlink" Target="https://www.nature.com/articles/s41598-017-11677-0" TargetMode="External"/><Relationship Id="rId421" Type="http://schemas.openxmlformats.org/officeDocument/2006/relationships/hyperlink" Target="https://genomebiology.biomedcentral.com/articles/10.1186/s13059-017-1383-z" TargetMode="External"/><Relationship Id="rId442" Type="http://schemas.openxmlformats.org/officeDocument/2006/relationships/hyperlink" Target="https://nph.onlinelibrary.wiley.com/doi/full/10.1111/nph.16016" TargetMode="External"/><Relationship Id="rId116" Type="http://schemas.openxmlformats.org/officeDocument/2006/relationships/hyperlink" Target="https://doi.org/10.1007/s004120050377" TargetMode="External"/><Relationship Id="rId137" Type="http://schemas.openxmlformats.org/officeDocument/2006/relationships/hyperlink" Target="https://doi.org/10.1093/oxfordjournals.molbev.a003762" TargetMode="External"/><Relationship Id="rId158" Type="http://schemas.openxmlformats.org/officeDocument/2006/relationships/hyperlink" Target="https://doi.org/10.1023/A:1025941206391" TargetMode="External"/><Relationship Id="rId302" Type="http://schemas.openxmlformats.org/officeDocument/2006/relationships/hyperlink" Target="https://doi.org/10.1007/s10535-012-0083-5" TargetMode="External"/><Relationship Id="rId323" Type="http://schemas.openxmlformats.org/officeDocument/2006/relationships/hyperlink" Target="https://link.springer.com/content/pdf/10.1007/s10681-013-1023-y.pdf" TargetMode="External"/><Relationship Id="rId344" Type="http://schemas.openxmlformats.org/officeDocument/2006/relationships/hyperlink" Target="https://doi.org/10.1111/jeb.12371" TargetMode="External"/><Relationship Id="rId20" Type="http://schemas.openxmlformats.org/officeDocument/2006/relationships/hyperlink" Target="https://link.springer.com/article/10.1007/BF02221391" TargetMode="External"/><Relationship Id="rId41" Type="http://schemas.openxmlformats.org/officeDocument/2006/relationships/hyperlink" Target="https://www.journals.uchicago.edu/doi/abs/10.1086/333338?mobileUi=0" TargetMode="External"/><Relationship Id="rId62" Type="http://schemas.openxmlformats.org/officeDocument/2006/relationships/hyperlink" Target="https://link.springer.com/chapter/10.1007%2F978-94-007-0944-7_21" TargetMode="External"/><Relationship Id="rId83" Type="http://schemas.openxmlformats.org/officeDocument/2006/relationships/hyperlink" Target="https://link.springer.com/article/10.1007%2FBF00033390" TargetMode="External"/><Relationship Id="rId179" Type="http://schemas.openxmlformats.org/officeDocument/2006/relationships/hyperlink" Target="https://doi.org/10.1093/molbev/msi003" TargetMode="External"/><Relationship Id="rId365" Type="http://schemas.openxmlformats.org/officeDocument/2006/relationships/hyperlink" Target="https://onlinelibrary.wiley.com/doi/full/10.1111/mec.13126" TargetMode="External"/><Relationship Id="rId386" Type="http://schemas.openxmlformats.org/officeDocument/2006/relationships/hyperlink" Target="https://www.nature.com/articles/srep41497" TargetMode="External"/><Relationship Id="rId190" Type="http://schemas.openxmlformats.org/officeDocument/2006/relationships/hyperlink" Target="https://www.ncbi.nlm.nih.gov/pmc/articles/PMC1456801/" TargetMode="External"/><Relationship Id="rId204" Type="http://schemas.openxmlformats.org/officeDocument/2006/relationships/hyperlink" Target="https://link.springer.com/article/10.1007/s10681-005-9031-1" TargetMode="External"/><Relationship Id="rId225" Type="http://schemas.openxmlformats.org/officeDocument/2006/relationships/hyperlink" Target="http://www.genome.org/cgi/doi/10.1101/gr.7076308" TargetMode="External"/><Relationship Id="rId246" Type="http://schemas.openxmlformats.org/officeDocument/2006/relationships/hyperlink" Target="https://doi.org/10.1007/s00438-008-0405-7" TargetMode="External"/><Relationship Id="rId267" Type="http://schemas.openxmlformats.org/officeDocument/2006/relationships/hyperlink" Target="https://link.springer.com/article/10.1134/S1022795411080023" TargetMode="External"/><Relationship Id="rId288" Type="http://schemas.openxmlformats.org/officeDocument/2006/relationships/hyperlink" Target="https://doi.org/10.1073/pnas.1207833109" TargetMode="External"/><Relationship Id="rId411" Type="http://schemas.openxmlformats.org/officeDocument/2006/relationships/hyperlink" Target="https://doi.org/10.1111/nph.14919" TargetMode="External"/><Relationship Id="rId432" Type="http://schemas.openxmlformats.org/officeDocument/2006/relationships/hyperlink" Target="https://doi.org/10.1007/s00122-018-3127-1" TargetMode="External"/><Relationship Id="rId453" Type="http://schemas.openxmlformats.org/officeDocument/2006/relationships/hyperlink" Target="https://doi.org/10.1080/07352689.2016.1267496" TargetMode="External"/><Relationship Id="rId106" Type="http://schemas.openxmlformats.org/officeDocument/2006/relationships/hyperlink" Target="https://doi.org/10.1104/pp.114.3.969" TargetMode="External"/><Relationship Id="rId127" Type="http://schemas.openxmlformats.org/officeDocument/2006/relationships/hyperlink" Target="https://doi.org/10.1104/pp.124.2.627" TargetMode="External"/><Relationship Id="rId313" Type="http://schemas.openxmlformats.org/officeDocument/2006/relationships/hyperlink" Target="https://doi.org/10.1371/journal.pone.0064276" TargetMode="External"/><Relationship Id="rId10" Type="http://schemas.openxmlformats.org/officeDocument/2006/relationships/hyperlink" Target="https://doi.org/10.1002/j.1537-2197.1954.tb14376.x" TargetMode="External"/><Relationship Id="rId31" Type="http://schemas.openxmlformats.org/officeDocument/2006/relationships/hyperlink" Target="https://doi.org/10.1111/tpj.15009" TargetMode="External"/><Relationship Id="rId52" Type="http://schemas.openxmlformats.org/officeDocument/2006/relationships/hyperlink" Target="https://www.nature.com/articles/hdy195543" TargetMode="External"/><Relationship Id="rId73" Type="http://schemas.openxmlformats.org/officeDocument/2006/relationships/hyperlink" Target="https://academic.oup.com/aob/article-abstract/41/2/375/180560?redirectedFrom=fulltext" TargetMode="External"/><Relationship Id="rId94" Type="http://schemas.openxmlformats.org/officeDocument/2006/relationships/hyperlink" Target="https://www.researchgate.net/publication/268180715_A_Restriction_Fragment_Length_Polymorphism_Probe_for_Early_Diagnosis_of_Gender_in_Asparagus_officinalis_L" TargetMode="External"/><Relationship Id="rId148" Type="http://schemas.openxmlformats.org/officeDocument/2006/relationships/hyperlink" Target="https://doi.org/10.1139/G01-143" TargetMode="External"/><Relationship Id="rId169" Type="http://schemas.openxmlformats.org/officeDocument/2006/relationships/hyperlink" Target="https://link.springer.com/chapter/10.1007%2F978-94-007-0944-7_21" TargetMode="External"/><Relationship Id="rId334" Type="http://schemas.openxmlformats.org/officeDocument/2006/relationships/hyperlink" Target="http://ijpaes.com/admin/php/uploads/476_pdf.pdf" TargetMode="External"/><Relationship Id="rId355" Type="http://schemas.openxmlformats.org/officeDocument/2006/relationships/hyperlink" Target="https://academic.oup.com/pcp/article/57/2/325/2461069" TargetMode="External"/><Relationship Id="rId376" Type="http://schemas.openxmlformats.org/officeDocument/2006/relationships/hyperlink" Target="https://doi.org/10.1007/s10681-016-1655-9" TargetMode="External"/><Relationship Id="rId397" Type="http://schemas.openxmlformats.org/officeDocument/2006/relationships/hyperlink" Target="https://www.sciencedirect.com/science/article/pii/S0092867417311248" TargetMode="External"/><Relationship Id="rId4" Type="http://schemas.openxmlformats.org/officeDocument/2006/relationships/hyperlink" Target="https://esajournals.onlinelibrary.wiley.com/doi/epdf/10.1890/09-0685.1" TargetMode="External"/><Relationship Id="rId180" Type="http://schemas.openxmlformats.org/officeDocument/2006/relationships/hyperlink" Target="http://www.demeter.org.es/pdf/investi_a/In_situ_Hybridisierung_an_Hanf_Chromosomen.pdf" TargetMode="External"/><Relationship Id="rId215" Type="http://schemas.openxmlformats.org/officeDocument/2006/relationships/hyperlink" Target="https://doi.org/10.3732/ajb.94.2.141" TargetMode="External"/><Relationship Id="rId236" Type="http://schemas.openxmlformats.org/officeDocument/2006/relationships/hyperlink" Target="https://doi.org/10.1111/j.1365-2745.2009.01484.x" TargetMode="External"/><Relationship Id="rId257" Type="http://schemas.openxmlformats.org/officeDocument/2006/relationships/hyperlink" Target="https://doi.org/10.1111/j.1558-5646.2010.01189.x" TargetMode="External"/><Relationship Id="rId278" Type="http://schemas.openxmlformats.org/officeDocument/2006/relationships/hyperlink" Target="https://doi.org/10.1016/j.tig.2011.05.001" TargetMode="External"/><Relationship Id="rId401" Type="http://schemas.openxmlformats.org/officeDocument/2006/relationships/hyperlink" Target="https://link.springer.com/article/10.1007/s10722-017-0564-7" TargetMode="External"/><Relationship Id="rId422" Type="http://schemas.openxmlformats.org/officeDocument/2006/relationships/hyperlink" Target="https://www.mdpi.com/2073-4425/9/6/277" TargetMode="External"/><Relationship Id="rId443" Type="http://schemas.openxmlformats.org/officeDocument/2006/relationships/hyperlink" Target="https://www.genetics.org/content/212/3/815.abstract" TargetMode="External"/><Relationship Id="rId303" Type="http://schemas.openxmlformats.org/officeDocument/2006/relationships/hyperlink" Target="https://doi.org/10.1007/s00438-012-0674-z" TargetMode="External"/><Relationship Id="rId42" Type="http://schemas.openxmlformats.org/officeDocument/2006/relationships/hyperlink" Target="https://link.springer.com/article/10.1007/BF01961517" TargetMode="External"/><Relationship Id="rId84" Type="http://schemas.openxmlformats.org/officeDocument/2006/relationships/hyperlink" Target="https://www.jstage.jst.go.jp/article/cytologia1929/53/3/53_3_475/_pdf" TargetMode="External"/><Relationship Id="rId138" Type="http://schemas.openxmlformats.org/officeDocument/2006/relationships/hyperlink" Target="https://doi.org/10.1093/oxfordjournals.molbev.a003930" TargetMode="External"/><Relationship Id="rId345" Type="http://schemas.openxmlformats.org/officeDocument/2006/relationships/hyperlink" Target="https://doi.org/10.1111/pbr.12199" TargetMode="External"/><Relationship Id="rId387" Type="http://schemas.openxmlformats.org/officeDocument/2006/relationships/hyperlink" Target="https://link.springer.com/chapter/10.1007/978-3-319-54564-6_18" TargetMode="External"/><Relationship Id="rId191" Type="http://schemas.openxmlformats.org/officeDocument/2006/relationships/hyperlink" Target="https://doi.org/10.1007/s00425-004-1365-8" TargetMode="External"/><Relationship Id="rId205" Type="http://schemas.openxmlformats.org/officeDocument/2006/relationships/hyperlink" Target="https://doi.org/10.1534/genetics.107.081463" TargetMode="External"/><Relationship Id="rId247" Type="http://schemas.openxmlformats.org/officeDocument/2006/relationships/hyperlink" Target="https://link.springer.com/article/10.1007%2Fs10709-008-9261-y" TargetMode="External"/><Relationship Id="rId412" Type="http://schemas.openxmlformats.org/officeDocument/2006/relationships/hyperlink" Target="https://www.frontiersin.org/articles/10.3389/fpls.2017.00098/full" TargetMode="External"/><Relationship Id="rId107" Type="http://schemas.openxmlformats.org/officeDocument/2006/relationships/hyperlink" Target="https://link.springer.com/article/10.1007/s001220050914" TargetMode="External"/><Relationship Id="rId289" Type="http://schemas.openxmlformats.org/officeDocument/2006/relationships/hyperlink" Target="https://academic.oup.com/mbe/article/29/12/3909/1010407" TargetMode="External"/><Relationship Id="rId454" Type="http://schemas.openxmlformats.org/officeDocument/2006/relationships/hyperlink" Target="https://www.nature.com/articles/s41598-018-37412-x" TargetMode="External"/><Relationship Id="rId11" Type="http://schemas.openxmlformats.org/officeDocument/2006/relationships/hyperlink" Target="https://doi.org/10.1139/b59-032" TargetMode="External"/><Relationship Id="rId53" Type="http://schemas.openxmlformats.org/officeDocument/2006/relationships/hyperlink" Target="https://pdfs.semanticscholar.org/5f4c/084bf8a37fc00d2c06686979874a4177188f.pdf" TargetMode="External"/><Relationship Id="rId149" Type="http://schemas.openxmlformats.org/officeDocument/2006/relationships/hyperlink" Target="https://doi.org/10.1139/G02-052" TargetMode="External"/><Relationship Id="rId314" Type="http://schemas.openxmlformats.org/officeDocument/2006/relationships/hyperlink" Target="https://doi.org/10.1371/journal.pone.0062681" TargetMode="External"/><Relationship Id="rId356" Type="http://schemas.openxmlformats.org/officeDocument/2006/relationships/hyperlink" Target="https://link.springer.com/article/10.1007/s10265-015-0724-9" TargetMode="External"/><Relationship Id="rId398" Type="http://schemas.openxmlformats.org/officeDocument/2006/relationships/hyperlink" Target="https://academic.oup.com/aobpla/article/9/2/plx013/3104464" TargetMode="External"/><Relationship Id="rId95" Type="http://schemas.openxmlformats.org/officeDocument/2006/relationships/hyperlink" Target="https://academic.oup.com/pcp/article-abstract/36/8/1549/1819656?redirectedFrom=fulltext" TargetMode="External"/><Relationship Id="rId160" Type="http://schemas.openxmlformats.org/officeDocument/2006/relationships/hyperlink" Target="https://doi.org/10.1007/s10265-003-0106-6" TargetMode="External"/><Relationship Id="rId216" Type="http://schemas.openxmlformats.org/officeDocument/2006/relationships/hyperlink" Target="https://doi.org/10.1007/s10577-007-1166-6" TargetMode="External"/><Relationship Id="rId423" Type="http://schemas.openxmlformats.org/officeDocument/2006/relationships/hyperlink" Target="https://www.nature.com/articles/s42003-018-0019-5" TargetMode="External"/><Relationship Id="rId258" Type="http://schemas.openxmlformats.org/officeDocument/2006/relationships/hyperlink" Target="https://doi.org/10.1093/jhered/esq001" TargetMode="External"/><Relationship Id="rId22" Type="http://schemas.openxmlformats.org/officeDocument/2006/relationships/hyperlink" Target="https://doi.org/10.1071/SB98028" TargetMode="External"/><Relationship Id="rId64" Type="http://schemas.openxmlformats.org/officeDocument/2006/relationships/hyperlink" Target="https://doi.org/10.1266/jjg.46.33" TargetMode="External"/><Relationship Id="rId118" Type="http://schemas.openxmlformats.org/officeDocument/2006/relationships/hyperlink" Target="https://www.researchgate.net/publication/292328703_A_subtelomeric_satellite_DNA_family_isolated_from_the_genome_of_the_dioecious_plant_Silene_latifolia" TargetMode="External"/><Relationship Id="rId325" Type="http://schemas.openxmlformats.org/officeDocument/2006/relationships/hyperlink" Target="https://doi.org/10.1186/1471-2164-15-335" TargetMode="External"/><Relationship Id="rId367" Type="http://schemas.openxmlformats.org/officeDocument/2006/relationships/hyperlink" Target="https://onlinelibrary.wiley.com/doi/epdf/10.1111/plb.12217" TargetMode="External"/><Relationship Id="rId171" Type="http://schemas.openxmlformats.org/officeDocument/2006/relationships/hyperlink" Target="https://link.springer.com/content/pdf/10.1007%2Fs00497-004-0208-x.pdf" TargetMode="External"/><Relationship Id="rId227" Type="http://schemas.openxmlformats.org/officeDocument/2006/relationships/hyperlink" Target="https://doi.org/10.1534/genetics.107.081745" TargetMode="External"/><Relationship Id="rId269" Type="http://schemas.openxmlformats.org/officeDocument/2006/relationships/hyperlink" Target="http://dx.doi.org/10.1159%2F000321584" TargetMode="External"/><Relationship Id="rId434" Type="http://schemas.openxmlformats.org/officeDocument/2006/relationships/hyperlink" Target="https://agritrop.cirad.fr/591491/1/Cormier2019_Article_AReferenceHigh-densityGeneticM.pdf" TargetMode="External"/><Relationship Id="rId33" Type="http://schemas.openxmlformats.org/officeDocument/2006/relationships/hyperlink" Target="https://doi.org/10.1111/tpj.15116" TargetMode="External"/><Relationship Id="rId129" Type="http://schemas.openxmlformats.org/officeDocument/2006/relationships/hyperlink" Target="https://link.springer.com/article/10.1023/A:1009252913344" TargetMode="External"/><Relationship Id="rId280" Type="http://schemas.openxmlformats.org/officeDocument/2006/relationships/hyperlink" Target="https://doi.org/10.1186/1471-2164-12-376" TargetMode="External"/><Relationship Id="rId336" Type="http://schemas.openxmlformats.org/officeDocument/2006/relationships/hyperlink" Target="https://evodevojournal.biomedcentral.com/articles/10.1186/2041-9139-5-42" TargetMode="External"/><Relationship Id="rId75" Type="http://schemas.openxmlformats.org/officeDocument/2006/relationships/hyperlink" Target="https://ci.nii.ac.jp/naid/10006433850/" TargetMode="External"/><Relationship Id="rId140" Type="http://schemas.openxmlformats.org/officeDocument/2006/relationships/hyperlink" Target="https://doi.org/10.1016/S0764-4469(01)01322-1" TargetMode="External"/><Relationship Id="rId182" Type="http://schemas.openxmlformats.org/officeDocument/2006/relationships/hyperlink" Target="https://doi.org/10.1139/g05-056" TargetMode="External"/><Relationship Id="rId378" Type="http://schemas.openxmlformats.org/officeDocument/2006/relationships/hyperlink" Target="https://www.mdpi.com/2218-1989/6/2/13" TargetMode="External"/><Relationship Id="rId403" Type="http://schemas.openxmlformats.org/officeDocument/2006/relationships/hyperlink" Target="https://doi.org/10.1007/s11032-017-0705-x" TargetMode="External"/><Relationship Id="rId6" Type="http://schemas.openxmlformats.org/officeDocument/2006/relationships/hyperlink" Target="https://www.nature.com/articles/s41477-020-0672-9" TargetMode="External"/><Relationship Id="rId238" Type="http://schemas.openxmlformats.org/officeDocument/2006/relationships/hyperlink" Target="https://www.nrcresearchpress.com/doi/10.1139/G08-120" TargetMode="External"/><Relationship Id="rId445" Type="http://schemas.openxmlformats.org/officeDocument/2006/relationships/hyperlink" Target="https://www.ncbi.nlm.nih.gov/pmc/articles/PMC6335074/pdf/PBI-17-397.pdf" TargetMode="External"/><Relationship Id="rId291" Type="http://schemas.openxmlformats.org/officeDocument/2006/relationships/hyperlink" Target="https://www.ajol.info/index.php/ajb/article/view/127617" TargetMode="External"/><Relationship Id="rId305" Type="http://schemas.openxmlformats.org/officeDocument/2006/relationships/hyperlink" Target="https://doi.org/10.1159/000345370" TargetMode="External"/><Relationship Id="rId347" Type="http://schemas.openxmlformats.org/officeDocument/2006/relationships/hyperlink" Target="https://link.springer.com/article/10.1007/s40011-013-0226-2" TargetMode="External"/><Relationship Id="rId44" Type="http://schemas.openxmlformats.org/officeDocument/2006/relationships/hyperlink" Target="https://www.journals.uchicago.edu/doi/abs/10.1086/334075?journalCode=botanicalgazette" TargetMode="External"/><Relationship Id="rId86" Type="http://schemas.openxmlformats.org/officeDocument/2006/relationships/hyperlink" Target="https://doi.org/10.1508/cytologia.56.409" TargetMode="External"/><Relationship Id="rId151" Type="http://schemas.openxmlformats.org/officeDocument/2006/relationships/hyperlink" Target="https://www.ncbi.nlm.nih.gov/pubmed/12175078" TargetMode="External"/><Relationship Id="rId389" Type="http://schemas.openxmlformats.org/officeDocument/2006/relationships/hyperlink" Target="https://doi.org/10.1186/s12870-017-1187-z" TargetMode="External"/><Relationship Id="rId193" Type="http://schemas.openxmlformats.org/officeDocument/2006/relationships/hyperlink" Target="https://doi.org/10.1266/ggs.80.395" TargetMode="External"/><Relationship Id="rId207" Type="http://schemas.openxmlformats.org/officeDocument/2006/relationships/hyperlink" Target="https://link.springer.com/article/10.1007%2Fs00438-007-0243-z" TargetMode="External"/><Relationship Id="rId249" Type="http://schemas.openxmlformats.org/officeDocument/2006/relationships/hyperlink" Target="https://doi.org/10.1093/molbev/msp141" TargetMode="External"/><Relationship Id="rId414" Type="http://schemas.openxmlformats.org/officeDocument/2006/relationships/hyperlink" Target="https://doi.org/10.3389/fpls.2018.01068" TargetMode="External"/><Relationship Id="rId456" Type="http://schemas.openxmlformats.org/officeDocument/2006/relationships/hyperlink" Target="https://journals.plos.org/plosone/article?id=10.1371/journal.pone.0214949" TargetMode="External"/><Relationship Id="rId13" Type="http://schemas.openxmlformats.org/officeDocument/2006/relationships/hyperlink" Target="https://www.journals.uchicago.edu/doi/abs/10.1086/336044" TargetMode="External"/><Relationship Id="rId109" Type="http://schemas.openxmlformats.org/officeDocument/2006/relationships/hyperlink" Target="https://onlinelibrary.wiley.com/doi/pdf/10.1111/j.1601-5223.1998.00045.x" TargetMode="External"/><Relationship Id="rId260" Type="http://schemas.openxmlformats.org/officeDocument/2006/relationships/hyperlink" Target="https://link.springer.com/article/10.1007/s10709-010-9449-9" TargetMode="External"/><Relationship Id="rId316" Type="http://schemas.openxmlformats.org/officeDocument/2006/relationships/hyperlink" Target="https://doi.org/10.1093/gbe/evt049" TargetMode="External"/><Relationship Id="rId55" Type="http://schemas.openxmlformats.org/officeDocument/2006/relationships/hyperlink" Target="https://onlinelibrary.wiley.com/doi/abs/10.1111/j.1601-5223.1957.tb03444.x" TargetMode="External"/><Relationship Id="rId97" Type="http://schemas.openxmlformats.org/officeDocument/2006/relationships/hyperlink" Target="https://onlinelibrary.wiley.com/doi/abs/10.1111/j.1399-3054.1996.tb00210.x" TargetMode="External"/><Relationship Id="rId120" Type="http://schemas.openxmlformats.org/officeDocument/2006/relationships/hyperlink" Target="https://doi.org/10.1002/(SICI)1520-6408(1999)25:3%3c267::AID-DVG9%3e3.0.CO;2-9" TargetMode="External"/><Relationship Id="rId358" Type="http://schemas.openxmlformats.org/officeDocument/2006/relationships/hyperlink" Target="https://doi.org/10.1016/j.scienta.2015.07.006" TargetMode="External"/><Relationship Id="rId162" Type="http://schemas.openxmlformats.org/officeDocument/2006/relationships/hyperlink" Target="https://doi.org/10.1093/molbev/msg114" TargetMode="External"/><Relationship Id="rId218" Type="http://schemas.openxmlformats.org/officeDocument/2006/relationships/hyperlink" Target="https://doi.org/10.1534/genetics.106.070110" TargetMode="External"/><Relationship Id="rId425" Type="http://schemas.openxmlformats.org/officeDocument/2006/relationships/hyperlink" Target="https://link.springer.com/article/10.1007%2Fs00412-018-0664-y" TargetMode="External"/><Relationship Id="rId271" Type="http://schemas.openxmlformats.org/officeDocument/2006/relationships/hyperlink" Target="https://link.springer.com/article/10.1007/s12041-011-0026-5" TargetMode="External"/><Relationship Id="rId24" Type="http://schemas.openxmlformats.org/officeDocument/2006/relationships/hyperlink" Target="https://onlinelibrary.wiley.com/doi/full/10.1111/jse.12266" TargetMode="External"/><Relationship Id="rId66" Type="http://schemas.openxmlformats.org/officeDocument/2006/relationships/hyperlink" Target="https://link.springer.com/article/10.1007/BF00577104" TargetMode="External"/><Relationship Id="rId131" Type="http://schemas.openxmlformats.org/officeDocument/2006/relationships/hyperlink" Target="https://onlinelibrary.wiley.com/doi/abs/10.1046/j.1439-0523.2001.00620.x" TargetMode="External"/><Relationship Id="rId327" Type="http://schemas.openxmlformats.org/officeDocument/2006/relationships/hyperlink" Target="https://doi.org/10.1186/s12870-014-0325-0" TargetMode="External"/><Relationship Id="rId369" Type="http://schemas.openxmlformats.org/officeDocument/2006/relationships/hyperlink" Target="https://doi.org/10.1007/s10577-014-9446-4" TargetMode="External"/><Relationship Id="rId173" Type="http://schemas.openxmlformats.org/officeDocument/2006/relationships/hyperlink" Target="https://link.springer.com/content/pdf/10.1023%2FB%3AEUPH.0000032741.99885.c4.pdf" TargetMode="External"/><Relationship Id="rId229" Type="http://schemas.openxmlformats.org/officeDocument/2006/relationships/hyperlink" Target="https://doi.org/10.1017/S0016672307009056" TargetMode="External"/><Relationship Id="rId380" Type="http://schemas.openxmlformats.org/officeDocument/2006/relationships/hyperlink" Target="https://www.ncbi.nlm.nih.gov/pubmed/27118680" TargetMode="External"/><Relationship Id="rId436" Type="http://schemas.openxmlformats.org/officeDocument/2006/relationships/hyperlink" Target="https://www.biorxiv.org/content/10.1101/517946v1.abstract" TargetMode="External"/><Relationship Id="rId240" Type="http://schemas.openxmlformats.org/officeDocument/2006/relationships/hyperlink" Target="http://dx.doi.org/10.1080/14620316.2009.11512557" TargetMode="External"/><Relationship Id="rId35" Type="http://schemas.openxmlformats.org/officeDocument/2006/relationships/hyperlink" Target="https://www.frontiersin.org/articles/10.3389/fpls.2020.575462/full" TargetMode="External"/><Relationship Id="rId77" Type="http://schemas.openxmlformats.org/officeDocument/2006/relationships/hyperlink" Target="https://doi.org/10.1038/hdy.1979.23" TargetMode="External"/><Relationship Id="rId100" Type="http://schemas.openxmlformats.org/officeDocument/2006/relationships/hyperlink" Target="https://doi.org/10.1046/j.1365-313X.1997.12040805.x" TargetMode="External"/><Relationship Id="rId282" Type="http://schemas.openxmlformats.org/officeDocument/2006/relationships/hyperlink" Target="https://journals.plos.org/plosone/article?id=10.1371/journal.pone.0021915" TargetMode="External"/><Relationship Id="rId338" Type="http://schemas.openxmlformats.org/officeDocument/2006/relationships/hyperlink" Target="https://www.geneticsmr.com/sites/default/files/articles/year2014/vol13-1/pdf/gmr2977.pdf" TargetMode="External"/><Relationship Id="rId8" Type="http://schemas.openxmlformats.org/officeDocument/2006/relationships/hyperlink" Target="https://doi.org/10.1508/cytologia.1.109" TargetMode="External"/><Relationship Id="rId142" Type="http://schemas.openxmlformats.org/officeDocument/2006/relationships/hyperlink" Target="https://link.springer.com/article/10.1023/A:1016382128401" TargetMode="External"/><Relationship Id="rId184" Type="http://schemas.openxmlformats.org/officeDocument/2006/relationships/hyperlink" Target="https://link.springer.com/article/10.1007/s00425-005-0046-6" TargetMode="External"/><Relationship Id="rId391" Type="http://schemas.openxmlformats.org/officeDocument/2006/relationships/hyperlink" Target="https://doi.org/10.1007/s10577-017-9555-y" TargetMode="External"/><Relationship Id="rId405" Type="http://schemas.openxmlformats.org/officeDocument/2006/relationships/hyperlink" Target="https://doi.org/10.1038/s41598-017-01893-z" TargetMode="External"/><Relationship Id="rId447" Type="http://schemas.openxmlformats.org/officeDocument/2006/relationships/hyperlink" Target="https://www.cambridge.org/core/services/aop-cambridge-core/content/view/9072C8D7BB4DBFE410417166CB791D0E/S0043174519000274a.pdf/div-class-title-sex-specific-markers-for-waterhemp-span-class-italic-amaranthus-tuberculatus-span-and-palmer-amaranth-span-class-italic-amaranthus-palmeri-span-div.pdf" TargetMode="External"/><Relationship Id="rId251" Type="http://schemas.openxmlformats.org/officeDocument/2006/relationships/hyperlink" Target="https://link.springer.com/content/pdf/10.1007%2Fs00122-009-0979-4.pdf" TargetMode="External"/><Relationship Id="rId46" Type="http://schemas.openxmlformats.org/officeDocument/2006/relationships/hyperlink" Target="https://www.jstage.jst.go.jp/article/jplantres1887/51/603/51_603_110/_pdf/-char/en" TargetMode="External"/><Relationship Id="rId293" Type="http://schemas.openxmlformats.org/officeDocument/2006/relationships/hyperlink" Target="https://doi.org/10.1080/14620316.2012.11512839" TargetMode="External"/><Relationship Id="rId307" Type="http://schemas.openxmlformats.org/officeDocument/2006/relationships/hyperlink" Target="https://doi.org/10.1534/g3.113.006288" TargetMode="External"/><Relationship Id="rId349" Type="http://schemas.openxmlformats.org/officeDocument/2006/relationships/hyperlink" Target="https://doi.org/10.1111/nph.13389" TargetMode="External"/><Relationship Id="rId88" Type="http://schemas.openxmlformats.org/officeDocument/2006/relationships/hyperlink" Target="https://link.springer.com/article/10.1007/BF00046050" TargetMode="External"/><Relationship Id="rId111" Type="http://schemas.openxmlformats.org/officeDocument/2006/relationships/hyperlink" Target="https://www.nature.com/articles/30492" TargetMode="External"/><Relationship Id="rId153" Type="http://schemas.openxmlformats.org/officeDocument/2006/relationships/hyperlink" Target="https://doi.org/10.1266/ggs.77.393" TargetMode="External"/><Relationship Id="rId195" Type="http://schemas.openxmlformats.org/officeDocument/2006/relationships/hyperlink" Target="https://link.springer.com/article/10.1007/s00497-006-0030-8" TargetMode="External"/><Relationship Id="rId209" Type="http://schemas.openxmlformats.org/officeDocument/2006/relationships/hyperlink" Target="https://www.jstor.org/stable/24099164?seq=1" TargetMode="External"/><Relationship Id="rId360" Type="http://schemas.openxmlformats.org/officeDocument/2006/relationships/hyperlink" Target="https://doi.org/10.1111/plb.12189" TargetMode="External"/><Relationship Id="rId416" Type="http://schemas.openxmlformats.org/officeDocument/2006/relationships/hyperlink" Target="https://doi.org/10.1016/j.bcab.2018.08.004" TargetMode="External"/><Relationship Id="rId220" Type="http://schemas.openxmlformats.org/officeDocument/2006/relationships/hyperlink" Target="https://doi.org/10.1007/s11816-007-0031-6" TargetMode="External"/><Relationship Id="rId458" Type="http://schemas.openxmlformats.org/officeDocument/2006/relationships/hyperlink" Target="https://doi.org/10.3390/genes12030381" TargetMode="External"/><Relationship Id="rId15" Type="http://schemas.openxmlformats.org/officeDocument/2006/relationships/hyperlink" Target="https://link.springer.com/article/10.1007%252FBF00329609" TargetMode="External"/><Relationship Id="rId57" Type="http://schemas.openxmlformats.org/officeDocument/2006/relationships/hyperlink" Target="https://doi.org/10.1038/1791143a0" TargetMode="External"/><Relationship Id="rId262" Type="http://schemas.openxmlformats.org/officeDocument/2006/relationships/hyperlink" Target="https://link.springer.com/article/10.1007/s11816-009-0113-8" TargetMode="External"/><Relationship Id="rId318" Type="http://schemas.openxmlformats.org/officeDocument/2006/relationships/hyperlink" Target="https://doi.org/10.1534/genetics.113.150755" TargetMode="External"/><Relationship Id="rId99" Type="http://schemas.openxmlformats.org/officeDocument/2006/relationships/hyperlink" Target="https://doi.org/10.1139/g97-048" TargetMode="External"/><Relationship Id="rId122" Type="http://schemas.openxmlformats.org/officeDocument/2006/relationships/hyperlink" Target="https://www.ncbi.nlm.nih.gov/pubmed/11202435" TargetMode="External"/><Relationship Id="rId164" Type="http://schemas.openxmlformats.org/officeDocument/2006/relationships/hyperlink" Target="https://www.ncbi.nlm.nih.gov/pmc/articles/PMC1462803/" TargetMode="External"/><Relationship Id="rId371" Type="http://schemas.openxmlformats.org/officeDocument/2006/relationships/hyperlink" Target="https://doi.org/10.1371/journal.pgen.1005536" TargetMode="External"/><Relationship Id="rId427" Type="http://schemas.openxmlformats.org/officeDocument/2006/relationships/hyperlink" Target="https://doi.org/10.1111/mec.14466" TargetMode="External"/><Relationship Id="rId26" Type="http://schemas.openxmlformats.org/officeDocument/2006/relationships/hyperlink" Target="https://doi.org/10.1002/evl3.142" TargetMode="External"/><Relationship Id="rId231" Type="http://schemas.openxmlformats.org/officeDocument/2006/relationships/hyperlink" Target="https://onlinelibrary.wiley.com/doi/full/10.1111/j.1755-0998.2008.02344.x" TargetMode="External"/><Relationship Id="rId273" Type="http://schemas.openxmlformats.org/officeDocument/2006/relationships/hyperlink" Target="https://doi.org/10.1111/j.1525-142X.2011.00467.x" TargetMode="External"/><Relationship Id="rId329" Type="http://schemas.openxmlformats.org/officeDocument/2006/relationships/hyperlink" Target="https://doi.org/10.3897/CompCytogen.v8i4.8473" TargetMode="External"/><Relationship Id="rId68" Type="http://schemas.openxmlformats.org/officeDocument/2006/relationships/hyperlink" Target="https://pdfs.semanticscholar.org/d599/63442262082968b540cdf8d9ef4c89f5c966.pdf" TargetMode="External"/><Relationship Id="rId133" Type="http://schemas.openxmlformats.org/officeDocument/2006/relationships/hyperlink" Target="https://link.springer.com/content/pdf/10.1023/A:1011676328165.pdf" TargetMode="External"/><Relationship Id="rId175" Type="http://schemas.openxmlformats.org/officeDocument/2006/relationships/hyperlink" Target="https://academic.oup.com/biolinnean/article/82/4/547/2643086" TargetMode="External"/><Relationship Id="rId340" Type="http://schemas.openxmlformats.org/officeDocument/2006/relationships/hyperlink" Target="https://doi.org/10.1007/s12041-014-0326-7" TargetMode="External"/><Relationship Id="rId200" Type="http://schemas.openxmlformats.org/officeDocument/2006/relationships/hyperlink" Target="https://doi.org/10.1007/s00122-006-0293-3" TargetMode="External"/><Relationship Id="rId382" Type="http://schemas.openxmlformats.org/officeDocument/2006/relationships/hyperlink" Target="https://doi.org/10.1371/journal.pone.0147671" TargetMode="External"/><Relationship Id="rId438" Type="http://schemas.openxmlformats.org/officeDocument/2006/relationships/hyperlink" Target="https://journals.plos.org/plosgenetics/article?id=10.1371/journal.pgen.1007997" TargetMode="External"/><Relationship Id="rId242" Type="http://schemas.openxmlformats.org/officeDocument/2006/relationships/hyperlink" Target="https://doi.org/10.1186/1471-2164-10-620" TargetMode="External"/><Relationship Id="rId284" Type="http://schemas.openxmlformats.org/officeDocument/2006/relationships/hyperlink" Target="https://www.researchgate.net/publication/233902887_Sex_determination_of_jojoba_Simmondsia_chinensis_cv_Arizona_by_random_amplified_polymorphic_DNA_RAPD_molecular_markers" TargetMode="External"/><Relationship Id="rId37" Type="http://schemas.openxmlformats.org/officeDocument/2006/relationships/hyperlink" Target="https://www.jstor.org/stable/984196" TargetMode="External"/><Relationship Id="rId79" Type="http://schemas.openxmlformats.org/officeDocument/2006/relationships/hyperlink" Target="https://www.jstage.jst.go.jp/article/cytologia1929/46/1-2/46_1-2_173/_pdf/-char/en" TargetMode="External"/><Relationship Id="rId102" Type="http://schemas.openxmlformats.org/officeDocument/2006/relationships/hyperlink" Target="https://www.ncbi.nlm.nih.gov/pubmed/9426622" TargetMode="External"/><Relationship Id="rId144" Type="http://schemas.openxmlformats.org/officeDocument/2006/relationships/hyperlink" Target="https://doi.org/10.1016/S0925-4773(02)00041-2" TargetMode="External"/><Relationship Id="rId90" Type="http://schemas.openxmlformats.org/officeDocument/2006/relationships/hyperlink" Target="https://books.google.es/books?hl=es&amp;lr=&amp;id=yov7iUL7OTAC&amp;oi=fnd&amp;pg=PA295&amp;dq=Cytokinins+and+reproductive+organogenesis+in+Mercurialis&amp;ots=0dF_iUKBwc&amp;sig=Dx4xU8tXOAL5s7AVJmuYfOrZXIc" TargetMode="External"/><Relationship Id="rId186" Type="http://schemas.openxmlformats.org/officeDocument/2006/relationships/hyperlink" Target="https://dl.sciencesocieties.org/publications/cs/abstracts/45/6/2529" TargetMode="External"/><Relationship Id="rId351" Type="http://schemas.openxmlformats.org/officeDocument/2006/relationships/hyperlink" Target="https://link.springer.com/article/10.1007%2Fs00239-015-9680-1" TargetMode="External"/><Relationship Id="rId393" Type="http://schemas.openxmlformats.org/officeDocument/2006/relationships/hyperlink" Target="https://doi.org/10.1093/jhered/esx077" TargetMode="External"/><Relationship Id="rId407" Type="http://schemas.openxmlformats.org/officeDocument/2006/relationships/hyperlink" Target="https://doi.org/10.1111/tpj.13322" TargetMode="External"/><Relationship Id="rId449" Type="http://schemas.openxmlformats.org/officeDocument/2006/relationships/hyperlink" Target="https://www.sciencedirect.com/science/article/pii/S0300908419300872" TargetMode="External"/><Relationship Id="rId211" Type="http://schemas.openxmlformats.org/officeDocument/2006/relationships/hyperlink" Target="https://www.ajol.info/index.php/ajb/article/view/56121" TargetMode="External"/><Relationship Id="rId253" Type="http://schemas.openxmlformats.org/officeDocument/2006/relationships/hyperlink" Target="https://doi.org/10.1111/j.1095-8339.2010.01073.x" TargetMode="External"/><Relationship Id="rId295" Type="http://schemas.openxmlformats.org/officeDocument/2006/relationships/hyperlink" Target="https://doi.org/10.1093/jxb/ers064" TargetMode="External"/><Relationship Id="rId309" Type="http://schemas.openxmlformats.org/officeDocument/2006/relationships/hyperlink" Target="https://bsapubs.onlinelibrary.wiley.com/doi/pdf/10.3732/ajb.1200068" TargetMode="External"/><Relationship Id="rId48" Type="http://schemas.openxmlformats.org/officeDocument/2006/relationships/hyperlink" Target="https://link.springer.com/article/10.1007/BF03049901" TargetMode="External"/><Relationship Id="rId113" Type="http://schemas.openxmlformats.org/officeDocument/2006/relationships/hyperlink" Target="https://www.jstage.jst.go.jp/article/cytologia1929/64/4/64_4_435/_article/-char/ja/" TargetMode="External"/><Relationship Id="rId320" Type="http://schemas.openxmlformats.org/officeDocument/2006/relationships/hyperlink" Target="https://doi.org/10.1271/bbb.120943" TargetMode="External"/><Relationship Id="rId155" Type="http://schemas.openxmlformats.org/officeDocument/2006/relationships/hyperlink" Target="https://link.springer.com/article/10.1007%2Fs00122-003-1212-5" TargetMode="External"/><Relationship Id="rId197" Type="http://schemas.openxmlformats.org/officeDocument/2006/relationships/hyperlink" Target="https://doi.org/10.1139/G05-089" TargetMode="External"/><Relationship Id="rId362" Type="http://schemas.openxmlformats.org/officeDocument/2006/relationships/hyperlink" Target="https://doi.org/10.1186/s12864-015-1326-6" TargetMode="External"/><Relationship Id="rId418" Type="http://schemas.openxmlformats.org/officeDocument/2006/relationships/hyperlink" Target="https://doi.org/10.3390/molecules23051048" TargetMode="External"/><Relationship Id="rId222" Type="http://schemas.openxmlformats.org/officeDocument/2006/relationships/hyperlink" Target="https://doi.org/10.1038/nature06856" TargetMode="External"/><Relationship Id="rId264" Type="http://schemas.openxmlformats.org/officeDocument/2006/relationships/hyperlink" Target="https://doi.org/10.1002/bies.200900124" TargetMode="External"/><Relationship Id="rId17" Type="http://schemas.openxmlformats.org/officeDocument/2006/relationships/hyperlink" Target="https://www.jstor.org/stable/2445260?seq=1" TargetMode="External"/><Relationship Id="rId59" Type="http://schemas.openxmlformats.org/officeDocument/2006/relationships/hyperlink" Target="https://www.sciencedirect.com/science/article/abs/pii/S0065266008601637" TargetMode="External"/><Relationship Id="rId124" Type="http://schemas.openxmlformats.org/officeDocument/2006/relationships/hyperlink" Target="https://academic.oup.com/dnaresearch/article/7/3/165/343815" TargetMode="External"/><Relationship Id="rId70" Type="http://schemas.openxmlformats.org/officeDocument/2006/relationships/hyperlink" Target="https://www.nature.com/articles/hdy197299.pdf" TargetMode="External"/><Relationship Id="rId166" Type="http://schemas.openxmlformats.org/officeDocument/2006/relationships/hyperlink" Target="https://www.researchgate.net/publication/10787588_Characterization_of_telomere-subtelomere_junctions_in_Silene_latifolia" TargetMode="External"/><Relationship Id="rId331" Type="http://schemas.openxmlformats.org/officeDocument/2006/relationships/hyperlink" Target="https://www.sciencedirect.com/science/article/pii/S0960982214009051" TargetMode="External"/><Relationship Id="rId373" Type="http://schemas.openxmlformats.org/officeDocument/2006/relationships/hyperlink" Target="https://doi.org/10.1508/cytologia.81.349" TargetMode="External"/><Relationship Id="rId429" Type="http://schemas.openxmlformats.org/officeDocument/2006/relationships/hyperlink" Target="https://onlinelibrary.wiley.com/doi/10.1111/mec.14562" TargetMode="External"/><Relationship Id="rId1" Type="http://schemas.openxmlformats.org/officeDocument/2006/relationships/hyperlink" Target="https://doi.org/10.1098/rstb.2021.0229" TargetMode="External"/><Relationship Id="rId233" Type="http://schemas.openxmlformats.org/officeDocument/2006/relationships/hyperlink" Target="https://doi.org/10.1534/genetics.107.085670" TargetMode="External"/><Relationship Id="rId440" Type="http://schemas.openxmlformats.org/officeDocument/2006/relationships/hyperlink" Target="https://www.ncbi.nlm.nih.gov/pubmed/30289430" TargetMode="External"/><Relationship Id="rId28" Type="http://schemas.openxmlformats.org/officeDocument/2006/relationships/hyperlink" Target="https://www.biorxiv.org/content/10.1101/2020.07.03.163634v2.full.pdf" TargetMode="External"/><Relationship Id="rId275" Type="http://schemas.openxmlformats.org/officeDocument/2006/relationships/hyperlink" Target="https://link.springer.com/content/pdf/10.1007%2Fs10681-011-0419-9.pdf" TargetMode="External"/><Relationship Id="rId300" Type="http://schemas.openxmlformats.org/officeDocument/2006/relationships/hyperlink" Target="https://doi.org/10.1534/g3.111.001420" TargetMode="External"/><Relationship Id="rId81" Type="http://schemas.openxmlformats.org/officeDocument/2006/relationships/hyperlink" Target="http://agris.fao.org/agris-search/search.do?recordID=US201302002024" TargetMode="External"/><Relationship Id="rId135" Type="http://schemas.openxmlformats.org/officeDocument/2006/relationships/hyperlink" Target="https://www.jstage.jst.go.jp/article/jsbbs/51/4/51_4_219/_pdf" TargetMode="External"/><Relationship Id="rId177" Type="http://schemas.openxmlformats.org/officeDocument/2006/relationships/hyperlink" Target="https://www.researchgate.net/publication/286981393_Identification_of_a_long_Y-chromosome_enriched_repetitive_sequence_in_Rumex_acetosa_L" TargetMode="External"/><Relationship Id="rId342" Type="http://schemas.openxmlformats.org/officeDocument/2006/relationships/hyperlink" Target="https://doi.org/10.1159/000362142" TargetMode="External"/><Relationship Id="rId384" Type="http://schemas.openxmlformats.org/officeDocument/2006/relationships/hyperlink" Target="https://doi.org/10.1371/journal.pone.0180542" TargetMode="External"/><Relationship Id="rId202" Type="http://schemas.openxmlformats.org/officeDocument/2006/relationships/hyperlink" Target="https://doi.org/10.1007/s00438-006-0140-x" TargetMode="External"/><Relationship Id="rId244" Type="http://schemas.openxmlformats.org/officeDocument/2006/relationships/hyperlink" Target="http://www.plantphysiol.org/cgi/doi/10.1104/pp.109.142984" TargetMode="External"/><Relationship Id="rId39" Type="http://schemas.openxmlformats.org/officeDocument/2006/relationships/hyperlink" Target="https://www.nature.com/articles/112687c0" TargetMode="External"/><Relationship Id="rId286" Type="http://schemas.openxmlformats.org/officeDocument/2006/relationships/hyperlink" Target="https://doi.org/10.1007/s00497-012-0191-6" TargetMode="External"/><Relationship Id="rId451" Type="http://schemas.openxmlformats.org/officeDocument/2006/relationships/hyperlink" Target="https://doi.org/10.1111/nph.15421" TargetMode="External"/><Relationship Id="rId50" Type="http://schemas.openxmlformats.org/officeDocument/2006/relationships/hyperlink" Target="https://www.nature.com/articles/170330a0" TargetMode="External"/><Relationship Id="rId104" Type="http://schemas.openxmlformats.org/officeDocument/2006/relationships/hyperlink" Target="https://www.ncbi.nlm.nih.gov/pubmed/9177037" TargetMode="External"/><Relationship Id="rId146" Type="http://schemas.openxmlformats.org/officeDocument/2006/relationships/hyperlink" Target="https://link.springer.com/article/10.1023/A:1020361424758" TargetMode="External"/><Relationship Id="rId188" Type="http://schemas.openxmlformats.org/officeDocument/2006/relationships/hyperlink" Target="http://www.ndsl.kr/ndsl/search/detail/article/articleSearchResultDetail.do?cn=JAKO200503018546440" TargetMode="External"/><Relationship Id="rId311" Type="http://schemas.openxmlformats.org/officeDocument/2006/relationships/hyperlink" Target="https://doi.org/10.1111/j.1438-8677.2012.00673.x" TargetMode="External"/><Relationship Id="rId353" Type="http://schemas.openxmlformats.org/officeDocument/2006/relationships/hyperlink" Target="https://www.tandfonline.com/doi/abs/10.1080/14620316.2015.11513191?journalCode=thsb20" TargetMode="External"/><Relationship Id="rId395" Type="http://schemas.openxmlformats.org/officeDocument/2006/relationships/hyperlink" Target="https://doi.org/10.1093/gbe/evw303" TargetMode="External"/><Relationship Id="rId409" Type="http://schemas.openxmlformats.org/officeDocument/2006/relationships/hyperlink" Target="https://doi.org/10.1093/molbev/msx144" TargetMode="External"/><Relationship Id="rId92" Type="http://schemas.openxmlformats.org/officeDocument/2006/relationships/hyperlink" Target="https://doi.org/10.1105/tpc.6.12.1775" TargetMode="External"/><Relationship Id="rId213" Type="http://schemas.openxmlformats.org/officeDocument/2006/relationships/hyperlink" Target="https://www.pnas.org/content/pnas/104/15/6472.full.pdf" TargetMode="External"/><Relationship Id="rId420" Type="http://schemas.openxmlformats.org/officeDocument/2006/relationships/hyperlink" Target="https://www.nature.com/articles/s41467-018-07728-3"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nature.com/articles/hdy201495" TargetMode="External"/><Relationship Id="rId13" Type="http://schemas.openxmlformats.org/officeDocument/2006/relationships/hyperlink" Target="https://onlinelibrary.wiley.com/doi/abs/10.1111/j.1399-3054.1996.tb00210.x" TargetMode="External"/><Relationship Id="rId3" Type="http://schemas.openxmlformats.org/officeDocument/2006/relationships/hyperlink" Target="https://www.mdpi.com/2073-4425/9/6/277" TargetMode="External"/><Relationship Id="rId7" Type="http://schemas.openxmlformats.org/officeDocument/2006/relationships/hyperlink" Target="https://link.springer.com/article/10.1023/A:1020361424758" TargetMode="External"/><Relationship Id="rId12" Type="http://schemas.openxmlformats.org/officeDocument/2006/relationships/hyperlink" Target="https://link.springer.com/article/10.1007/s00425-005-0046-6" TargetMode="External"/><Relationship Id="rId2" Type="http://schemas.openxmlformats.org/officeDocument/2006/relationships/hyperlink" Target="https://www.ncbi.nlm.nih.gov/pubmed/30289430" TargetMode="External"/><Relationship Id="rId1" Type="http://schemas.openxmlformats.org/officeDocument/2006/relationships/hyperlink" Target="https://www.mdpi.com/2218-1989/6/2/13" TargetMode="External"/><Relationship Id="rId6" Type="http://schemas.openxmlformats.org/officeDocument/2006/relationships/hyperlink" Target="https://nph.onlinelibrary.wiley.com/doi/full/10.1111/nph.16016" TargetMode="External"/><Relationship Id="rId11" Type="http://schemas.openxmlformats.org/officeDocument/2006/relationships/hyperlink" Target="https://academic.oup.com/biolinnean/article/82/4/547/2643086" TargetMode="External"/><Relationship Id="rId5" Type="http://schemas.openxmlformats.org/officeDocument/2006/relationships/hyperlink" Target="https://link.springer.com/article/10.1007/BF00332532" TargetMode="External"/><Relationship Id="rId10" Type="http://schemas.openxmlformats.org/officeDocument/2006/relationships/hyperlink" Target="https://www.ncbi.nlm.nih.gov/pubmed/31504768" TargetMode="External"/><Relationship Id="rId4" Type="http://schemas.openxmlformats.org/officeDocument/2006/relationships/hyperlink" Target="https://www.genetics.org/content/212/3/815.abstract" TargetMode="External"/><Relationship Id="rId9" Type="http://schemas.openxmlformats.org/officeDocument/2006/relationships/hyperlink" Target="https://books.google.es/books?hl=es&amp;lr=&amp;id=yov7iUL7OTAC&amp;oi=fnd&amp;pg=PA295&amp;dq=Cytokinins+and+reproductive+organogenesis+in+Mercurialis&amp;ots=0dF_iUKBwc&amp;sig=Dx4xU8tXOAL5s7AVJmuYfOrZXI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98"/>
  <sheetViews>
    <sheetView tabSelected="1" workbookViewId="0">
      <pane ySplit="1" topLeftCell="A2" activePane="bottomLeft" state="frozen"/>
      <selection pane="bottomLeft" activeCell="C14" sqref="C14"/>
    </sheetView>
  </sheetViews>
  <sheetFormatPr baseColWidth="10" defaultColWidth="12.6640625" defaultRowHeight="15" customHeight="1"/>
  <cols>
    <col min="1" max="1" width="25" customWidth="1"/>
    <col min="2" max="2" width="18.6640625" customWidth="1"/>
    <col min="3" max="3" width="21.1640625" customWidth="1"/>
    <col min="4" max="4" width="16.33203125" customWidth="1"/>
    <col min="5" max="5" width="17.6640625" customWidth="1"/>
    <col min="6" max="6" width="29.6640625" customWidth="1"/>
    <col min="7" max="7" width="25.1640625" customWidth="1"/>
    <col min="8" max="8" width="26.33203125" customWidth="1"/>
    <col min="9" max="9" width="17.6640625" customWidth="1"/>
    <col min="10" max="10" width="44.83203125" customWidth="1"/>
    <col min="11" max="11" width="26.1640625" customWidth="1"/>
    <col min="12" max="12" width="26.83203125" customWidth="1"/>
    <col min="13" max="13" width="21.1640625" customWidth="1"/>
    <col min="14" max="14" width="24.6640625" customWidth="1"/>
    <col min="15" max="15" width="17.1640625" customWidth="1"/>
    <col min="16" max="16" width="27" customWidth="1"/>
    <col min="17" max="17" width="18.6640625" customWidth="1"/>
    <col min="18" max="18" width="18.33203125" customWidth="1"/>
    <col min="19" max="19" width="30.6640625" customWidth="1"/>
    <col min="20" max="20" width="43.1640625" customWidth="1"/>
    <col min="21" max="21" width="43.83203125" customWidth="1"/>
    <col min="22" max="22" width="41.33203125" customWidth="1"/>
    <col min="23" max="23" width="29" customWidth="1"/>
    <col min="24" max="24" width="68" customWidth="1"/>
    <col min="25" max="25" width="78.6640625" customWidth="1"/>
    <col min="26" max="26" width="28.6640625" customWidth="1"/>
    <col min="27" max="27" width="55.6640625" customWidth="1"/>
    <col min="28" max="28" width="52.1640625" customWidth="1"/>
    <col min="29" max="29" width="36.33203125" customWidth="1"/>
    <col min="30" max="30" width="54.1640625" customWidth="1"/>
  </cols>
  <sheetData>
    <row r="1" spans="1:30" ht="15.75" customHeight="1">
      <c r="A1" s="1" t="s">
        <v>0</v>
      </c>
      <c r="B1" s="1" t="s">
        <v>1</v>
      </c>
      <c r="C1" s="1" t="s">
        <v>2</v>
      </c>
      <c r="D1" s="1" t="s">
        <v>3</v>
      </c>
      <c r="E1" s="1" t="s">
        <v>4</v>
      </c>
      <c r="F1" s="1" t="s">
        <v>5</v>
      </c>
      <c r="G1" s="1" t="s">
        <v>6</v>
      </c>
      <c r="H1" s="1" t="s">
        <v>7</v>
      </c>
      <c r="I1" s="2" t="s">
        <v>8</v>
      </c>
      <c r="J1" s="2" t="s">
        <v>9</v>
      </c>
      <c r="K1" s="2" t="s">
        <v>10</v>
      </c>
      <c r="L1" s="1"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15.75" customHeight="1">
      <c r="A2" s="3" t="s">
        <v>30</v>
      </c>
      <c r="B2" s="3" t="s">
        <v>31</v>
      </c>
      <c r="C2" s="3" t="s">
        <v>32</v>
      </c>
      <c r="D2" s="3" t="s">
        <v>33</v>
      </c>
      <c r="E2" s="3" t="s">
        <v>34</v>
      </c>
      <c r="F2" s="3" t="s">
        <v>35</v>
      </c>
      <c r="G2" s="3" t="s">
        <v>36</v>
      </c>
      <c r="H2" s="3"/>
      <c r="I2" s="3" t="s">
        <v>37</v>
      </c>
      <c r="J2" s="3" t="s">
        <v>38</v>
      </c>
      <c r="K2" s="3"/>
      <c r="L2" s="3"/>
      <c r="M2" s="3" t="s">
        <v>39</v>
      </c>
      <c r="N2" s="3">
        <v>18</v>
      </c>
      <c r="O2" s="3" t="s">
        <v>40</v>
      </c>
      <c r="P2" s="3" t="s">
        <v>41</v>
      </c>
      <c r="Q2" s="3" t="s">
        <v>42</v>
      </c>
      <c r="R2" s="3" t="s">
        <v>43</v>
      </c>
      <c r="S2" s="3" t="s">
        <v>44</v>
      </c>
      <c r="T2" s="3" t="s">
        <v>45</v>
      </c>
      <c r="U2" s="3" t="s">
        <v>46</v>
      </c>
      <c r="V2" s="4" t="s">
        <v>47</v>
      </c>
      <c r="W2" s="3"/>
      <c r="X2" s="3"/>
      <c r="Y2" s="3" t="s">
        <v>48</v>
      </c>
      <c r="Z2" s="3" t="s">
        <v>46</v>
      </c>
      <c r="AA2" s="4" t="s">
        <v>49</v>
      </c>
      <c r="AB2" s="3"/>
      <c r="AC2" s="3"/>
      <c r="AD2" s="3"/>
    </row>
    <row r="3" spans="1:30" ht="15.75" customHeight="1">
      <c r="A3" s="3" t="s">
        <v>30</v>
      </c>
      <c r="B3" s="3" t="s">
        <v>31</v>
      </c>
      <c r="C3" s="3" t="s">
        <v>50</v>
      </c>
      <c r="D3" s="3" t="s">
        <v>51</v>
      </c>
      <c r="E3" s="3" t="s">
        <v>52</v>
      </c>
      <c r="F3" s="3" t="s">
        <v>53</v>
      </c>
      <c r="G3" s="3" t="s">
        <v>54</v>
      </c>
      <c r="H3" s="3"/>
      <c r="I3" s="3" t="s">
        <v>37</v>
      </c>
      <c r="J3" s="3" t="s">
        <v>55</v>
      </c>
      <c r="K3" s="3"/>
      <c r="L3" s="3"/>
      <c r="M3" s="3" t="s">
        <v>39</v>
      </c>
      <c r="N3" s="3">
        <v>20</v>
      </c>
      <c r="O3" s="3" t="s">
        <v>40</v>
      </c>
      <c r="P3" s="3" t="s">
        <v>56</v>
      </c>
      <c r="Q3" s="3" t="s">
        <v>57</v>
      </c>
      <c r="R3" s="3" t="s">
        <v>58</v>
      </c>
      <c r="S3" s="3" t="s">
        <v>59</v>
      </c>
      <c r="T3" s="3" t="s">
        <v>60</v>
      </c>
      <c r="U3" s="3" t="s">
        <v>61</v>
      </c>
      <c r="V3" s="4" t="s">
        <v>62</v>
      </c>
      <c r="W3" s="3"/>
      <c r="X3" s="3"/>
      <c r="Y3" s="3"/>
      <c r="Z3" s="3"/>
      <c r="AA3" s="3"/>
      <c r="AB3" s="3"/>
      <c r="AC3" s="3"/>
      <c r="AD3" s="3"/>
    </row>
    <row r="4" spans="1:30" ht="15.75" customHeight="1">
      <c r="A4" s="3" t="s">
        <v>63</v>
      </c>
      <c r="B4" s="3" t="s">
        <v>64</v>
      </c>
      <c r="C4" s="3" t="s">
        <v>65</v>
      </c>
      <c r="D4" s="3" t="s">
        <v>66</v>
      </c>
      <c r="E4" s="3" t="s">
        <v>67</v>
      </c>
      <c r="F4" s="3" t="s">
        <v>68</v>
      </c>
      <c r="G4" s="3" t="s">
        <v>69</v>
      </c>
      <c r="H4" s="3"/>
      <c r="I4" s="3" t="s">
        <v>70</v>
      </c>
      <c r="J4" s="3" t="s">
        <v>71</v>
      </c>
      <c r="K4" s="3" t="s">
        <v>72</v>
      </c>
      <c r="L4" s="5"/>
      <c r="M4" s="3" t="s">
        <v>73</v>
      </c>
      <c r="N4" s="3" t="s">
        <v>70</v>
      </c>
      <c r="O4" s="3" t="s">
        <v>70</v>
      </c>
      <c r="P4" s="3" t="s">
        <v>41</v>
      </c>
      <c r="Q4" s="3" t="s">
        <v>74</v>
      </c>
      <c r="R4" s="3" t="s">
        <v>75</v>
      </c>
      <c r="S4" s="3" t="s">
        <v>76</v>
      </c>
      <c r="T4" s="3" t="s">
        <v>77</v>
      </c>
      <c r="U4" s="3" t="s">
        <v>78</v>
      </c>
      <c r="V4" s="4" t="s">
        <v>79</v>
      </c>
      <c r="W4" s="3"/>
      <c r="X4" s="3"/>
      <c r="Y4" s="3" t="s">
        <v>80</v>
      </c>
      <c r="Z4" s="3" t="s">
        <v>78</v>
      </c>
      <c r="AA4" s="4" t="s">
        <v>79</v>
      </c>
      <c r="AB4" s="3"/>
      <c r="AC4" s="3"/>
      <c r="AD4" s="3"/>
    </row>
    <row r="5" spans="1:30" ht="15.75" customHeight="1">
      <c r="A5" s="6" t="s">
        <v>81</v>
      </c>
      <c r="B5" s="6" t="s">
        <v>82</v>
      </c>
      <c r="C5" s="6" t="s">
        <v>83</v>
      </c>
      <c r="D5" s="6" t="s">
        <v>84</v>
      </c>
      <c r="E5" s="6" t="s">
        <v>85</v>
      </c>
      <c r="F5" s="6" t="s">
        <v>86</v>
      </c>
      <c r="G5" s="6" t="s">
        <v>87</v>
      </c>
      <c r="H5" s="6"/>
      <c r="I5" s="6" t="s">
        <v>37</v>
      </c>
      <c r="J5" s="6" t="s">
        <v>88</v>
      </c>
      <c r="K5" s="6"/>
      <c r="L5" s="6"/>
      <c r="M5" s="6" t="s">
        <v>39</v>
      </c>
      <c r="N5" s="6" t="s">
        <v>89</v>
      </c>
      <c r="O5" s="6" t="s">
        <v>90</v>
      </c>
      <c r="P5" s="6" t="s">
        <v>41</v>
      </c>
      <c r="Q5" s="6" t="s">
        <v>42</v>
      </c>
      <c r="R5" s="6" t="s">
        <v>43</v>
      </c>
      <c r="S5" s="6" t="s">
        <v>59</v>
      </c>
      <c r="T5" s="6" t="s">
        <v>91</v>
      </c>
      <c r="U5" s="6" t="s">
        <v>92</v>
      </c>
      <c r="V5" s="7" t="s">
        <v>93</v>
      </c>
      <c r="W5" s="6" t="s">
        <v>94</v>
      </c>
      <c r="X5" s="7" t="s">
        <v>95</v>
      </c>
      <c r="Y5" s="6"/>
      <c r="Z5" s="6"/>
      <c r="AA5" s="6"/>
      <c r="AB5" s="6"/>
      <c r="AC5" s="6"/>
      <c r="AD5" s="6"/>
    </row>
    <row r="6" spans="1:30" ht="15.75" customHeight="1">
      <c r="A6" s="6" t="s">
        <v>81</v>
      </c>
      <c r="B6" s="6" t="s">
        <v>82</v>
      </c>
      <c r="C6" s="6" t="s">
        <v>83</v>
      </c>
      <c r="D6" s="6" t="s">
        <v>84</v>
      </c>
      <c r="E6" s="6" t="s">
        <v>85</v>
      </c>
      <c r="F6" s="6" t="s">
        <v>96</v>
      </c>
      <c r="G6" s="6" t="s">
        <v>97</v>
      </c>
      <c r="H6" s="6"/>
      <c r="I6" s="6" t="s">
        <v>98</v>
      </c>
      <c r="J6" s="6" t="s">
        <v>99</v>
      </c>
      <c r="K6" s="6" t="s">
        <v>100</v>
      </c>
      <c r="L6" s="6"/>
      <c r="M6" s="6" t="s">
        <v>73</v>
      </c>
      <c r="N6" s="6">
        <v>16.170000000000002</v>
      </c>
      <c r="O6" s="6" t="s">
        <v>40</v>
      </c>
      <c r="P6" s="6" t="s">
        <v>101</v>
      </c>
      <c r="Q6" s="6" t="s">
        <v>74</v>
      </c>
      <c r="R6" s="6" t="s">
        <v>102</v>
      </c>
      <c r="S6" s="6" t="s">
        <v>70</v>
      </c>
      <c r="T6" s="6"/>
      <c r="U6" s="6" t="s">
        <v>103</v>
      </c>
      <c r="V6" s="7" t="s">
        <v>104</v>
      </c>
      <c r="W6" s="6"/>
      <c r="X6" s="6"/>
      <c r="Y6" s="6"/>
      <c r="Z6" s="6"/>
      <c r="AA6" s="6"/>
      <c r="AB6" s="6"/>
      <c r="AC6" s="6"/>
      <c r="AD6" s="6"/>
    </row>
    <row r="7" spans="1:30" ht="15.75" customHeight="1">
      <c r="A7" s="3" t="s">
        <v>30</v>
      </c>
      <c r="B7" s="3" t="s">
        <v>31</v>
      </c>
      <c r="C7" s="3" t="s">
        <v>105</v>
      </c>
      <c r="D7" s="3" t="s">
        <v>106</v>
      </c>
      <c r="E7" s="3" t="s">
        <v>107</v>
      </c>
      <c r="F7" s="3" t="s">
        <v>108</v>
      </c>
      <c r="G7" s="3" t="s">
        <v>109</v>
      </c>
      <c r="H7" s="3"/>
      <c r="I7" s="3" t="s">
        <v>37</v>
      </c>
      <c r="J7" s="3" t="s">
        <v>110</v>
      </c>
      <c r="K7" s="3"/>
      <c r="L7" s="3"/>
      <c r="M7" s="3" t="s">
        <v>39</v>
      </c>
      <c r="N7" s="3">
        <v>28</v>
      </c>
      <c r="O7" s="3" t="s">
        <v>40</v>
      </c>
      <c r="P7" s="3" t="s">
        <v>70</v>
      </c>
      <c r="Q7" s="3" t="s">
        <v>70</v>
      </c>
      <c r="R7" s="3" t="s">
        <v>70</v>
      </c>
      <c r="S7" s="3" t="s">
        <v>76</v>
      </c>
      <c r="T7" s="3" t="s">
        <v>111</v>
      </c>
      <c r="U7" s="3" t="s">
        <v>112</v>
      </c>
      <c r="V7" s="4" t="s">
        <v>113</v>
      </c>
      <c r="W7" s="3"/>
      <c r="X7" s="3"/>
      <c r="Y7" s="3"/>
      <c r="Z7" s="3"/>
      <c r="AA7" s="3"/>
      <c r="AB7" s="3"/>
      <c r="AC7" s="3"/>
      <c r="AD7" s="3"/>
    </row>
    <row r="8" spans="1:30" ht="15.75" customHeight="1">
      <c r="A8" s="3"/>
      <c r="B8" s="3"/>
      <c r="C8" s="3"/>
      <c r="D8" s="3"/>
      <c r="E8" s="3"/>
      <c r="F8" s="3"/>
      <c r="G8" s="3"/>
      <c r="H8" s="8"/>
      <c r="I8" s="3"/>
      <c r="J8" s="3"/>
      <c r="K8" s="3"/>
      <c r="L8" s="3"/>
      <c r="M8" s="3"/>
      <c r="N8" s="3"/>
      <c r="O8" s="3"/>
      <c r="P8" s="3"/>
      <c r="Q8" s="3"/>
      <c r="R8" s="3"/>
      <c r="S8" s="3"/>
      <c r="T8" s="3"/>
      <c r="U8" s="3"/>
      <c r="V8" s="4"/>
      <c r="W8" s="3"/>
      <c r="X8" s="4"/>
      <c r="Y8" s="3"/>
      <c r="Z8" s="3"/>
      <c r="AA8" s="3"/>
      <c r="AB8" s="3"/>
      <c r="AC8" s="3"/>
      <c r="AD8" s="3"/>
    </row>
    <row r="9" spans="1:30" ht="15.75" customHeight="1">
      <c r="A9" s="3"/>
      <c r="B9" s="3"/>
      <c r="C9" s="3"/>
      <c r="D9" s="3"/>
      <c r="E9" s="3"/>
      <c r="F9" s="3"/>
      <c r="G9" s="3"/>
      <c r="H9" s="3"/>
      <c r="I9" s="3"/>
      <c r="J9" s="3"/>
      <c r="K9" s="3"/>
      <c r="L9" s="3"/>
      <c r="M9" s="3"/>
      <c r="N9" s="3"/>
      <c r="O9" s="3"/>
      <c r="P9" s="3"/>
      <c r="Q9" s="3"/>
      <c r="R9" s="3"/>
      <c r="S9" s="3"/>
      <c r="T9" s="3"/>
      <c r="U9" s="3"/>
      <c r="V9" s="4"/>
      <c r="W9" s="3"/>
      <c r="X9" s="3"/>
      <c r="Y9" s="3"/>
      <c r="Z9" s="3"/>
      <c r="AA9" s="3"/>
      <c r="AB9" s="3"/>
      <c r="AC9" s="3"/>
      <c r="AD9" s="3"/>
    </row>
    <row r="10" spans="1:30" ht="15.75" customHeight="1">
      <c r="A10" s="3"/>
      <c r="B10" s="3"/>
      <c r="C10" s="3"/>
      <c r="D10" s="3"/>
      <c r="E10" s="3"/>
      <c r="F10" s="3"/>
      <c r="G10" s="3"/>
      <c r="H10" s="3"/>
      <c r="I10" s="3"/>
      <c r="J10" s="3"/>
      <c r="K10" s="3"/>
      <c r="L10" s="3"/>
      <c r="M10" s="3"/>
      <c r="N10" s="3"/>
      <c r="O10" s="3"/>
      <c r="P10" s="3"/>
      <c r="Q10" s="3"/>
      <c r="R10" s="3"/>
      <c r="S10" s="3"/>
      <c r="T10" s="3"/>
      <c r="U10" s="3"/>
      <c r="V10" s="4"/>
      <c r="W10" s="3"/>
      <c r="X10" s="3"/>
      <c r="Y10" s="3"/>
      <c r="Z10" s="3"/>
      <c r="AA10" s="4"/>
      <c r="AB10" s="3"/>
      <c r="AC10" s="3"/>
      <c r="AD10" s="3"/>
    </row>
    <row r="11" spans="1:30" ht="15.75" customHeight="1">
      <c r="A11" s="3"/>
      <c r="B11" s="3"/>
      <c r="C11" s="3"/>
      <c r="D11" s="3"/>
      <c r="E11" s="3"/>
      <c r="F11" s="3"/>
      <c r="G11" s="3"/>
      <c r="H11" s="3"/>
      <c r="I11" s="3"/>
      <c r="J11" s="3"/>
      <c r="K11" s="3"/>
      <c r="L11" s="3"/>
      <c r="M11" s="3"/>
      <c r="N11" s="3"/>
      <c r="O11" s="3"/>
      <c r="P11" s="3"/>
      <c r="Q11" s="3"/>
      <c r="R11" s="3"/>
      <c r="S11" s="3"/>
      <c r="T11" s="3"/>
      <c r="U11" s="3"/>
      <c r="V11" s="4"/>
      <c r="W11" s="9"/>
      <c r="X11" s="3"/>
      <c r="Y11" s="3"/>
      <c r="Z11" s="3"/>
      <c r="AA11" s="4"/>
      <c r="AB11" s="3"/>
      <c r="AC11" s="3"/>
      <c r="AD11" s="10"/>
    </row>
    <row r="12" spans="1:30" ht="15.75" customHeight="1">
      <c r="A12" s="3"/>
      <c r="B12" s="3"/>
      <c r="C12" s="3"/>
      <c r="D12" s="3"/>
      <c r="E12" s="3"/>
      <c r="F12" s="3"/>
      <c r="G12" s="3"/>
      <c r="H12" s="3"/>
      <c r="I12" s="3"/>
      <c r="J12" s="3"/>
      <c r="K12" s="3"/>
      <c r="L12" s="3"/>
      <c r="M12" s="3"/>
      <c r="N12" s="3"/>
      <c r="O12" s="3"/>
      <c r="P12" s="3"/>
      <c r="Q12" s="3"/>
      <c r="R12" s="3"/>
      <c r="S12" s="3"/>
      <c r="T12" s="3"/>
      <c r="U12" s="3"/>
      <c r="V12" s="4"/>
      <c r="W12" s="3"/>
      <c r="X12" s="3"/>
      <c r="Y12" s="3"/>
      <c r="Z12" s="3"/>
      <c r="AA12" s="3"/>
      <c r="AB12" s="3"/>
      <c r="AC12" s="3"/>
      <c r="AD12" s="3"/>
    </row>
    <row r="13" spans="1:30" ht="15.75" customHeight="1">
      <c r="A13" s="3"/>
      <c r="B13" s="3"/>
      <c r="C13" s="3"/>
      <c r="D13" s="3"/>
      <c r="E13" s="3"/>
      <c r="F13" s="3"/>
      <c r="G13" s="3"/>
      <c r="H13" s="3"/>
      <c r="I13" s="3"/>
      <c r="J13" s="3"/>
      <c r="K13" s="3"/>
      <c r="L13" s="3"/>
      <c r="M13" s="3"/>
      <c r="N13" s="3"/>
      <c r="O13" s="3"/>
      <c r="P13" s="3"/>
      <c r="Q13" s="3"/>
      <c r="R13" s="3"/>
      <c r="S13" s="3"/>
      <c r="T13" s="3"/>
      <c r="U13" s="3"/>
      <c r="V13" s="4"/>
      <c r="W13" s="3"/>
      <c r="X13" s="4"/>
      <c r="Y13" s="3"/>
      <c r="Z13" s="3"/>
      <c r="AA13" s="3"/>
      <c r="AB13" s="3"/>
      <c r="AC13" s="3"/>
      <c r="AD13" s="3"/>
    </row>
    <row r="14" spans="1:30" ht="15.75" customHeight="1">
      <c r="A14" s="3"/>
      <c r="B14" s="3"/>
      <c r="C14" s="3"/>
      <c r="D14" s="3"/>
      <c r="E14" s="3"/>
      <c r="F14" s="3"/>
      <c r="G14" s="3"/>
      <c r="H14" s="3"/>
      <c r="I14" s="3"/>
      <c r="J14" s="3"/>
      <c r="K14" s="3"/>
      <c r="L14" s="3"/>
      <c r="M14" s="3"/>
      <c r="N14" s="3"/>
      <c r="O14" s="3"/>
      <c r="P14" s="3"/>
      <c r="Q14" s="3"/>
      <c r="R14" s="3"/>
      <c r="S14" s="3"/>
      <c r="T14" s="3"/>
      <c r="U14" s="3"/>
      <c r="V14" s="4"/>
      <c r="W14" s="3"/>
      <c r="X14" s="4"/>
      <c r="Y14" s="3"/>
      <c r="Z14" s="3"/>
      <c r="AA14" s="3"/>
      <c r="AB14" s="3"/>
      <c r="AC14" s="3"/>
      <c r="AD14" s="3"/>
    </row>
    <row r="15" spans="1:30" ht="15.75" customHeight="1">
      <c r="A15" s="3"/>
      <c r="B15" s="3"/>
      <c r="C15" s="3"/>
      <c r="D15" s="3"/>
      <c r="E15" s="3"/>
      <c r="F15" s="3"/>
      <c r="G15" s="3"/>
      <c r="H15" s="3"/>
      <c r="I15" s="3"/>
      <c r="J15" s="3"/>
      <c r="K15" s="3"/>
      <c r="L15" s="3"/>
      <c r="M15" s="3"/>
      <c r="N15" s="3"/>
      <c r="O15" s="3"/>
      <c r="P15" s="3"/>
      <c r="Q15" s="3"/>
      <c r="R15" s="3"/>
      <c r="S15" s="3"/>
      <c r="T15" s="3"/>
      <c r="U15" s="3"/>
      <c r="V15" s="4"/>
      <c r="W15" s="3"/>
      <c r="X15" s="4"/>
      <c r="Y15" s="3"/>
      <c r="Z15" s="3"/>
      <c r="AA15" s="3"/>
      <c r="AB15" s="3"/>
      <c r="AC15" s="3"/>
      <c r="AD15" s="3"/>
    </row>
    <row r="16" spans="1:30" ht="15.75" customHeight="1">
      <c r="A16" s="3"/>
      <c r="B16" s="3"/>
      <c r="C16" s="3"/>
      <c r="D16" s="3"/>
      <c r="E16" s="3"/>
      <c r="F16" s="3"/>
      <c r="G16" s="3"/>
      <c r="H16" s="3"/>
      <c r="I16" s="3"/>
      <c r="J16" s="3"/>
      <c r="K16" s="3"/>
      <c r="L16" s="3"/>
      <c r="M16" s="3"/>
      <c r="N16" s="3"/>
      <c r="O16" s="3"/>
      <c r="P16" s="3"/>
      <c r="Q16" s="3"/>
      <c r="R16" s="3"/>
      <c r="S16" s="3"/>
      <c r="T16" s="3"/>
      <c r="U16" s="3"/>
      <c r="V16" s="4"/>
      <c r="W16" s="3"/>
      <c r="X16" s="3"/>
      <c r="Y16" s="3"/>
      <c r="Z16" s="3"/>
      <c r="AA16" s="3"/>
      <c r="AB16" s="3"/>
      <c r="AC16" s="3"/>
      <c r="AD16" s="3"/>
    </row>
    <row r="17" spans="1:30" ht="15.75" customHeight="1">
      <c r="A17" s="3"/>
      <c r="B17" s="3"/>
      <c r="C17" s="3"/>
      <c r="D17" s="3"/>
      <c r="E17" s="3"/>
      <c r="F17" s="3"/>
      <c r="G17" s="3"/>
      <c r="H17" s="3"/>
      <c r="I17" s="3"/>
      <c r="J17" s="3"/>
      <c r="K17" s="3"/>
      <c r="L17" s="3"/>
      <c r="M17" s="3"/>
      <c r="N17" s="3"/>
      <c r="O17" s="3"/>
      <c r="P17" s="3"/>
      <c r="Q17" s="3"/>
      <c r="R17" s="3"/>
      <c r="S17" s="3"/>
      <c r="T17" s="3"/>
      <c r="U17" s="3"/>
      <c r="V17" s="4"/>
      <c r="W17" s="3"/>
      <c r="X17" s="3"/>
      <c r="Y17" s="3"/>
      <c r="Z17" s="3"/>
      <c r="AA17" s="3"/>
      <c r="AB17" s="3"/>
      <c r="AC17" s="3"/>
      <c r="AD17" s="3"/>
    </row>
    <row r="18" spans="1:30" ht="15.75" customHeight="1">
      <c r="A18" s="3"/>
      <c r="B18" s="3"/>
      <c r="C18" s="3"/>
      <c r="D18" s="3"/>
      <c r="E18" s="3"/>
      <c r="F18" s="3"/>
      <c r="G18" s="3"/>
      <c r="H18" s="3"/>
      <c r="I18" s="3"/>
      <c r="J18" s="3"/>
      <c r="K18" s="3"/>
      <c r="L18" s="3"/>
      <c r="M18" s="3"/>
      <c r="N18" s="3"/>
      <c r="O18" s="3"/>
      <c r="P18" s="3"/>
      <c r="Q18" s="3"/>
      <c r="R18" s="3"/>
      <c r="S18" s="3"/>
      <c r="T18" s="3"/>
      <c r="U18" s="3"/>
      <c r="V18" s="4"/>
      <c r="W18" s="3"/>
      <c r="X18" s="4"/>
      <c r="Y18" s="3"/>
      <c r="Z18" s="3"/>
      <c r="AA18" s="3"/>
      <c r="AB18" s="3"/>
      <c r="AC18" s="3"/>
      <c r="AD18" s="3"/>
    </row>
    <row r="19" spans="1:30" ht="15.75" customHeight="1">
      <c r="A19" s="3"/>
      <c r="B19" s="3"/>
      <c r="C19" s="3"/>
      <c r="D19" s="3"/>
      <c r="E19" s="3"/>
      <c r="F19" s="3"/>
      <c r="G19" s="3"/>
      <c r="H19" s="3"/>
      <c r="I19" s="3"/>
      <c r="J19" s="3"/>
      <c r="K19" s="3"/>
      <c r="L19" s="3"/>
      <c r="M19" s="3"/>
      <c r="N19" s="3"/>
      <c r="O19" s="3"/>
      <c r="P19" s="3"/>
      <c r="Q19" s="3"/>
      <c r="R19" s="3"/>
      <c r="S19" s="3"/>
      <c r="T19" s="3"/>
      <c r="U19" s="3"/>
      <c r="V19" s="4"/>
      <c r="W19" s="3"/>
      <c r="X19" s="4"/>
      <c r="Y19" s="3"/>
      <c r="Z19" s="3"/>
      <c r="AA19" s="4"/>
      <c r="AB19" s="3"/>
      <c r="AC19" s="3"/>
      <c r="AD19" s="3"/>
    </row>
    <row r="20" spans="1:30" ht="15.75" customHeight="1">
      <c r="A20" s="3"/>
      <c r="B20" s="3"/>
      <c r="C20" s="3"/>
      <c r="D20" s="3"/>
      <c r="E20" s="3"/>
      <c r="F20" s="3"/>
      <c r="G20" s="3"/>
      <c r="H20" s="3"/>
      <c r="I20" s="3"/>
      <c r="J20" s="3"/>
      <c r="K20" s="3"/>
      <c r="L20" s="3"/>
      <c r="M20" s="3"/>
      <c r="N20" s="3"/>
      <c r="O20" s="3"/>
      <c r="P20" s="3"/>
      <c r="Q20" s="3"/>
      <c r="R20" s="3"/>
      <c r="S20" s="3"/>
      <c r="T20" s="3"/>
      <c r="U20" s="3"/>
      <c r="V20" s="4"/>
      <c r="W20" s="3"/>
      <c r="X20" s="4"/>
      <c r="Y20" s="3"/>
      <c r="Z20" s="3"/>
      <c r="AA20" s="4"/>
      <c r="AB20" s="3"/>
      <c r="AC20" s="3"/>
      <c r="AD20" s="3"/>
    </row>
    <row r="21" spans="1:30" ht="15.75" customHeight="1">
      <c r="A21" s="3"/>
      <c r="B21" s="3"/>
      <c r="C21" s="3"/>
      <c r="D21" s="3"/>
      <c r="E21" s="3"/>
      <c r="F21" s="3"/>
      <c r="G21" s="3"/>
      <c r="H21" s="3"/>
      <c r="I21" s="3"/>
      <c r="J21" s="3"/>
      <c r="K21" s="3"/>
      <c r="L21" s="3"/>
      <c r="M21" s="3"/>
      <c r="N21" s="3"/>
      <c r="O21" s="3"/>
      <c r="P21" s="3"/>
      <c r="Q21" s="3"/>
      <c r="R21" s="3"/>
      <c r="S21" s="3"/>
      <c r="T21" s="3"/>
      <c r="U21" s="3"/>
      <c r="V21" s="4"/>
      <c r="W21" s="3"/>
      <c r="X21" s="4"/>
      <c r="Y21" s="3"/>
      <c r="Z21" s="3"/>
      <c r="AA21" s="3"/>
      <c r="AB21" s="3"/>
      <c r="AC21" s="3"/>
      <c r="AD21" s="3"/>
    </row>
    <row r="22" spans="1:30" ht="15.75" customHeight="1">
      <c r="A22" s="3"/>
      <c r="B22" s="3"/>
      <c r="C22" s="3"/>
      <c r="D22" s="3"/>
      <c r="E22" s="3"/>
      <c r="F22" s="3"/>
      <c r="G22" s="3"/>
      <c r="H22" s="3"/>
      <c r="I22" s="3"/>
      <c r="J22" s="3"/>
      <c r="K22" s="3"/>
      <c r="L22" s="3"/>
      <c r="M22" s="3"/>
      <c r="N22" s="3"/>
      <c r="O22" s="3"/>
      <c r="P22" s="3"/>
      <c r="Q22" s="3"/>
      <c r="R22" s="3"/>
      <c r="S22" s="3"/>
      <c r="T22" s="3"/>
      <c r="U22" s="3"/>
      <c r="V22" s="4"/>
      <c r="W22" s="3"/>
      <c r="X22" s="4"/>
      <c r="Y22" s="3"/>
      <c r="Z22" s="3"/>
      <c r="AA22" s="4"/>
      <c r="AB22" s="3"/>
      <c r="AC22" s="3"/>
      <c r="AD22" s="3"/>
    </row>
    <row r="23" spans="1:30" ht="15.75" customHeight="1">
      <c r="A23" s="3"/>
      <c r="B23" s="3"/>
      <c r="C23" s="3"/>
      <c r="D23" s="3"/>
      <c r="E23" s="3"/>
      <c r="F23" s="3"/>
      <c r="G23" s="3"/>
      <c r="H23" s="3"/>
      <c r="I23" s="3"/>
      <c r="J23" s="3"/>
      <c r="K23" s="3"/>
      <c r="L23" s="3"/>
      <c r="M23" s="3"/>
      <c r="N23" s="3"/>
      <c r="O23" s="3"/>
      <c r="P23" s="3"/>
      <c r="Q23" s="3"/>
      <c r="R23" s="3"/>
      <c r="S23" s="3"/>
      <c r="T23" s="3"/>
      <c r="U23" s="3"/>
      <c r="V23" s="4"/>
      <c r="W23" s="3"/>
      <c r="X23" s="4"/>
      <c r="Y23" s="3"/>
      <c r="Z23" s="3"/>
      <c r="AA23" s="4"/>
      <c r="AB23" s="3"/>
      <c r="AC23" s="3"/>
      <c r="AD23" s="3"/>
    </row>
    <row r="24" spans="1:30" ht="15.75" customHeight="1">
      <c r="A24" s="3"/>
      <c r="B24" s="3"/>
      <c r="C24" s="3"/>
      <c r="D24" s="3"/>
      <c r="E24" s="3"/>
      <c r="F24" s="3"/>
      <c r="G24" s="3"/>
      <c r="H24" s="3"/>
      <c r="I24" s="3"/>
      <c r="J24" s="3"/>
      <c r="K24" s="3"/>
      <c r="L24" s="3"/>
      <c r="M24" s="3"/>
      <c r="N24" s="3"/>
      <c r="O24" s="3"/>
      <c r="P24" s="3"/>
      <c r="Q24" s="3"/>
      <c r="R24" s="3"/>
      <c r="S24" s="3"/>
      <c r="T24" s="3"/>
      <c r="U24" s="3"/>
      <c r="V24" s="4"/>
      <c r="W24" s="3"/>
      <c r="X24" s="4"/>
      <c r="Y24" s="3"/>
      <c r="Z24" s="3"/>
      <c r="AA24" s="4"/>
      <c r="AB24" s="3"/>
      <c r="AC24" s="3"/>
      <c r="AD24" s="3"/>
    </row>
    <row r="25" spans="1:30" ht="15.75" customHeight="1">
      <c r="A25" s="3"/>
      <c r="B25" s="3"/>
      <c r="C25" s="3"/>
      <c r="D25" s="3"/>
      <c r="E25" s="3"/>
      <c r="F25" s="3"/>
      <c r="G25" s="3"/>
      <c r="H25" s="3"/>
      <c r="I25" s="3"/>
      <c r="J25" s="3"/>
      <c r="K25" s="3"/>
      <c r="L25" s="3"/>
      <c r="M25" s="3"/>
      <c r="N25" s="3"/>
      <c r="O25" s="3"/>
      <c r="P25" s="3"/>
      <c r="Q25" s="3"/>
      <c r="R25" s="3"/>
      <c r="S25" s="3"/>
      <c r="T25" s="3"/>
      <c r="U25" s="3"/>
      <c r="V25" s="4"/>
      <c r="W25" s="3"/>
      <c r="X25" s="4"/>
      <c r="Y25" s="3"/>
      <c r="Z25" s="3"/>
      <c r="AA25" s="4"/>
      <c r="AB25" s="3"/>
      <c r="AC25" s="3"/>
      <c r="AD25" s="3"/>
    </row>
    <row r="26" spans="1:30" ht="15.75" customHeight="1">
      <c r="A26" s="3"/>
      <c r="B26" s="3"/>
      <c r="C26" s="3"/>
      <c r="D26" s="3"/>
      <c r="E26" s="3"/>
      <c r="F26" s="3"/>
      <c r="G26" s="3"/>
      <c r="H26" s="3"/>
      <c r="I26" s="3"/>
      <c r="J26" s="3"/>
      <c r="K26" s="3"/>
      <c r="L26" s="3"/>
      <c r="M26" s="3"/>
      <c r="N26" s="3"/>
      <c r="O26" s="3"/>
      <c r="P26" s="3"/>
      <c r="Q26" s="3"/>
      <c r="R26" s="3"/>
      <c r="S26" s="3"/>
      <c r="T26" s="3"/>
      <c r="U26" s="3"/>
      <c r="V26" s="4"/>
      <c r="W26" s="3"/>
      <c r="X26" s="4"/>
      <c r="Y26" s="3"/>
      <c r="Z26" s="3"/>
      <c r="AA26" s="4"/>
      <c r="AB26" s="3"/>
      <c r="AC26" s="3"/>
      <c r="AD26" s="3"/>
    </row>
    <row r="27" spans="1:30" ht="15.75" customHeight="1">
      <c r="A27" s="3"/>
      <c r="B27" s="3"/>
      <c r="C27" s="3"/>
      <c r="D27" s="3"/>
      <c r="E27" s="3"/>
      <c r="F27" s="3"/>
      <c r="G27" s="3"/>
      <c r="H27" s="3"/>
      <c r="I27" s="3"/>
      <c r="J27" s="3"/>
      <c r="K27" s="3"/>
      <c r="L27" s="3"/>
      <c r="M27" s="3"/>
      <c r="N27" s="3"/>
      <c r="O27" s="3"/>
      <c r="P27" s="3"/>
      <c r="Q27" s="3"/>
      <c r="R27" s="3"/>
      <c r="S27" s="3"/>
      <c r="T27" s="3"/>
      <c r="U27" s="3"/>
      <c r="V27" s="4"/>
      <c r="W27" s="3"/>
      <c r="X27" s="4"/>
      <c r="Y27" s="3"/>
      <c r="Z27" s="3"/>
      <c r="AA27" s="4"/>
      <c r="AB27" s="3"/>
      <c r="AC27" s="3"/>
      <c r="AD27" s="3"/>
    </row>
    <row r="28" spans="1:30" ht="15.75" customHeight="1">
      <c r="A28" s="3"/>
      <c r="B28" s="3"/>
      <c r="C28" s="3"/>
      <c r="D28" s="3"/>
      <c r="E28" s="3"/>
      <c r="F28" s="3"/>
      <c r="G28" s="3"/>
      <c r="H28" s="3"/>
      <c r="I28" s="3"/>
      <c r="J28" s="3"/>
      <c r="K28" s="3"/>
      <c r="L28" s="3"/>
      <c r="M28" s="3"/>
      <c r="N28" s="3"/>
      <c r="O28" s="3"/>
      <c r="P28" s="3"/>
      <c r="Q28" s="3"/>
      <c r="R28" s="3"/>
      <c r="S28" s="3"/>
      <c r="T28" s="3"/>
      <c r="U28" s="3"/>
      <c r="V28" s="4"/>
      <c r="W28" s="3"/>
      <c r="X28" s="4"/>
      <c r="Y28" s="3"/>
      <c r="Z28" s="3"/>
      <c r="AA28" s="3"/>
      <c r="AB28" s="3"/>
      <c r="AC28" s="3"/>
      <c r="AD28" s="3"/>
    </row>
    <row r="29" spans="1:30" ht="15.75" customHeight="1">
      <c r="A29" s="3"/>
      <c r="B29" s="3"/>
      <c r="C29" s="3"/>
      <c r="D29" s="3"/>
      <c r="E29" s="3"/>
      <c r="F29" s="3"/>
      <c r="G29" s="3"/>
      <c r="H29" s="3"/>
      <c r="I29" s="3"/>
      <c r="J29" s="3"/>
      <c r="K29" s="3"/>
      <c r="L29" s="3"/>
      <c r="M29" s="3"/>
      <c r="N29" s="3"/>
      <c r="O29" s="3"/>
      <c r="P29" s="3"/>
      <c r="Q29" s="3"/>
      <c r="R29" s="3"/>
      <c r="S29" s="3"/>
      <c r="T29" s="3"/>
      <c r="U29" s="3"/>
      <c r="V29" s="4"/>
      <c r="W29" s="3"/>
      <c r="X29" s="4"/>
      <c r="Y29" s="3"/>
      <c r="Z29" s="3"/>
      <c r="AA29" s="3"/>
      <c r="AB29" s="3"/>
      <c r="AC29" s="3"/>
      <c r="AD29" s="3"/>
    </row>
    <row r="30" spans="1:30" ht="15.75" customHeight="1">
      <c r="A30" s="3"/>
      <c r="B30" s="3"/>
      <c r="C30" s="3"/>
      <c r="D30" s="3"/>
      <c r="E30" s="3"/>
      <c r="F30" s="3"/>
      <c r="G30" s="3"/>
      <c r="H30" s="3"/>
      <c r="I30" s="3"/>
      <c r="J30" s="3"/>
      <c r="K30" s="3"/>
      <c r="L30" s="3"/>
      <c r="M30" s="3"/>
      <c r="N30" s="3"/>
      <c r="O30" s="3"/>
      <c r="P30" s="3"/>
      <c r="Q30" s="3"/>
      <c r="R30" s="3"/>
      <c r="S30" s="3"/>
      <c r="T30" s="3"/>
      <c r="U30" s="3"/>
      <c r="V30" s="4"/>
      <c r="W30" s="3"/>
      <c r="X30" s="4"/>
      <c r="Y30" s="3"/>
      <c r="Z30" s="3"/>
      <c r="AA30" s="3"/>
      <c r="AB30" s="3"/>
      <c r="AC30" s="3"/>
      <c r="AD30" s="4"/>
    </row>
    <row r="31" spans="1:30" ht="15.75" customHeight="1">
      <c r="A31" s="3"/>
      <c r="B31" s="3"/>
      <c r="C31" s="3"/>
      <c r="D31" s="3"/>
      <c r="E31" s="3"/>
      <c r="F31" s="3"/>
      <c r="G31" s="3"/>
      <c r="H31" s="3"/>
      <c r="I31" s="3"/>
      <c r="J31" s="3"/>
      <c r="K31" s="3"/>
      <c r="L31" s="3"/>
      <c r="M31" s="3"/>
      <c r="N31" s="3"/>
      <c r="O31" s="3"/>
      <c r="P31" s="3"/>
      <c r="Q31" s="3"/>
      <c r="R31" s="3"/>
      <c r="S31" s="3"/>
      <c r="T31" s="11"/>
      <c r="U31" s="3"/>
      <c r="V31" s="4"/>
      <c r="W31" s="3"/>
      <c r="X31" s="3"/>
      <c r="Y31" s="3"/>
      <c r="Z31" s="3"/>
      <c r="AA31" s="3"/>
      <c r="AB31" s="3"/>
      <c r="AC31" s="3"/>
      <c r="AD31" s="3"/>
    </row>
    <row r="32" spans="1:30" ht="15.75" customHeight="1">
      <c r="A32" s="3"/>
      <c r="B32" s="3"/>
      <c r="C32" s="3"/>
      <c r="D32" s="3"/>
      <c r="E32" s="3"/>
      <c r="F32" s="3"/>
      <c r="G32" s="3"/>
      <c r="H32" s="3"/>
      <c r="I32" s="3"/>
      <c r="J32" s="3"/>
      <c r="K32" s="3"/>
      <c r="L32" s="3"/>
      <c r="M32" s="3"/>
      <c r="N32" s="3"/>
      <c r="O32" s="3"/>
      <c r="P32" s="3"/>
      <c r="Q32" s="3"/>
      <c r="R32" s="3"/>
      <c r="S32" s="3"/>
      <c r="T32" s="3"/>
      <c r="U32" s="3"/>
      <c r="V32" s="4"/>
      <c r="W32" s="3"/>
      <c r="X32" s="3"/>
      <c r="Y32" s="3"/>
      <c r="Z32" s="3"/>
      <c r="AA32" s="3"/>
      <c r="AB32" s="3"/>
      <c r="AC32" s="3"/>
      <c r="AD32" s="3"/>
    </row>
    <row r="33" spans="1:30" ht="15.75" customHeight="1">
      <c r="A33" s="3"/>
      <c r="B33" s="3"/>
      <c r="C33" s="3"/>
      <c r="D33" s="3"/>
      <c r="E33" s="3"/>
      <c r="F33" s="3"/>
      <c r="G33" s="3"/>
      <c r="H33" s="3"/>
      <c r="I33" s="3"/>
      <c r="J33" s="3"/>
      <c r="K33" s="3"/>
      <c r="L33" s="3"/>
      <c r="M33" s="3"/>
      <c r="N33" s="3"/>
      <c r="O33" s="3"/>
      <c r="P33" s="3"/>
      <c r="Q33" s="3"/>
      <c r="R33" s="3"/>
      <c r="S33" s="3"/>
      <c r="T33" s="3"/>
      <c r="U33" s="3"/>
      <c r="V33" s="4"/>
      <c r="W33" s="3"/>
      <c r="X33" s="3"/>
      <c r="Y33" s="3"/>
      <c r="Z33" s="3"/>
      <c r="AA33" s="4"/>
      <c r="AB33" s="3"/>
      <c r="AC33" s="3"/>
      <c r="AD33" s="3"/>
    </row>
    <row r="34" spans="1:30" ht="15.75" customHeight="1">
      <c r="A34" s="3"/>
      <c r="B34" s="3"/>
      <c r="C34" s="3"/>
      <c r="D34" s="3"/>
      <c r="E34" s="3"/>
      <c r="F34" s="3"/>
      <c r="G34" s="3"/>
      <c r="H34" s="3"/>
      <c r="I34" s="3"/>
      <c r="J34" s="3"/>
      <c r="K34" s="3"/>
      <c r="L34" s="3"/>
      <c r="M34" s="3"/>
      <c r="N34" s="3"/>
      <c r="O34" s="3"/>
      <c r="P34" s="3"/>
      <c r="Q34" s="3"/>
      <c r="R34" s="3"/>
      <c r="S34" s="3"/>
      <c r="T34" s="3"/>
      <c r="U34" s="3"/>
      <c r="V34" s="4"/>
      <c r="W34" s="3"/>
      <c r="X34" s="12"/>
      <c r="Y34" s="3"/>
      <c r="Z34" s="3"/>
      <c r="AA34" s="3"/>
      <c r="AB34" s="3"/>
      <c r="AC34" s="3"/>
      <c r="AD34" s="3"/>
    </row>
    <row r="35" spans="1:30" ht="15.75" customHeight="1">
      <c r="A35" s="3"/>
      <c r="B35" s="3"/>
      <c r="C35" s="3"/>
      <c r="D35" s="3"/>
      <c r="E35" s="3"/>
      <c r="F35" s="3"/>
      <c r="G35" s="3"/>
      <c r="H35" s="3"/>
      <c r="I35" s="3"/>
      <c r="J35" s="3"/>
      <c r="K35" s="3"/>
      <c r="L35" s="3"/>
      <c r="M35" s="3"/>
      <c r="N35" s="3"/>
      <c r="O35" s="3"/>
      <c r="P35" s="3"/>
      <c r="Q35" s="3"/>
      <c r="R35" s="3"/>
      <c r="S35" s="3"/>
      <c r="T35" s="3"/>
      <c r="U35" s="3"/>
      <c r="V35" s="13"/>
      <c r="W35" s="3"/>
      <c r="X35" s="12"/>
      <c r="Y35" s="3"/>
      <c r="Z35" s="3"/>
      <c r="AA35" s="3"/>
      <c r="AB35" s="3"/>
      <c r="AC35" s="3"/>
      <c r="AD35" s="3"/>
    </row>
    <row r="36" spans="1:30" ht="15.75" customHeight="1">
      <c r="A36" s="3"/>
      <c r="B36" s="3"/>
      <c r="C36" s="3"/>
      <c r="D36" s="3"/>
      <c r="E36" s="3"/>
      <c r="F36" s="3"/>
      <c r="G36" s="3"/>
      <c r="H36" s="3"/>
      <c r="I36" s="3"/>
      <c r="J36" s="3"/>
      <c r="K36" s="3"/>
      <c r="L36" s="3"/>
      <c r="M36" s="3"/>
      <c r="N36" s="3"/>
      <c r="O36" s="3"/>
      <c r="P36" s="3"/>
      <c r="Q36" s="3"/>
      <c r="R36" s="3"/>
      <c r="S36" s="3"/>
      <c r="T36" s="3"/>
      <c r="U36" s="3"/>
      <c r="V36" s="4"/>
      <c r="W36" s="3"/>
      <c r="X36" s="12"/>
      <c r="Y36" s="3"/>
      <c r="Z36" s="3"/>
      <c r="AA36" s="3"/>
      <c r="AB36" s="3"/>
      <c r="AC36" s="3"/>
      <c r="AD36" s="3"/>
    </row>
    <row r="37" spans="1:30" ht="15.75" customHeight="1">
      <c r="A37" s="15"/>
      <c r="B37" s="15"/>
      <c r="C37" s="15"/>
      <c r="D37" s="15"/>
      <c r="E37" s="15"/>
      <c r="F37" s="15"/>
      <c r="G37" s="15"/>
      <c r="H37" s="3"/>
      <c r="I37" s="3"/>
      <c r="J37" s="3"/>
      <c r="K37" s="3"/>
      <c r="L37" s="14"/>
      <c r="M37" s="3"/>
      <c r="N37" s="3"/>
      <c r="O37" s="3"/>
      <c r="P37" s="3"/>
      <c r="Q37" s="3"/>
      <c r="R37" s="3"/>
      <c r="S37" s="3"/>
      <c r="T37" s="3"/>
      <c r="U37" s="3"/>
      <c r="V37" s="4"/>
      <c r="W37" s="3"/>
      <c r="X37" s="12"/>
      <c r="Y37" s="3"/>
      <c r="Z37" s="3"/>
      <c r="AA37" s="3"/>
      <c r="AB37" s="3"/>
      <c r="AC37" s="3"/>
      <c r="AD37" s="3"/>
    </row>
    <row r="38" spans="1:30" ht="23.25" customHeight="1">
      <c r="A38" s="6"/>
      <c r="B38" s="6"/>
      <c r="C38" s="6"/>
      <c r="D38" s="6"/>
      <c r="E38" s="6"/>
      <c r="F38" s="6"/>
      <c r="G38" s="6"/>
      <c r="H38" s="15"/>
      <c r="I38" s="15"/>
      <c r="J38" s="15"/>
      <c r="K38" s="15"/>
      <c r="L38" s="15"/>
      <c r="M38" s="15"/>
      <c r="N38" s="15"/>
      <c r="O38" s="15"/>
      <c r="P38" s="15"/>
      <c r="Q38" s="15"/>
      <c r="R38" s="15"/>
      <c r="S38" s="15"/>
      <c r="T38" s="15"/>
      <c r="U38" s="15"/>
      <c r="V38" s="16"/>
      <c r="W38" s="15"/>
      <c r="X38" s="17"/>
      <c r="Y38" s="15"/>
      <c r="Z38" s="15"/>
      <c r="AA38" s="15"/>
      <c r="AB38" s="15"/>
      <c r="AC38" s="15"/>
      <c r="AD38" s="15"/>
    </row>
    <row r="39" spans="1:30" ht="15.75" customHeight="1">
      <c r="A39" s="3"/>
      <c r="B39" s="3"/>
      <c r="C39" s="3"/>
      <c r="D39" s="3"/>
      <c r="E39" s="3"/>
      <c r="F39" s="3"/>
      <c r="G39" s="3"/>
      <c r="H39" s="6"/>
      <c r="I39" s="6"/>
      <c r="J39" s="6"/>
      <c r="K39" s="18"/>
      <c r="L39" s="6"/>
      <c r="M39" s="6"/>
      <c r="N39" s="6"/>
      <c r="O39" s="6"/>
      <c r="P39" s="6"/>
      <c r="Q39" s="6"/>
      <c r="R39" s="6"/>
      <c r="S39" s="6"/>
      <c r="T39" s="6"/>
      <c r="U39" s="6"/>
      <c r="V39" s="19"/>
      <c r="W39" s="20"/>
      <c r="X39" s="6"/>
      <c r="Y39" s="6"/>
      <c r="Z39" s="6"/>
      <c r="AA39" s="6"/>
      <c r="AB39" s="6"/>
      <c r="AC39" s="6"/>
      <c r="AD39" s="6"/>
    </row>
    <row r="40" spans="1:30" ht="15.75" customHeight="1">
      <c r="A40" s="6"/>
      <c r="B40" s="6"/>
      <c r="C40" s="6"/>
      <c r="D40" s="6"/>
      <c r="E40" s="6"/>
      <c r="F40" s="6"/>
      <c r="G40" s="6"/>
      <c r="H40" s="3"/>
      <c r="I40" s="3"/>
      <c r="J40" s="3"/>
      <c r="K40" s="3"/>
      <c r="L40" s="3"/>
      <c r="M40" s="3"/>
      <c r="N40" s="3"/>
      <c r="O40" s="3"/>
      <c r="P40" s="3"/>
      <c r="Q40" s="3"/>
      <c r="R40" s="3"/>
      <c r="S40" s="3"/>
      <c r="T40" s="21"/>
      <c r="U40" s="3"/>
      <c r="V40" s="4"/>
      <c r="W40" s="3"/>
      <c r="X40" s="3"/>
      <c r="Y40" s="3"/>
      <c r="Z40" s="3"/>
      <c r="AA40" s="4"/>
      <c r="AB40" s="3"/>
      <c r="AC40" s="3"/>
      <c r="AD40" s="4"/>
    </row>
    <row r="41" spans="1:30" ht="15.75" customHeight="1">
      <c r="A41" s="3"/>
      <c r="B41" s="3"/>
      <c r="C41" s="3"/>
      <c r="D41" s="3"/>
      <c r="E41" s="3"/>
      <c r="F41" s="3"/>
      <c r="G41" s="3"/>
      <c r="H41" s="6"/>
      <c r="I41" s="6"/>
      <c r="J41" s="6"/>
      <c r="K41" s="18"/>
      <c r="L41" s="6"/>
      <c r="M41" s="6"/>
      <c r="N41" s="6"/>
      <c r="O41" s="6"/>
      <c r="P41" s="6"/>
      <c r="Q41" s="6"/>
      <c r="R41" s="6"/>
      <c r="S41" s="6"/>
      <c r="T41" s="6"/>
      <c r="U41" s="6"/>
      <c r="V41" s="19"/>
      <c r="W41" s="6"/>
      <c r="X41" s="6"/>
      <c r="Y41" s="6"/>
      <c r="Z41" s="6"/>
      <c r="AA41" s="6"/>
      <c r="AB41" s="6"/>
      <c r="AC41" s="6"/>
      <c r="AD41" s="6"/>
    </row>
    <row r="42" spans="1:30" ht="15.75" customHeight="1">
      <c r="A42" s="3"/>
      <c r="B42" s="3"/>
      <c r="C42" s="3"/>
      <c r="D42" s="3"/>
      <c r="E42" s="3"/>
      <c r="F42" s="3"/>
      <c r="G42" s="3"/>
      <c r="H42" s="3"/>
      <c r="I42" s="3"/>
      <c r="J42" s="3"/>
      <c r="K42" s="3"/>
      <c r="L42" s="3"/>
      <c r="M42" s="3"/>
      <c r="N42" s="3"/>
      <c r="O42" s="3"/>
      <c r="P42" s="3"/>
      <c r="Q42" s="3"/>
      <c r="R42" s="3"/>
      <c r="S42" s="3"/>
      <c r="T42" s="3"/>
      <c r="U42" s="3"/>
      <c r="V42" s="4"/>
      <c r="W42" s="3"/>
      <c r="X42" s="3"/>
      <c r="Y42" s="3"/>
      <c r="Z42" s="3"/>
      <c r="AA42" s="3"/>
      <c r="AB42" s="3"/>
      <c r="AC42" s="3"/>
      <c r="AD42" s="4"/>
    </row>
    <row r="43" spans="1:30" ht="15.75" customHeight="1">
      <c r="A43" s="6"/>
      <c r="B43" s="6"/>
      <c r="C43" s="6"/>
      <c r="D43" s="6"/>
      <c r="E43" s="6"/>
      <c r="F43" s="6"/>
      <c r="G43" s="6"/>
      <c r="H43" s="3"/>
      <c r="I43" s="3"/>
      <c r="J43" s="3"/>
      <c r="K43" s="3"/>
      <c r="L43" s="22"/>
      <c r="M43" s="3"/>
      <c r="N43" s="3"/>
      <c r="O43" s="3"/>
      <c r="P43" s="3"/>
      <c r="Q43" s="3"/>
      <c r="R43" s="3"/>
      <c r="S43" s="3"/>
      <c r="T43" s="3"/>
      <c r="U43" s="3"/>
      <c r="V43" s="4"/>
      <c r="W43" s="3"/>
      <c r="X43" s="3"/>
      <c r="Y43" s="3"/>
      <c r="Z43" s="3"/>
      <c r="AA43" s="4"/>
      <c r="AB43" s="3"/>
      <c r="AC43" s="3"/>
      <c r="AD43" s="3"/>
    </row>
    <row r="44" spans="1:30" ht="15.75" customHeight="1">
      <c r="A44" s="3"/>
      <c r="B44" s="3"/>
      <c r="C44" s="3"/>
      <c r="D44" s="3"/>
      <c r="E44" s="3"/>
      <c r="F44" s="3"/>
      <c r="G44" s="3"/>
      <c r="H44" s="6"/>
      <c r="I44" s="6"/>
      <c r="J44" s="6"/>
      <c r="K44" s="18"/>
      <c r="L44" s="6"/>
      <c r="M44" s="6"/>
      <c r="N44" s="6"/>
      <c r="O44" s="6"/>
      <c r="P44" s="6"/>
      <c r="Q44" s="6"/>
      <c r="R44" s="6"/>
      <c r="S44" s="6"/>
      <c r="T44" s="6"/>
      <c r="U44" s="6"/>
      <c r="V44" s="19"/>
      <c r="W44" s="20"/>
      <c r="X44" s="6"/>
      <c r="Y44" s="6"/>
      <c r="Z44" s="6"/>
      <c r="AA44" s="6"/>
      <c r="AB44" s="6"/>
      <c r="AC44" s="6"/>
      <c r="AD44" s="6"/>
    </row>
    <row r="45" spans="1:30" ht="15.75" customHeight="1">
      <c r="A45" s="3"/>
      <c r="B45" s="3"/>
      <c r="C45" s="3"/>
      <c r="D45" s="3"/>
      <c r="E45" s="3"/>
      <c r="F45" s="3"/>
      <c r="G45" s="3"/>
      <c r="H45" s="3"/>
      <c r="I45" s="3"/>
      <c r="J45" s="3"/>
      <c r="K45" s="3"/>
      <c r="L45" s="3"/>
      <c r="M45" s="3"/>
      <c r="N45" s="3"/>
      <c r="O45" s="3"/>
      <c r="P45" s="3"/>
      <c r="Q45" s="3"/>
      <c r="R45" s="3"/>
      <c r="S45" s="3"/>
      <c r="T45" s="3"/>
      <c r="U45" s="3"/>
      <c r="V45" s="4"/>
      <c r="W45" s="3"/>
      <c r="X45" s="3"/>
      <c r="Y45" s="3"/>
      <c r="Z45" s="3"/>
      <c r="AA45" s="3"/>
      <c r="AB45" s="3"/>
      <c r="AC45" s="3"/>
      <c r="AD45" s="3"/>
    </row>
    <row r="46" spans="1:30" ht="15.75" customHeight="1">
      <c r="A46" s="3"/>
      <c r="B46" s="3"/>
      <c r="C46" s="3"/>
      <c r="D46" s="3"/>
      <c r="E46" s="3"/>
      <c r="F46" s="3"/>
      <c r="G46" s="3"/>
      <c r="H46" s="3"/>
      <c r="I46" s="3"/>
      <c r="J46" s="3"/>
      <c r="K46" s="3"/>
      <c r="L46" s="22"/>
      <c r="M46" s="3"/>
      <c r="N46" s="3"/>
      <c r="O46" s="3"/>
      <c r="P46" s="3"/>
      <c r="Q46" s="3"/>
      <c r="R46" s="3"/>
      <c r="S46" s="3"/>
      <c r="T46" s="3"/>
      <c r="U46" s="3"/>
      <c r="V46" s="4"/>
      <c r="W46" s="3"/>
      <c r="X46" s="3"/>
      <c r="Y46" s="3"/>
      <c r="Z46" s="3"/>
      <c r="AA46" s="4"/>
      <c r="AB46" s="3"/>
      <c r="AC46" s="3"/>
      <c r="AD46" s="3"/>
    </row>
    <row r="47" spans="1:30" ht="15.75" customHeight="1">
      <c r="A47" s="3"/>
      <c r="B47" s="3"/>
      <c r="C47" s="3"/>
      <c r="D47" s="3"/>
      <c r="E47" s="3"/>
      <c r="F47" s="3"/>
      <c r="G47" s="3"/>
      <c r="H47" s="3"/>
      <c r="I47" s="3"/>
      <c r="J47" s="3"/>
      <c r="K47" s="3"/>
      <c r="L47" s="3"/>
      <c r="M47" s="3"/>
      <c r="N47" s="3"/>
      <c r="O47" s="3"/>
      <c r="P47" s="3"/>
      <c r="Q47" s="3"/>
      <c r="R47" s="3"/>
      <c r="S47" s="3"/>
      <c r="T47" s="3"/>
      <c r="U47" s="3"/>
      <c r="V47" s="4"/>
      <c r="W47" s="3"/>
      <c r="X47" s="3"/>
      <c r="Y47" s="3"/>
      <c r="Z47" s="3"/>
      <c r="AA47" s="3"/>
      <c r="AB47" s="3"/>
      <c r="AC47" s="3"/>
      <c r="AD47" s="3"/>
    </row>
    <row r="48" spans="1:30" ht="15.75" customHeight="1">
      <c r="A48" s="3"/>
      <c r="B48" s="3"/>
      <c r="C48" s="3"/>
      <c r="D48" s="3"/>
      <c r="E48" s="3"/>
      <c r="F48" s="3"/>
      <c r="G48" s="3"/>
      <c r="H48" s="3"/>
      <c r="I48" s="3"/>
      <c r="J48" s="3"/>
      <c r="K48" s="3"/>
      <c r="L48" s="3"/>
      <c r="M48" s="3"/>
      <c r="N48" s="3"/>
      <c r="O48" s="3"/>
      <c r="P48" s="3"/>
      <c r="Q48" s="3"/>
      <c r="R48" s="3"/>
      <c r="S48" s="3"/>
      <c r="T48" s="3"/>
      <c r="U48" s="3"/>
      <c r="V48" s="12"/>
      <c r="W48" s="9"/>
      <c r="X48" s="9"/>
      <c r="Y48" s="3"/>
      <c r="Z48" s="3"/>
      <c r="AA48" s="3"/>
      <c r="AB48" s="3"/>
      <c r="AC48" s="3"/>
      <c r="AD48" s="3"/>
    </row>
    <row r="49" spans="1:30" ht="15.75" customHeight="1">
      <c r="A49" s="3"/>
      <c r="B49" s="3"/>
      <c r="C49" s="3"/>
      <c r="D49" s="3"/>
      <c r="E49" s="3"/>
      <c r="F49" s="3"/>
      <c r="G49" s="3"/>
      <c r="H49" s="3"/>
      <c r="I49" s="3"/>
      <c r="J49" s="3"/>
      <c r="K49" s="3"/>
      <c r="L49" s="3"/>
      <c r="M49" s="3"/>
      <c r="N49" s="3"/>
      <c r="O49" s="3"/>
      <c r="P49" s="3"/>
      <c r="Q49" s="3"/>
      <c r="R49" s="3"/>
      <c r="S49" s="3"/>
      <c r="T49" s="3"/>
      <c r="U49" s="3"/>
      <c r="V49" s="4"/>
      <c r="W49" s="3"/>
      <c r="X49" s="3"/>
      <c r="Y49" s="3"/>
      <c r="Z49" s="3"/>
      <c r="AA49" s="3"/>
      <c r="AB49" s="3"/>
      <c r="AC49" s="3"/>
      <c r="AD49" s="3"/>
    </row>
    <row r="50" spans="1:30" ht="15.75" customHeight="1">
      <c r="A50" s="3"/>
      <c r="B50" s="3"/>
      <c r="C50" s="3"/>
      <c r="D50" s="3"/>
      <c r="E50" s="3"/>
      <c r="F50" s="3"/>
      <c r="G50" s="3"/>
      <c r="H50" s="3"/>
      <c r="I50" s="3"/>
      <c r="J50" s="3"/>
      <c r="K50" s="3"/>
      <c r="L50" s="3"/>
      <c r="M50" s="3"/>
      <c r="N50" s="3"/>
      <c r="O50" s="3"/>
      <c r="P50" s="3"/>
      <c r="Q50" s="3"/>
      <c r="R50" s="3"/>
      <c r="S50" s="3"/>
      <c r="T50" s="3"/>
      <c r="U50" s="3"/>
      <c r="V50" s="4"/>
      <c r="W50" s="3"/>
      <c r="X50" s="3"/>
      <c r="Y50" s="3"/>
      <c r="Z50" s="3"/>
      <c r="AA50" s="3"/>
      <c r="AB50" s="3"/>
      <c r="AC50" s="3"/>
      <c r="AD50" s="3"/>
    </row>
    <row r="51" spans="1:30" ht="15.75" customHeight="1">
      <c r="A51" s="3"/>
      <c r="B51" s="3"/>
      <c r="C51" s="3"/>
      <c r="D51" s="3"/>
      <c r="E51" s="3"/>
      <c r="F51" s="3"/>
      <c r="G51" s="3"/>
      <c r="H51" s="3"/>
      <c r="I51" s="3"/>
      <c r="J51" s="3"/>
      <c r="K51" s="3"/>
      <c r="L51" s="3"/>
      <c r="M51" s="3"/>
      <c r="N51" s="3"/>
      <c r="O51" s="3"/>
      <c r="P51" s="3"/>
      <c r="Q51" s="3"/>
      <c r="R51" s="3"/>
      <c r="S51" s="3"/>
      <c r="T51" s="3"/>
      <c r="U51" s="3"/>
      <c r="V51" s="4"/>
      <c r="W51" s="3"/>
      <c r="X51" s="3"/>
      <c r="Y51" s="3"/>
      <c r="Z51" s="3"/>
      <c r="AA51" s="3"/>
      <c r="AB51" s="3"/>
      <c r="AC51" s="3"/>
      <c r="AD51" s="4"/>
    </row>
    <row r="52" spans="1:30" ht="15.75" customHeight="1">
      <c r="A52" s="3"/>
      <c r="B52" s="3"/>
      <c r="C52" s="3"/>
      <c r="D52" s="3"/>
      <c r="E52" s="3"/>
      <c r="F52" s="3"/>
      <c r="G52" s="3"/>
      <c r="H52" s="3"/>
      <c r="I52" s="3"/>
      <c r="J52" s="3"/>
      <c r="K52" s="3"/>
      <c r="L52" s="3"/>
      <c r="M52" s="3"/>
      <c r="N52" s="3"/>
      <c r="O52" s="3"/>
      <c r="P52" s="3"/>
      <c r="Q52" s="3"/>
      <c r="R52" s="3"/>
      <c r="S52" s="3"/>
      <c r="T52" s="3"/>
      <c r="U52" s="3"/>
      <c r="V52" s="4"/>
      <c r="W52" s="3"/>
      <c r="X52" s="3"/>
      <c r="Y52" s="3"/>
      <c r="Z52" s="3"/>
      <c r="AA52" s="3"/>
      <c r="AB52" s="3"/>
      <c r="AC52" s="3"/>
      <c r="AD52" s="3"/>
    </row>
    <row r="53" spans="1:30" ht="15.75" customHeight="1">
      <c r="A53" s="3"/>
      <c r="B53" s="3"/>
      <c r="C53" s="3"/>
      <c r="D53" s="3"/>
      <c r="E53" s="3"/>
      <c r="F53" s="3"/>
      <c r="G53" s="3"/>
      <c r="H53" s="3"/>
      <c r="I53" s="3"/>
      <c r="J53" s="3"/>
      <c r="K53" s="3"/>
      <c r="L53" s="3"/>
      <c r="M53" s="3"/>
      <c r="N53" s="3"/>
      <c r="O53" s="3"/>
      <c r="P53" s="3"/>
      <c r="Q53" s="3"/>
      <c r="R53" s="3"/>
      <c r="S53" s="3"/>
      <c r="T53" s="3"/>
      <c r="U53" s="3"/>
      <c r="V53" s="4"/>
      <c r="W53" s="3"/>
      <c r="X53" s="3"/>
      <c r="Y53" s="3"/>
      <c r="Z53" s="3"/>
      <c r="AA53" s="3"/>
      <c r="AB53" s="3"/>
      <c r="AC53" s="3"/>
      <c r="AD53" s="3"/>
    </row>
    <row r="54" spans="1:30" ht="15.75" customHeight="1">
      <c r="A54" s="3"/>
      <c r="B54" s="3"/>
      <c r="C54" s="3"/>
      <c r="D54" s="3"/>
      <c r="E54" s="3"/>
      <c r="F54" s="3"/>
      <c r="G54" s="3"/>
      <c r="H54" s="3"/>
      <c r="I54" s="3"/>
      <c r="J54" s="3"/>
      <c r="K54" s="3"/>
      <c r="L54" s="3"/>
      <c r="M54" s="3"/>
      <c r="N54" s="3"/>
      <c r="O54" s="3"/>
      <c r="P54" s="3"/>
      <c r="Q54" s="3"/>
      <c r="R54" s="3"/>
      <c r="S54" s="3"/>
      <c r="T54" s="3"/>
      <c r="U54" s="3"/>
      <c r="V54" s="4"/>
      <c r="W54" s="3"/>
      <c r="X54" s="3"/>
      <c r="Y54" s="3"/>
      <c r="Z54" s="3"/>
      <c r="AA54" s="3"/>
      <c r="AB54" s="3"/>
      <c r="AC54" s="3"/>
      <c r="AD54" s="4"/>
    </row>
    <row r="55" spans="1:30" ht="15.75" customHeight="1">
      <c r="A55" s="3"/>
      <c r="B55" s="3"/>
      <c r="C55" s="3"/>
      <c r="D55" s="3"/>
      <c r="E55" s="3"/>
      <c r="F55" s="3"/>
      <c r="G55" s="3"/>
      <c r="H55" s="3"/>
      <c r="I55" s="3"/>
      <c r="J55" s="3"/>
      <c r="K55" s="3"/>
      <c r="L55" s="3"/>
      <c r="M55" s="3"/>
      <c r="N55" s="3"/>
      <c r="O55" s="3"/>
      <c r="P55" s="3"/>
      <c r="Q55" s="3"/>
      <c r="R55" s="3"/>
      <c r="S55" s="3"/>
      <c r="T55" s="3"/>
      <c r="U55" s="3"/>
      <c r="V55" s="4"/>
      <c r="W55" s="3"/>
      <c r="X55" s="3"/>
      <c r="Y55" s="3"/>
      <c r="Z55" s="3"/>
      <c r="AA55" s="3"/>
      <c r="AB55" s="3"/>
      <c r="AC55" s="3"/>
      <c r="AD55" s="3"/>
    </row>
    <row r="56" spans="1:30" ht="15.75" customHeight="1">
      <c r="A56" s="3"/>
      <c r="B56" s="3"/>
      <c r="C56" s="3"/>
      <c r="D56" s="3"/>
      <c r="E56" s="3"/>
      <c r="F56" s="3"/>
      <c r="G56" s="3"/>
      <c r="H56" s="3"/>
      <c r="I56" s="3"/>
      <c r="J56" s="3"/>
      <c r="K56" s="3"/>
      <c r="L56" s="3"/>
      <c r="M56" s="3"/>
      <c r="N56" s="3"/>
      <c r="O56" s="3"/>
      <c r="P56" s="3"/>
      <c r="Q56" s="3"/>
      <c r="R56" s="3"/>
      <c r="S56" s="3"/>
      <c r="T56" s="3"/>
      <c r="U56" s="3"/>
      <c r="V56" s="4"/>
      <c r="W56" s="10"/>
      <c r="X56" s="3"/>
      <c r="Y56" s="3"/>
      <c r="Z56" s="3"/>
      <c r="AA56" s="3"/>
      <c r="AB56" s="3"/>
      <c r="AC56" s="3"/>
      <c r="AD56" s="3"/>
    </row>
    <row r="57" spans="1:30" ht="15.75" customHeight="1">
      <c r="A57" s="3"/>
      <c r="B57" s="3"/>
      <c r="C57" s="3"/>
      <c r="D57" s="3"/>
      <c r="E57" s="3"/>
      <c r="F57" s="3"/>
      <c r="G57" s="3"/>
      <c r="H57" s="3"/>
      <c r="I57" s="3"/>
      <c r="J57" s="3"/>
      <c r="K57" s="3"/>
      <c r="L57" s="3"/>
      <c r="M57" s="3"/>
      <c r="N57" s="3"/>
      <c r="O57" s="3"/>
      <c r="P57" s="3"/>
      <c r="Q57" s="3"/>
      <c r="R57" s="3"/>
      <c r="S57" s="3"/>
      <c r="T57" s="3"/>
      <c r="U57" s="3"/>
      <c r="V57" s="4"/>
      <c r="W57" s="3"/>
      <c r="X57" s="3"/>
      <c r="Y57" s="3"/>
      <c r="Z57" s="3"/>
      <c r="AA57" s="3"/>
      <c r="AB57" s="3"/>
      <c r="AC57" s="3"/>
      <c r="AD57" s="3"/>
    </row>
    <row r="58" spans="1:30" ht="15.75" customHeight="1">
      <c r="A58" s="3"/>
      <c r="B58" s="3"/>
      <c r="C58" s="3"/>
      <c r="D58" s="3"/>
      <c r="E58" s="3"/>
      <c r="F58" s="3"/>
      <c r="G58" s="3"/>
      <c r="H58" s="3"/>
      <c r="I58" s="3"/>
      <c r="J58" s="3"/>
      <c r="K58" s="3"/>
      <c r="L58" s="3"/>
      <c r="M58" s="3"/>
      <c r="N58" s="3"/>
      <c r="O58" s="3"/>
      <c r="P58" s="3"/>
      <c r="Q58" s="3"/>
      <c r="R58" s="3"/>
      <c r="S58" s="3"/>
      <c r="T58" s="3"/>
      <c r="U58" s="3"/>
      <c r="V58" s="4"/>
      <c r="W58" s="3"/>
      <c r="X58" s="23"/>
      <c r="Y58" s="3"/>
      <c r="Z58" s="3"/>
      <c r="AA58" s="4"/>
      <c r="AB58" s="3"/>
      <c r="AC58" s="3"/>
      <c r="AD58" s="3"/>
    </row>
    <row r="59" spans="1:30" ht="15.75" customHeight="1">
      <c r="A59" s="3"/>
      <c r="B59" s="3"/>
      <c r="C59" s="3"/>
      <c r="D59" s="3"/>
      <c r="E59" s="3"/>
      <c r="F59" s="3"/>
      <c r="G59" s="3"/>
      <c r="H59" s="3"/>
      <c r="I59" s="3"/>
      <c r="J59" s="3"/>
      <c r="K59" s="3"/>
      <c r="L59" s="3"/>
      <c r="M59" s="3"/>
      <c r="N59" s="3"/>
      <c r="O59" s="3"/>
      <c r="P59" s="24"/>
      <c r="Q59" s="3"/>
      <c r="R59" s="3"/>
      <c r="S59" s="3"/>
      <c r="T59" s="3"/>
      <c r="U59" s="3"/>
      <c r="V59" s="4"/>
      <c r="W59" s="3"/>
      <c r="X59" s="12"/>
      <c r="Y59" s="3"/>
      <c r="Z59" s="3"/>
      <c r="AA59" s="4"/>
      <c r="AB59" s="3"/>
      <c r="AC59" s="3"/>
      <c r="AD59" s="4"/>
    </row>
    <row r="60" spans="1:30" ht="15.75" customHeight="1">
      <c r="A60" s="3"/>
      <c r="B60" s="3"/>
      <c r="C60" s="3"/>
      <c r="D60" s="3"/>
      <c r="E60" s="3"/>
      <c r="F60" s="3"/>
      <c r="G60" s="3"/>
      <c r="H60" s="3"/>
      <c r="I60" s="3"/>
      <c r="J60" s="3"/>
      <c r="K60" s="3"/>
      <c r="L60" s="3"/>
      <c r="M60" s="3"/>
      <c r="N60" s="3"/>
      <c r="O60" s="3"/>
      <c r="P60" s="3"/>
      <c r="Q60" s="3"/>
      <c r="R60" s="3"/>
      <c r="S60" s="3"/>
      <c r="T60" s="3"/>
      <c r="U60" s="3"/>
      <c r="V60" s="4"/>
      <c r="W60" s="3"/>
      <c r="X60" s="3"/>
      <c r="Y60" s="3"/>
      <c r="Z60" s="3"/>
      <c r="AA60" s="3"/>
      <c r="AB60" s="3"/>
      <c r="AC60" s="3"/>
      <c r="AD60" s="3"/>
    </row>
    <row r="61" spans="1:30" ht="15.75" customHeight="1">
      <c r="A61" s="6"/>
      <c r="B61" s="6"/>
      <c r="C61" s="6"/>
      <c r="D61" s="6"/>
      <c r="E61" s="6"/>
      <c r="F61" s="6"/>
      <c r="G61" s="6"/>
      <c r="H61" s="3"/>
      <c r="I61" s="3"/>
      <c r="J61" s="3"/>
      <c r="K61" s="3"/>
      <c r="L61" s="3"/>
      <c r="M61" s="3"/>
      <c r="N61" s="3"/>
      <c r="O61" s="3"/>
      <c r="P61" s="3"/>
      <c r="Q61" s="3"/>
      <c r="R61" s="3"/>
      <c r="S61" s="3"/>
      <c r="T61" s="3"/>
      <c r="U61" s="3"/>
      <c r="V61" s="4"/>
      <c r="W61" s="3"/>
      <c r="X61" s="3"/>
      <c r="Y61" s="3"/>
      <c r="Z61" s="3"/>
      <c r="AA61" s="3"/>
      <c r="AB61" s="3"/>
      <c r="AC61" s="3"/>
      <c r="AD61" s="3"/>
    </row>
    <row r="62" spans="1:30" ht="15.75" customHeight="1">
      <c r="A62" s="6"/>
      <c r="B62" s="6"/>
      <c r="C62" s="6"/>
      <c r="D62" s="6"/>
      <c r="E62" s="6"/>
      <c r="F62" s="6"/>
      <c r="G62" s="6"/>
      <c r="H62" s="6"/>
      <c r="I62" s="6"/>
      <c r="J62" s="6"/>
      <c r="K62" s="6"/>
      <c r="L62" s="6"/>
      <c r="M62" s="6"/>
      <c r="N62" s="6"/>
      <c r="O62" s="6"/>
      <c r="P62" s="6"/>
      <c r="Q62" s="6"/>
      <c r="R62" s="6"/>
      <c r="S62" s="6"/>
      <c r="T62" s="6"/>
      <c r="U62" s="6"/>
      <c r="V62" s="7"/>
      <c r="W62" s="6"/>
      <c r="X62" s="7"/>
      <c r="Y62" s="6"/>
      <c r="Z62" s="6"/>
      <c r="AA62" s="7"/>
      <c r="AB62" s="6"/>
      <c r="AC62" s="6"/>
      <c r="AD62" s="6"/>
    </row>
    <row r="63" spans="1:30" ht="15.75" customHeight="1">
      <c r="A63" s="3"/>
      <c r="B63" s="3"/>
      <c r="C63" s="3"/>
      <c r="D63" s="3"/>
      <c r="E63" s="3"/>
      <c r="F63" s="3"/>
      <c r="G63" s="3"/>
      <c r="H63" s="6"/>
      <c r="I63" s="6"/>
      <c r="J63" s="6"/>
      <c r="K63" s="6"/>
      <c r="L63" s="6"/>
      <c r="M63" s="6"/>
      <c r="N63" s="6"/>
      <c r="O63" s="6"/>
      <c r="P63" s="6"/>
      <c r="Q63" s="6"/>
      <c r="R63" s="6"/>
      <c r="S63" s="6"/>
      <c r="T63" s="6"/>
      <c r="U63" s="6"/>
      <c r="V63" s="7"/>
      <c r="W63" s="6"/>
      <c r="X63" s="7"/>
      <c r="Y63" s="6"/>
      <c r="Z63" s="6"/>
      <c r="AA63" s="6"/>
      <c r="AB63" s="6"/>
      <c r="AC63" s="6"/>
      <c r="AD63" s="6"/>
    </row>
    <row r="64" spans="1:30" ht="15.75" customHeight="1">
      <c r="A64" s="3"/>
      <c r="B64" s="3"/>
      <c r="C64" s="3"/>
      <c r="D64" s="3"/>
      <c r="E64" s="3"/>
      <c r="F64" s="3"/>
      <c r="G64" s="3"/>
      <c r="H64" s="3"/>
      <c r="I64" s="3"/>
      <c r="J64" s="25"/>
      <c r="K64" s="25"/>
      <c r="L64" s="3"/>
      <c r="M64" s="3"/>
      <c r="N64" s="3"/>
      <c r="O64" s="3"/>
      <c r="P64" s="3"/>
      <c r="Q64" s="3"/>
      <c r="R64" s="3"/>
      <c r="S64" s="3"/>
      <c r="T64" s="3"/>
      <c r="U64" s="3"/>
      <c r="V64" s="12"/>
      <c r="W64" s="3"/>
      <c r="X64" s="3"/>
      <c r="Y64" s="3"/>
      <c r="Z64" s="3"/>
      <c r="AA64" s="3"/>
      <c r="AB64" s="3"/>
      <c r="AC64" s="3"/>
      <c r="AD64" s="3"/>
    </row>
    <row r="65" spans="1:30" ht="15.75" customHeight="1">
      <c r="A65" s="3"/>
      <c r="B65" s="3"/>
      <c r="C65" s="3"/>
      <c r="D65" s="3"/>
      <c r="E65" s="3"/>
      <c r="F65" s="3"/>
      <c r="G65" s="3"/>
      <c r="H65" s="3"/>
      <c r="I65" s="3"/>
      <c r="J65" s="3"/>
      <c r="K65" s="3"/>
      <c r="L65" s="3"/>
      <c r="M65" s="3"/>
      <c r="N65" s="3"/>
      <c r="O65" s="3"/>
      <c r="P65" s="3"/>
      <c r="Q65" s="3"/>
      <c r="R65" s="3"/>
      <c r="S65" s="3"/>
      <c r="T65" s="3"/>
      <c r="U65" s="3"/>
      <c r="V65" s="4"/>
      <c r="W65" s="3"/>
      <c r="X65" s="3"/>
      <c r="Y65" s="3"/>
      <c r="Z65" s="3"/>
      <c r="AA65" s="3"/>
      <c r="AB65" s="3"/>
      <c r="AC65" s="3"/>
      <c r="AD65" s="3"/>
    </row>
    <row r="66" spans="1:30" ht="15.75" customHeight="1">
      <c r="A66" s="3"/>
      <c r="B66" s="3"/>
      <c r="C66" s="3"/>
      <c r="D66" s="3"/>
      <c r="E66" s="3"/>
      <c r="F66" s="3"/>
      <c r="G66" s="3"/>
      <c r="H66" s="3"/>
      <c r="I66" s="3"/>
      <c r="J66" s="3"/>
      <c r="K66" s="3"/>
      <c r="L66" s="3"/>
      <c r="M66" s="3"/>
      <c r="N66" s="3"/>
      <c r="O66" s="3"/>
      <c r="P66" s="3"/>
      <c r="Q66" s="3"/>
      <c r="R66" s="3"/>
      <c r="S66" s="3"/>
      <c r="T66" s="3"/>
      <c r="U66" s="3"/>
      <c r="V66" s="4"/>
      <c r="W66" s="3"/>
      <c r="X66" s="3"/>
      <c r="Y66" s="3"/>
      <c r="Z66" s="3"/>
      <c r="AA66" s="3"/>
      <c r="AB66" s="3"/>
      <c r="AC66" s="3"/>
      <c r="AD66" s="3"/>
    </row>
    <row r="67" spans="1:30" ht="15.75" customHeight="1">
      <c r="A67" s="3"/>
      <c r="B67" s="3"/>
      <c r="C67" s="3"/>
      <c r="D67" s="3"/>
      <c r="E67" s="3"/>
      <c r="F67" s="3"/>
      <c r="G67" s="3"/>
      <c r="H67" s="3"/>
      <c r="I67" s="3"/>
      <c r="J67" s="3"/>
      <c r="K67" s="3"/>
      <c r="L67" s="3"/>
      <c r="M67" s="3"/>
      <c r="N67" s="3"/>
      <c r="O67" s="3"/>
      <c r="P67" s="3"/>
      <c r="Q67" s="3"/>
      <c r="R67" s="3"/>
      <c r="S67" s="3"/>
      <c r="T67" s="3"/>
      <c r="U67" s="3"/>
      <c r="V67" s="4"/>
      <c r="W67" s="3"/>
      <c r="X67" s="4"/>
      <c r="Y67" s="3"/>
      <c r="Z67" s="3"/>
      <c r="AA67" s="3"/>
      <c r="AB67" s="3"/>
      <c r="AC67" s="3"/>
      <c r="AD67" s="4"/>
    </row>
    <row r="68" spans="1:30" ht="15.75" customHeight="1">
      <c r="A68" s="3"/>
      <c r="B68" s="3"/>
      <c r="C68" s="3"/>
      <c r="D68" s="3"/>
      <c r="E68" s="3"/>
      <c r="F68" s="3"/>
      <c r="G68" s="3"/>
      <c r="H68" s="3"/>
      <c r="I68" s="3"/>
      <c r="J68" s="3"/>
      <c r="K68" s="3"/>
      <c r="L68" s="3"/>
      <c r="M68" s="3"/>
      <c r="N68" s="3"/>
      <c r="O68" s="3"/>
      <c r="P68" s="3"/>
      <c r="Q68" s="3"/>
      <c r="R68" s="3"/>
      <c r="S68" s="3"/>
      <c r="T68" s="3"/>
      <c r="U68" s="3"/>
      <c r="V68" s="4"/>
      <c r="W68" s="3"/>
      <c r="X68" s="4"/>
      <c r="Y68" s="3"/>
      <c r="Z68" s="3"/>
      <c r="AA68" s="3"/>
      <c r="AB68" s="3"/>
      <c r="AC68" s="3"/>
      <c r="AD68" s="3"/>
    </row>
    <row r="69" spans="1:30" ht="15.75" customHeight="1">
      <c r="A69" s="3"/>
      <c r="B69" s="3"/>
      <c r="C69" s="3"/>
      <c r="D69" s="3"/>
      <c r="E69" s="3"/>
      <c r="F69" s="3"/>
      <c r="G69" s="3"/>
      <c r="H69" s="3"/>
      <c r="I69" s="3"/>
      <c r="J69" s="3"/>
      <c r="K69" s="3"/>
      <c r="L69" s="3"/>
      <c r="M69" s="3"/>
      <c r="N69" s="3"/>
      <c r="O69" s="3"/>
      <c r="P69" s="3"/>
      <c r="Q69" s="3"/>
      <c r="R69" s="3"/>
      <c r="S69" s="3"/>
      <c r="T69" s="3"/>
      <c r="U69" s="3"/>
      <c r="V69" s="4"/>
      <c r="W69" s="3"/>
      <c r="X69" s="4"/>
      <c r="Y69" s="3"/>
      <c r="Z69" s="3"/>
      <c r="AA69" s="4"/>
      <c r="AB69" s="3"/>
      <c r="AC69" s="3"/>
      <c r="AD69" s="3"/>
    </row>
    <row r="70" spans="1:30" ht="39.75" customHeight="1">
      <c r="A70" s="3"/>
      <c r="B70" s="3"/>
      <c r="C70" s="3"/>
      <c r="D70" s="3"/>
      <c r="E70" s="3"/>
      <c r="F70" s="3"/>
      <c r="G70" s="3"/>
      <c r="H70" s="3"/>
      <c r="I70" s="3"/>
      <c r="J70" s="3"/>
      <c r="K70" s="3"/>
      <c r="L70" s="3"/>
      <c r="M70" s="3"/>
      <c r="N70" s="3"/>
      <c r="O70" s="3"/>
      <c r="P70" s="3"/>
      <c r="Q70" s="3"/>
      <c r="R70" s="3"/>
      <c r="S70" s="3"/>
      <c r="T70" s="3"/>
      <c r="U70" s="3"/>
      <c r="V70" s="4"/>
      <c r="W70" s="3"/>
      <c r="X70" s="4"/>
      <c r="Y70" s="3"/>
      <c r="Z70" s="3"/>
      <c r="AA70" s="4"/>
      <c r="AB70" s="3"/>
      <c r="AC70" s="3"/>
      <c r="AD70" s="4"/>
    </row>
    <row r="71" spans="1:30" ht="15.75" customHeight="1">
      <c r="A71" s="3"/>
      <c r="B71" s="3"/>
      <c r="C71" s="3"/>
      <c r="D71" s="3"/>
      <c r="E71" s="3"/>
      <c r="F71" s="3"/>
      <c r="G71" s="3"/>
      <c r="H71" s="3"/>
      <c r="I71" s="3"/>
      <c r="J71" s="3"/>
      <c r="K71" s="3"/>
      <c r="L71" s="3"/>
      <c r="M71" s="3"/>
      <c r="N71" s="3"/>
      <c r="O71" s="3"/>
      <c r="P71" s="3"/>
      <c r="Q71" s="3"/>
      <c r="R71" s="3"/>
      <c r="S71" s="3"/>
      <c r="T71" s="3"/>
      <c r="U71" s="3"/>
      <c r="V71" s="4"/>
      <c r="W71" s="3"/>
      <c r="X71" s="4"/>
      <c r="Y71" s="3"/>
      <c r="Z71" s="3"/>
      <c r="AA71" s="4"/>
      <c r="AB71" s="3"/>
      <c r="AC71" s="3"/>
      <c r="AD71" s="3"/>
    </row>
    <row r="72" spans="1:30" ht="60" customHeight="1">
      <c r="A72" s="3"/>
      <c r="B72" s="3"/>
      <c r="C72" s="3"/>
      <c r="D72" s="3"/>
      <c r="E72" s="3"/>
      <c r="F72" s="3"/>
      <c r="G72" s="3"/>
      <c r="H72" s="3"/>
      <c r="I72" s="3"/>
      <c r="J72" s="3"/>
      <c r="K72" s="3"/>
      <c r="L72" s="3"/>
      <c r="M72" s="3"/>
      <c r="N72" s="3"/>
      <c r="O72" s="3"/>
      <c r="P72" s="3"/>
      <c r="Q72" s="3"/>
      <c r="R72" s="3"/>
      <c r="S72" s="3"/>
      <c r="T72" s="3"/>
      <c r="U72" s="3"/>
      <c r="V72" s="4"/>
      <c r="W72" s="3"/>
      <c r="X72" s="4"/>
      <c r="Y72" s="3"/>
      <c r="Z72" s="3"/>
      <c r="AA72" s="4"/>
      <c r="AB72" s="3"/>
      <c r="AC72" s="3"/>
      <c r="AD72" s="4"/>
    </row>
    <row r="73" spans="1:30" ht="15.75" customHeight="1">
      <c r="A73" s="3"/>
      <c r="B73" s="3"/>
      <c r="C73" s="3"/>
      <c r="D73" s="3"/>
      <c r="E73" s="3"/>
      <c r="F73" s="3"/>
      <c r="G73" s="3"/>
      <c r="H73" s="3"/>
      <c r="I73" s="3"/>
      <c r="J73" s="3"/>
      <c r="K73" s="3"/>
      <c r="L73" s="3"/>
      <c r="M73" s="3"/>
      <c r="N73" s="3"/>
      <c r="O73" s="3"/>
      <c r="P73" s="3"/>
      <c r="Q73" s="3"/>
      <c r="R73" s="3"/>
      <c r="S73" s="3"/>
      <c r="T73" s="3"/>
      <c r="U73" s="3"/>
      <c r="V73" s="4"/>
      <c r="W73" s="3"/>
      <c r="X73" s="4"/>
      <c r="Y73" s="3"/>
      <c r="Z73" s="3"/>
      <c r="AA73" s="4"/>
      <c r="AB73" s="3"/>
      <c r="AC73" s="3"/>
      <c r="AD73" s="4"/>
    </row>
    <row r="74" spans="1:30" ht="15.75" customHeight="1">
      <c r="A74" s="3"/>
      <c r="B74" s="3"/>
      <c r="C74" s="3"/>
      <c r="D74" s="3"/>
      <c r="E74" s="3"/>
      <c r="F74" s="3"/>
      <c r="G74" s="3"/>
      <c r="H74" s="3"/>
      <c r="I74" s="3"/>
      <c r="J74" s="3"/>
      <c r="K74" s="3"/>
      <c r="L74" s="3"/>
      <c r="M74" s="3"/>
      <c r="N74" s="3"/>
      <c r="O74" s="3"/>
      <c r="P74" s="3"/>
      <c r="Q74" s="3"/>
      <c r="R74" s="3"/>
      <c r="S74" s="3"/>
      <c r="T74" s="3"/>
      <c r="U74" s="3"/>
      <c r="V74" s="4"/>
      <c r="W74" s="3"/>
      <c r="X74" s="4"/>
      <c r="Y74" s="3"/>
      <c r="Z74" s="3"/>
      <c r="AA74" s="4"/>
      <c r="AB74" s="3"/>
      <c r="AC74" s="3"/>
      <c r="AD74" s="4"/>
    </row>
    <row r="75" spans="1:30" ht="15.75" customHeight="1">
      <c r="A75" s="3"/>
      <c r="B75" s="3"/>
      <c r="C75" s="3"/>
      <c r="D75" s="3"/>
      <c r="E75" s="3"/>
      <c r="F75" s="3"/>
      <c r="G75" s="3"/>
      <c r="H75" s="3"/>
      <c r="I75" s="3"/>
      <c r="J75" s="3"/>
      <c r="K75" s="3"/>
      <c r="L75" s="3"/>
      <c r="M75" s="3"/>
      <c r="N75" s="3"/>
      <c r="O75" s="3"/>
      <c r="P75" s="3"/>
      <c r="Q75" s="3"/>
      <c r="R75" s="3"/>
      <c r="S75" s="3"/>
      <c r="T75" s="3"/>
      <c r="U75" s="3"/>
      <c r="V75" s="4"/>
      <c r="W75" s="3"/>
      <c r="X75" s="4"/>
      <c r="Y75" s="3"/>
      <c r="Z75" s="3"/>
      <c r="AA75" s="4"/>
      <c r="AB75" s="3"/>
      <c r="AC75" s="3"/>
      <c r="AD75" s="4"/>
    </row>
    <row r="76" spans="1:30" ht="15.75" customHeight="1">
      <c r="A76" s="3"/>
      <c r="B76" s="3"/>
      <c r="C76" s="3"/>
      <c r="D76" s="3"/>
      <c r="E76" s="3"/>
      <c r="F76" s="3"/>
      <c r="G76" s="3"/>
      <c r="H76" s="3"/>
      <c r="I76" s="3"/>
      <c r="J76" s="3"/>
      <c r="K76" s="3"/>
      <c r="L76" s="3"/>
      <c r="M76" s="3"/>
      <c r="N76" s="3"/>
      <c r="O76" s="3"/>
      <c r="P76" s="3"/>
      <c r="Q76" s="3"/>
      <c r="R76" s="3"/>
      <c r="S76" s="3"/>
      <c r="T76" s="3"/>
      <c r="U76" s="3"/>
      <c r="V76" s="4"/>
      <c r="W76" s="3"/>
      <c r="X76" s="4"/>
      <c r="Y76" s="5"/>
      <c r="Z76" s="3"/>
      <c r="AA76" s="3"/>
      <c r="AB76" s="3"/>
      <c r="AC76" s="3"/>
      <c r="AD76" s="4"/>
    </row>
    <row r="77" spans="1:30" ht="15.75" customHeight="1">
      <c r="A77" s="3"/>
      <c r="B77" s="3"/>
      <c r="C77" s="3"/>
      <c r="D77" s="3"/>
      <c r="E77" s="3"/>
      <c r="F77" s="3"/>
      <c r="G77" s="3"/>
      <c r="H77" s="3"/>
      <c r="I77" s="3"/>
      <c r="J77" s="3"/>
      <c r="K77" s="3"/>
      <c r="L77" s="3"/>
      <c r="M77" s="3"/>
      <c r="N77" s="3"/>
      <c r="O77" s="3"/>
      <c r="P77" s="3"/>
      <c r="Q77" s="3"/>
      <c r="R77" s="3"/>
      <c r="S77" s="3"/>
      <c r="T77" s="3"/>
      <c r="U77" s="3"/>
      <c r="V77" s="4"/>
      <c r="W77" s="3"/>
      <c r="X77" s="4"/>
      <c r="Y77" s="3"/>
      <c r="Z77" s="3"/>
      <c r="AA77" s="3"/>
      <c r="AB77" s="3"/>
      <c r="AC77" s="3"/>
      <c r="AD77" s="4"/>
    </row>
    <row r="78" spans="1:30" ht="15.75" customHeight="1">
      <c r="A78" s="3"/>
      <c r="B78" s="3"/>
      <c r="C78" s="3"/>
      <c r="D78" s="3"/>
      <c r="E78" s="3"/>
      <c r="F78" s="3"/>
      <c r="G78" s="3"/>
      <c r="H78" s="3"/>
      <c r="I78" s="3"/>
      <c r="J78" s="3"/>
      <c r="K78" s="3"/>
      <c r="L78" s="3"/>
      <c r="M78" s="3"/>
      <c r="N78" s="3"/>
      <c r="O78" s="3"/>
      <c r="P78" s="3"/>
      <c r="Q78" s="3"/>
      <c r="R78" s="3"/>
      <c r="S78" s="3"/>
      <c r="T78" s="3"/>
      <c r="U78" s="3"/>
      <c r="V78" s="4"/>
      <c r="W78" s="3"/>
      <c r="X78" s="4"/>
      <c r="Y78" s="3"/>
      <c r="Z78" s="3"/>
      <c r="AA78" s="4"/>
      <c r="AB78" s="3"/>
      <c r="AC78" s="3"/>
      <c r="AD78" s="3"/>
    </row>
    <row r="79" spans="1:30" ht="15.75" customHeight="1">
      <c r="A79" s="26"/>
      <c r="B79" s="26"/>
      <c r="C79" s="26"/>
      <c r="D79" s="26"/>
      <c r="E79" s="26"/>
      <c r="F79" s="26"/>
      <c r="G79" s="26"/>
      <c r="H79" s="3"/>
      <c r="I79" s="3"/>
      <c r="J79" s="3"/>
      <c r="K79" s="3"/>
      <c r="L79" s="3"/>
      <c r="M79" s="3"/>
      <c r="N79" s="3"/>
      <c r="O79" s="3"/>
      <c r="P79" s="3"/>
      <c r="Q79" s="3"/>
      <c r="R79" s="3"/>
      <c r="S79" s="3"/>
      <c r="T79" s="3"/>
      <c r="U79" s="3"/>
      <c r="V79" s="4"/>
      <c r="W79" s="3"/>
      <c r="X79" s="4"/>
      <c r="Y79" s="3"/>
      <c r="Z79" s="3"/>
      <c r="AA79" s="3"/>
      <c r="AB79" s="3"/>
      <c r="AC79" s="3"/>
      <c r="AD79" s="3"/>
    </row>
    <row r="80" spans="1:30" ht="15.75" customHeight="1">
      <c r="A80" s="3"/>
      <c r="B80" s="3"/>
      <c r="C80" s="3"/>
      <c r="D80" s="3"/>
      <c r="E80" s="3"/>
      <c r="F80" s="3"/>
      <c r="G80" s="3"/>
      <c r="H80" s="26"/>
      <c r="I80" s="26"/>
      <c r="J80" s="26"/>
      <c r="K80" s="26"/>
      <c r="L80" s="26"/>
      <c r="M80" s="26"/>
      <c r="N80" s="26"/>
      <c r="O80" s="26"/>
      <c r="P80" s="26"/>
      <c r="Q80" s="26"/>
      <c r="R80" s="26"/>
      <c r="S80" s="26"/>
      <c r="T80" s="26"/>
      <c r="U80" s="26"/>
      <c r="V80" s="27"/>
      <c r="W80" s="26"/>
      <c r="X80" s="26"/>
      <c r="Y80" s="26"/>
      <c r="Z80" s="26"/>
      <c r="AA80" s="26"/>
      <c r="AB80" s="26"/>
      <c r="AC80" s="26"/>
      <c r="AD80" s="26"/>
    </row>
    <row r="81" spans="1:30" ht="15.75" customHeight="1">
      <c r="A81" s="3"/>
      <c r="B81" s="3"/>
      <c r="C81" s="3"/>
      <c r="D81" s="3"/>
      <c r="E81" s="3"/>
      <c r="F81" s="3"/>
      <c r="G81" s="3"/>
      <c r="H81" s="3"/>
      <c r="I81" s="3"/>
      <c r="J81" s="3"/>
      <c r="K81" s="3"/>
      <c r="L81" s="3"/>
      <c r="M81" s="3"/>
      <c r="N81" s="3"/>
      <c r="O81" s="3"/>
      <c r="P81" s="3"/>
      <c r="Q81" s="3"/>
      <c r="R81" s="3"/>
      <c r="S81" s="3"/>
      <c r="T81" s="3"/>
      <c r="U81" s="3"/>
      <c r="V81" s="4"/>
      <c r="W81" s="3"/>
      <c r="X81" s="3"/>
      <c r="Y81" s="3"/>
      <c r="Z81" s="3"/>
      <c r="AA81" s="3"/>
      <c r="AB81" s="3"/>
      <c r="AC81" s="3"/>
      <c r="AD81" s="4"/>
    </row>
    <row r="82" spans="1:30" ht="15.75" customHeight="1">
      <c r="A82" s="3"/>
      <c r="B82" s="3"/>
      <c r="C82" s="3"/>
      <c r="D82" s="3"/>
      <c r="E82" s="3"/>
      <c r="F82" s="3"/>
      <c r="G82" s="3"/>
      <c r="H82" s="3"/>
      <c r="I82" s="3"/>
      <c r="J82" s="3"/>
      <c r="K82" s="3"/>
      <c r="L82" s="3"/>
      <c r="M82" s="3"/>
      <c r="N82" s="3"/>
      <c r="O82" s="3"/>
      <c r="P82" s="3"/>
      <c r="Q82" s="3"/>
      <c r="R82" s="3"/>
      <c r="S82" s="3"/>
      <c r="T82" s="3"/>
      <c r="U82" s="3"/>
      <c r="V82" s="4"/>
      <c r="W82" s="3"/>
      <c r="X82" s="12"/>
      <c r="Y82" s="3"/>
      <c r="Z82" s="3"/>
      <c r="AA82" s="3"/>
      <c r="AB82" s="3"/>
      <c r="AC82" s="3"/>
      <c r="AD82" s="4"/>
    </row>
    <row r="83" spans="1:30" ht="15.75" customHeight="1">
      <c r="A83" s="3"/>
      <c r="B83" s="3"/>
      <c r="C83" s="3"/>
      <c r="D83" s="3"/>
      <c r="E83" s="3"/>
      <c r="F83" s="3"/>
      <c r="G83" s="3"/>
      <c r="H83" s="3"/>
      <c r="I83" s="3"/>
      <c r="J83" s="3"/>
      <c r="K83" s="3"/>
      <c r="L83" s="3"/>
      <c r="M83" s="3"/>
      <c r="N83" s="3"/>
      <c r="O83" s="3"/>
      <c r="P83" s="28"/>
      <c r="Q83" s="3"/>
      <c r="R83" s="3"/>
      <c r="S83" s="3"/>
      <c r="T83" s="3"/>
      <c r="U83" s="3"/>
      <c r="V83" s="4"/>
      <c r="W83" s="3"/>
      <c r="X83" s="3"/>
      <c r="Y83" s="3"/>
      <c r="Z83" s="3"/>
      <c r="AA83" s="4"/>
      <c r="AB83" s="3"/>
      <c r="AC83" s="3"/>
      <c r="AD83" s="3"/>
    </row>
    <row r="84" spans="1:30" ht="15.75" customHeight="1">
      <c r="A84" s="3"/>
      <c r="B84" s="3"/>
      <c r="C84" s="3"/>
      <c r="D84" s="3"/>
      <c r="E84" s="3"/>
      <c r="F84" s="3"/>
      <c r="G84" s="3"/>
      <c r="H84" s="3"/>
      <c r="I84" s="3"/>
      <c r="J84" s="3"/>
      <c r="K84" s="3"/>
      <c r="L84" s="3"/>
      <c r="M84" s="3"/>
      <c r="N84" s="3"/>
      <c r="O84" s="3"/>
      <c r="P84" s="3"/>
      <c r="Q84" s="3"/>
      <c r="R84" s="3"/>
      <c r="S84" s="3"/>
      <c r="T84" s="3"/>
      <c r="U84" s="3"/>
      <c r="V84" s="4"/>
      <c r="W84" s="3"/>
      <c r="X84" s="3"/>
      <c r="Y84" s="3"/>
      <c r="Z84" s="3"/>
      <c r="AA84" s="3"/>
      <c r="AB84" s="3"/>
      <c r="AC84" s="3"/>
      <c r="AD84" s="4"/>
    </row>
    <row r="85" spans="1:30" ht="15.75" customHeight="1">
      <c r="A85" s="3"/>
      <c r="B85" s="3"/>
      <c r="C85" s="3"/>
      <c r="D85" s="3"/>
      <c r="E85" s="3"/>
      <c r="F85" s="3"/>
      <c r="G85" s="3"/>
      <c r="H85" s="3"/>
      <c r="I85" s="3"/>
      <c r="J85" s="3"/>
      <c r="K85" s="3"/>
      <c r="L85" s="3"/>
      <c r="M85" s="3"/>
      <c r="N85" s="3"/>
      <c r="O85" s="3"/>
      <c r="P85" s="3"/>
      <c r="Q85" s="3"/>
      <c r="R85" s="3"/>
      <c r="S85" s="3"/>
      <c r="T85" s="3"/>
      <c r="U85" s="3"/>
      <c r="V85" s="4"/>
      <c r="W85" s="3"/>
      <c r="X85" s="3"/>
      <c r="Y85" s="3"/>
      <c r="Z85" s="3"/>
      <c r="AA85" s="3"/>
      <c r="AB85" s="3"/>
      <c r="AC85" s="3"/>
      <c r="AD85" s="4"/>
    </row>
    <row r="86" spans="1:30" ht="15.75" customHeight="1">
      <c r="A86" s="3"/>
      <c r="B86" s="3"/>
      <c r="C86" s="3"/>
      <c r="D86" s="3"/>
      <c r="E86" s="3"/>
      <c r="F86" s="3"/>
      <c r="G86" s="3"/>
      <c r="H86" s="3"/>
      <c r="I86" s="3"/>
      <c r="J86" s="3"/>
      <c r="K86" s="29"/>
      <c r="L86" s="3"/>
      <c r="M86" s="3"/>
      <c r="N86" s="3"/>
      <c r="O86" s="3"/>
      <c r="P86" s="3"/>
      <c r="Q86" s="3"/>
      <c r="R86" s="3"/>
      <c r="S86" s="3"/>
      <c r="T86" s="3"/>
      <c r="U86" s="3"/>
      <c r="V86" s="4"/>
      <c r="W86" s="3"/>
      <c r="X86" s="3"/>
      <c r="Y86" s="3"/>
      <c r="Z86" s="3"/>
      <c r="AA86" s="4"/>
      <c r="AB86" s="3"/>
      <c r="AC86" s="3"/>
      <c r="AD86" s="3"/>
    </row>
    <row r="87" spans="1:30" ht="15.75" customHeight="1">
      <c r="A87" s="3"/>
      <c r="B87" s="3"/>
      <c r="C87" s="3"/>
      <c r="D87" s="3"/>
      <c r="E87" s="3"/>
      <c r="F87" s="3"/>
      <c r="G87" s="3"/>
      <c r="H87" s="3"/>
      <c r="I87" s="3"/>
      <c r="J87" s="3"/>
      <c r="K87" s="3"/>
      <c r="L87" s="3"/>
      <c r="M87" s="3"/>
      <c r="N87" s="3"/>
      <c r="O87" s="3"/>
      <c r="P87" s="3"/>
      <c r="Q87" s="3"/>
      <c r="R87" s="3"/>
      <c r="S87" s="3"/>
      <c r="T87" s="3"/>
      <c r="U87" s="3"/>
      <c r="V87" s="4"/>
      <c r="W87" s="3"/>
      <c r="X87" s="4"/>
      <c r="Y87" s="3"/>
      <c r="Z87" s="3"/>
      <c r="AA87" s="3"/>
      <c r="AB87" s="3"/>
      <c r="AC87" s="3"/>
      <c r="AD87" s="3"/>
    </row>
    <row r="88" spans="1:30" ht="15.75" customHeight="1">
      <c r="A88" s="6"/>
      <c r="B88" s="6"/>
      <c r="C88" s="6"/>
      <c r="D88" s="6"/>
      <c r="E88" s="6"/>
      <c r="F88" s="6"/>
      <c r="G88" s="6"/>
      <c r="H88" s="3"/>
      <c r="I88" s="3"/>
      <c r="J88" s="3"/>
      <c r="K88" s="3"/>
      <c r="L88" s="3"/>
      <c r="M88" s="3"/>
      <c r="N88" s="3"/>
      <c r="O88" s="3"/>
      <c r="P88" s="3"/>
      <c r="Q88" s="3"/>
      <c r="R88" s="3"/>
      <c r="S88" s="3"/>
      <c r="T88" s="3"/>
      <c r="U88" s="3"/>
      <c r="V88" s="4"/>
      <c r="W88" s="3"/>
      <c r="X88" s="4"/>
      <c r="Y88" s="3"/>
      <c r="Z88" s="3"/>
      <c r="AA88" s="3"/>
      <c r="AB88" s="3"/>
      <c r="AC88" s="3"/>
      <c r="AD88" s="3"/>
    </row>
    <row r="89" spans="1:30" ht="15.75" customHeight="1">
      <c r="A89" s="6"/>
      <c r="B89" s="6"/>
      <c r="C89" s="6"/>
      <c r="D89" s="6"/>
      <c r="E89" s="6"/>
      <c r="F89" s="6"/>
      <c r="G89" s="6"/>
      <c r="H89" s="6"/>
      <c r="I89" s="18"/>
      <c r="J89" s="18"/>
      <c r="K89" s="18"/>
      <c r="L89" s="6"/>
      <c r="M89" s="6"/>
      <c r="N89" s="6"/>
      <c r="O89" s="6"/>
      <c r="P89" s="6"/>
      <c r="Q89" s="6"/>
      <c r="R89" s="6"/>
      <c r="S89" s="6"/>
      <c r="T89" s="6"/>
      <c r="U89" s="6"/>
      <c r="V89" s="19"/>
      <c r="W89" s="20"/>
      <c r="X89" s="6"/>
      <c r="Y89" s="6"/>
      <c r="Z89" s="6"/>
      <c r="AA89" s="6"/>
      <c r="AB89" s="6"/>
      <c r="AC89" s="6"/>
      <c r="AD89" s="6"/>
    </row>
    <row r="90" spans="1:30" ht="15.75" customHeight="1">
      <c r="A90" s="6"/>
      <c r="B90" s="6"/>
      <c r="C90" s="6"/>
      <c r="D90" s="6"/>
      <c r="E90" s="6"/>
      <c r="F90" s="6"/>
      <c r="G90" s="6"/>
      <c r="H90" s="6"/>
      <c r="I90" s="18"/>
      <c r="J90" s="18"/>
      <c r="K90" s="18"/>
      <c r="L90" s="30"/>
      <c r="M90" s="6"/>
      <c r="N90" s="6"/>
      <c r="O90" s="6"/>
      <c r="P90" s="6"/>
      <c r="Q90" s="6"/>
      <c r="R90" s="6"/>
      <c r="S90" s="6"/>
      <c r="T90" s="6"/>
      <c r="U90" s="6"/>
      <c r="V90" s="19"/>
      <c r="W90" s="20"/>
      <c r="X90" s="6"/>
      <c r="Y90" s="6"/>
      <c r="Z90" s="6"/>
      <c r="AA90" s="6"/>
      <c r="AB90" s="6"/>
      <c r="AC90" s="6"/>
      <c r="AD90" s="6"/>
    </row>
    <row r="91" spans="1:30" ht="15.75" customHeight="1">
      <c r="A91" s="6"/>
      <c r="B91" s="6"/>
      <c r="C91" s="6"/>
      <c r="D91" s="6"/>
      <c r="E91" s="6"/>
      <c r="F91" s="6"/>
      <c r="G91" s="6"/>
      <c r="H91" s="6"/>
      <c r="I91" s="18"/>
      <c r="J91" s="18"/>
      <c r="K91" s="18"/>
      <c r="L91" s="6"/>
      <c r="M91" s="6"/>
      <c r="N91" s="6"/>
      <c r="O91" s="6"/>
      <c r="P91" s="6"/>
      <c r="Q91" s="6"/>
      <c r="R91" s="6"/>
      <c r="S91" s="6"/>
      <c r="T91" s="6"/>
      <c r="U91" s="6"/>
      <c r="V91" s="19"/>
      <c r="W91" s="20"/>
      <c r="X91" s="6"/>
      <c r="Y91" s="6"/>
      <c r="Z91" s="6"/>
      <c r="AA91" s="6"/>
      <c r="AB91" s="6"/>
      <c r="AC91" s="6"/>
      <c r="AD91" s="6"/>
    </row>
    <row r="92" spans="1:30" ht="15.75" customHeight="1">
      <c r="A92" s="3"/>
      <c r="B92" s="3"/>
      <c r="C92" s="3"/>
      <c r="D92" s="3"/>
      <c r="E92" s="3"/>
      <c r="F92" s="3"/>
      <c r="G92" s="3"/>
      <c r="H92" s="6"/>
      <c r="I92" s="18"/>
      <c r="J92" s="18"/>
      <c r="K92" s="18"/>
      <c r="L92" s="6"/>
      <c r="M92" s="6"/>
      <c r="N92" s="6"/>
      <c r="O92" s="6"/>
      <c r="P92" s="6"/>
      <c r="Q92" s="6"/>
      <c r="R92" s="6"/>
      <c r="S92" s="6"/>
      <c r="T92" s="6"/>
      <c r="U92" s="6"/>
      <c r="V92" s="19"/>
      <c r="W92" s="20"/>
      <c r="X92" s="6"/>
      <c r="Y92" s="6"/>
      <c r="Z92" s="6"/>
      <c r="AA92" s="6"/>
      <c r="AB92" s="6"/>
      <c r="AC92" s="6"/>
      <c r="AD92" s="6"/>
    </row>
    <row r="93" spans="1:30" ht="15.75" customHeight="1">
      <c r="A93" s="3"/>
      <c r="B93" s="3"/>
      <c r="C93" s="3"/>
      <c r="D93" s="3"/>
      <c r="E93" s="3"/>
      <c r="F93" s="3"/>
      <c r="G93" s="3"/>
      <c r="H93" s="3"/>
      <c r="I93" s="3"/>
      <c r="J93" s="3"/>
      <c r="K93" s="3"/>
      <c r="L93" s="3"/>
      <c r="M93" s="3"/>
      <c r="N93" s="3"/>
      <c r="O93" s="3"/>
      <c r="P93" s="3"/>
      <c r="Q93" s="3"/>
      <c r="R93" s="3"/>
      <c r="S93" s="3"/>
      <c r="T93" s="3"/>
      <c r="U93" s="3"/>
      <c r="V93" s="4"/>
      <c r="W93" s="3"/>
      <c r="X93" s="3"/>
      <c r="Y93" s="3"/>
      <c r="Z93" s="3"/>
      <c r="AA93" s="4"/>
      <c r="AB93" s="3"/>
      <c r="AC93" s="3"/>
      <c r="AD93" s="3"/>
    </row>
    <row r="94" spans="1:30" ht="15.75" customHeight="1">
      <c r="A94" s="3"/>
      <c r="B94" s="3"/>
      <c r="C94" s="3"/>
      <c r="D94" s="3"/>
      <c r="E94" s="3"/>
      <c r="F94" s="3"/>
      <c r="G94" s="3"/>
      <c r="H94" s="3"/>
      <c r="I94" s="3"/>
      <c r="J94" s="3"/>
      <c r="K94" s="3"/>
      <c r="L94" s="3"/>
      <c r="M94" s="3"/>
      <c r="N94" s="3"/>
      <c r="O94" s="3"/>
      <c r="P94" s="3"/>
      <c r="Q94" s="3"/>
      <c r="R94" s="3"/>
      <c r="S94" s="3"/>
      <c r="T94" s="3"/>
      <c r="U94" s="3"/>
      <c r="V94" s="4"/>
      <c r="W94" s="3"/>
      <c r="X94" s="3"/>
      <c r="Y94" s="3"/>
      <c r="Z94" s="3"/>
      <c r="AA94" s="4"/>
      <c r="AB94" s="3"/>
      <c r="AC94" s="3"/>
      <c r="AD94" s="3"/>
    </row>
    <row r="95" spans="1:30" ht="15.75" customHeight="1">
      <c r="A95" s="3"/>
      <c r="B95" s="3"/>
      <c r="C95" s="3"/>
      <c r="D95" s="3"/>
      <c r="E95" s="3"/>
      <c r="F95" s="3"/>
      <c r="G95" s="3"/>
      <c r="H95" s="3"/>
      <c r="I95" s="3"/>
      <c r="J95" s="3"/>
      <c r="K95" s="3"/>
      <c r="L95" s="3"/>
      <c r="M95" s="3"/>
      <c r="N95" s="3"/>
      <c r="O95" s="3"/>
      <c r="P95" s="3"/>
      <c r="Q95" s="3"/>
      <c r="R95" s="3"/>
      <c r="S95" s="3"/>
      <c r="T95" s="3"/>
      <c r="U95" s="3"/>
      <c r="V95" s="4"/>
      <c r="W95" s="3"/>
      <c r="X95" s="3"/>
      <c r="Y95" s="3"/>
      <c r="Z95" s="3"/>
      <c r="AA95" s="3"/>
      <c r="AB95" s="3"/>
      <c r="AC95" s="3"/>
      <c r="AD95" s="3"/>
    </row>
    <row r="96" spans="1:30" ht="15.75" customHeight="1">
      <c r="A96" s="3"/>
      <c r="B96" s="3"/>
      <c r="C96" s="3"/>
      <c r="D96" s="3"/>
      <c r="E96" s="3"/>
      <c r="F96" s="3"/>
      <c r="G96" s="3"/>
      <c r="H96" s="3"/>
      <c r="I96" s="3"/>
      <c r="J96" s="3"/>
      <c r="K96" s="3"/>
      <c r="L96" s="3"/>
      <c r="M96" s="3"/>
      <c r="N96" s="3"/>
      <c r="O96" s="3"/>
      <c r="P96" s="3"/>
      <c r="Q96" s="3"/>
      <c r="R96" s="3"/>
      <c r="S96" s="3"/>
      <c r="T96" s="3"/>
      <c r="U96" s="3"/>
      <c r="V96" s="4"/>
      <c r="W96" s="3"/>
      <c r="X96" s="3"/>
      <c r="Y96" s="3"/>
      <c r="Z96" s="3"/>
      <c r="AA96" s="3"/>
      <c r="AB96" s="3"/>
      <c r="AC96" s="3"/>
      <c r="AD96" s="3"/>
    </row>
    <row r="97" spans="1:30" ht="15.75" customHeight="1">
      <c r="A97" s="3"/>
      <c r="B97" s="3"/>
      <c r="C97" s="3"/>
      <c r="D97" s="3"/>
      <c r="E97" s="3"/>
      <c r="F97" s="3"/>
      <c r="G97" s="3"/>
      <c r="H97" s="3"/>
      <c r="I97" s="3"/>
      <c r="J97" s="3"/>
      <c r="K97" s="3"/>
      <c r="L97" s="3"/>
      <c r="M97" s="3"/>
      <c r="N97" s="3"/>
      <c r="O97" s="3"/>
      <c r="P97" s="3"/>
      <c r="Q97" s="3"/>
      <c r="R97" s="3"/>
      <c r="S97" s="3"/>
      <c r="T97" s="3"/>
      <c r="U97" s="3"/>
      <c r="V97" s="4"/>
      <c r="W97" s="3"/>
      <c r="X97" s="3"/>
      <c r="Y97" s="3"/>
      <c r="Z97" s="3"/>
      <c r="AA97" s="4"/>
      <c r="AB97" s="3"/>
      <c r="AC97" s="3"/>
      <c r="AD97" s="3"/>
    </row>
    <row r="98" spans="1:30" ht="15.75" customHeight="1">
      <c r="A98" s="3"/>
      <c r="B98" s="3"/>
      <c r="C98" s="3"/>
      <c r="D98" s="3"/>
      <c r="E98" s="3"/>
      <c r="F98" s="3"/>
      <c r="G98" s="3"/>
      <c r="H98" s="3"/>
      <c r="I98" s="3"/>
      <c r="J98" s="3"/>
      <c r="K98" s="3"/>
      <c r="L98" s="3"/>
      <c r="M98" s="3"/>
      <c r="N98" s="3"/>
      <c r="O98" s="3"/>
      <c r="P98" s="3"/>
      <c r="Q98" s="3"/>
      <c r="R98" s="3"/>
      <c r="S98" s="3"/>
      <c r="T98" s="3"/>
      <c r="U98" s="3"/>
      <c r="V98" s="4"/>
      <c r="W98" s="3"/>
      <c r="X98" s="3"/>
      <c r="Y98" s="3"/>
      <c r="Z98" s="3"/>
      <c r="AA98" s="4"/>
      <c r="AB98" s="3"/>
      <c r="AC98" s="3"/>
      <c r="AD98" s="3"/>
    </row>
    <row r="99" spans="1:30" ht="15.75" customHeight="1">
      <c r="A99" s="3"/>
      <c r="B99" s="3"/>
      <c r="C99" s="3"/>
      <c r="D99" s="3"/>
      <c r="E99" s="3"/>
      <c r="F99" s="3"/>
      <c r="G99" s="3"/>
      <c r="H99" s="3"/>
      <c r="I99" s="3"/>
      <c r="J99" s="3"/>
      <c r="K99" s="3"/>
      <c r="L99" s="3"/>
      <c r="M99" s="3"/>
      <c r="N99" s="3"/>
      <c r="O99" s="3"/>
      <c r="P99" s="3"/>
      <c r="Q99" s="3"/>
      <c r="R99" s="3"/>
      <c r="S99" s="3"/>
      <c r="T99" s="3"/>
      <c r="U99" s="3"/>
      <c r="V99" s="4"/>
      <c r="W99" s="3"/>
      <c r="X99" s="3"/>
      <c r="Y99" s="3"/>
      <c r="Z99" s="3"/>
      <c r="AA99" s="4"/>
      <c r="AB99" s="3"/>
      <c r="AC99" s="3"/>
      <c r="AD99" s="3"/>
    </row>
    <row r="100" spans="1:30" ht="15.75" customHeight="1">
      <c r="A100" s="3"/>
      <c r="B100" s="3"/>
      <c r="C100" s="3"/>
      <c r="D100" s="3"/>
      <c r="E100" s="3"/>
      <c r="F100" s="3"/>
      <c r="G100" s="3"/>
      <c r="H100" s="3"/>
      <c r="I100" s="3"/>
      <c r="J100" s="3"/>
      <c r="K100" s="3"/>
      <c r="L100" s="3"/>
      <c r="M100" s="3"/>
      <c r="N100" s="3"/>
      <c r="O100" s="3"/>
      <c r="P100" s="3"/>
      <c r="Q100" s="3"/>
      <c r="R100" s="3"/>
      <c r="S100" s="3"/>
      <c r="T100" s="3"/>
      <c r="U100" s="3"/>
      <c r="V100" s="4"/>
      <c r="W100" s="3"/>
      <c r="X100" s="3"/>
      <c r="Y100" s="3"/>
      <c r="Z100" s="3"/>
      <c r="AA100" s="4"/>
      <c r="AB100" s="3"/>
      <c r="AC100" s="3"/>
      <c r="AD100" s="3"/>
    </row>
    <row r="101" spans="1:30" ht="15.75" customHeight="1">
      <c r="A101" s="3"/>
      <c r="B101" s="3"/>
      <c r="C101" s="3"/>
      <c r="D101" s="3"/>
      <c r="E101" s="3"/>
      <c r="F101" s="3"/>
      <c r="G101" s="3"/>
      <c r="H101" s="3"/>
      <c r="I101" s="3"/>
      <c r="J101" s="3"/>
      <c r="K101" s="3"/>
      <c r="L101" s="3"/>
      <c r="M101" s="3"/>
      <c r="N101" s="3"/>
      <c r="O101" s="3"/>
      <c r="P101" s="3"/>
      <c r="Q101" s="3"/>
      <c r="R101" s="3"/>
      <c r="S101" s="3"/>
      <c r="T101" s="3"/>
      <c r="U101" s="3"/>
      <c r="V101" s="4"/>
      <c r="W101" s="3"/>
      <c r="X101" s="3"/>
      <c r="Y101" s="3"/>
      <c r="Z101" s="3"/>
      <c r="AA101" s="3"/>
      <c r="AB101" s="3"/>
      <c r="AC101" s="3"/>
      <c r="AD101" s="3"/>
    </row>
    <row r="102" spans="1:30" ht="15.75" customHeight="1">
      <c r="A102" s="3"/>
      <c r="B102" s="3"/>
      <c r="C102" s="3"/>
      <c r="D102" s="3"/>
      <c r="E102" s="3"/>
      <c r="F102" s="3"/>
      <c r="G102" s="3"/>
      <c r="H102" s="3"/>
      <c r="I102" s="3"/>
      <c r="J102" s="3"/>
      <c r="K102" s="3"/>
      <c r="L102" s="3"/>
      <c r="M102" s="3"/>
      <c r="N102" s="3"/>
      <c r="O102" s="3"/>
      <c r="P102" s="3"/>
      <c r="Q102" s="3"/>
      <c r="R102" s="3"/>
      <c r="S102" s="3"/>
      <c r="T102" s="3"/>
      <c r="U102" s="3"/>
      <c r="V102" s="4"/>
      <c r="W102" s="3"/>
      <c r="X102" s="3"/>
      <c r="Y102" s="3"/>
      <c r="Z102" s="3"/>
      <c r="AA102" s="4"/>
      <c r="AB102" s="3"/>
      <c r="AC102" s="3"/>
      <c r="AD102" s="3"/>
    </row>
    <row r="103" spans="1:30" ht="15.75" customHeight="1">
      <c r="A103" s="3"/>
      <c r="B103" s="3"/>
      <c r="C103" s="3"/>
      <c r="D103" s="3"/>
      <c r="E103" s="3"/>
      <c r="F103" s="3"/>
      <c r="G103" s="3"/>
      <c r="H103" s="3"/>
      <c r="I103" s="3"/>
      <c r="J103" s="3"/>
      <c r="K103" s="3"/>
      <c r="L103" s="3"/>
      <c r="M103" s="3"/>
      <c r="N103" s="3"/>
      <c r="O103" s="3"/>
      <c r="P103" s="3"/>
      <c r="Q103" s="3"/>
      <c r="R103" s="3"/>
      <c r="S103" s="3"/>
      <c r="T103" s="3"/>
      <c r="U103" s="3"/>
      <c r="V103" s="4"/>
      <c r="W103" s="3"/>
      <c r="X103" s="3"/>
      <c r="Y103" s="3"/>
      <c r="Z103" s="3"/>
      <c r="AA103" s="3"/>
      <c r="AB103" s="3"/>
      <c r="AC103" s="3"/>
      <c r="AD103" s="3"/>
    </row>
    <row r="104" spans="1:30" ht="15.75" customHeight="1">
      <c r="A104" s="3"/>
      <c r="B104" s="3"/>
      <c r="C104" s="3"/>
      <c r="D104" s="3"/>
      <c r="E104" s="3"/>
      <c r="F104" s="3"/>
      <c r="G104" s="3"/>
      <c r="H104" s="3"/>
      <c r="I104" s="3"/>
      <c r="J104" s="3"/>
      <c r="K104" s="3"/>
      <c r="L104" s="3"/>
      <c r="M104" s="3"/>
      <c r="N104" s="3"/>
      <c r="O104" s="3"/>
      <c r="P104" s="3"/>
      <c r="Q104" s="3"/>
      <c r="R104" s="3"/>
      <c r="S104" s="3"/>
      <c r="T104" s="3"/>
      <c r="U104" s="3"/>
      <c r="V104" s="4"/>
      <c r="W104" s="3"/>
      <c r="X104" s="4"/>
      <c r="Y104" s="3"/>
      <c r="Z104" s="3"/>
      <c r="AA104" s="4"/>
      <c r="AB104" s="3"/>
      <c r="AC104" s="3"/>
      <c r="AD104" s="3"/>
    </row>
    <row r="105" spans="1:30" ht="15.75" customHeight="1">
      <c r="A105" s="3"/>
      <c r="B105" s="3"/>
      <c r="C105" s="3"/>
      <c r="D105" s="3"/>
      <c r="E105" s="3"/>
      <c r="F105" s="3"/>
      <c r="G105" s="3"/>
      <c r="H105" s="3"/>
      <c r="I105" s="3"/>
      <c r="J105" s="3"/>
      <c r="K105" s="3"/>
      <c r="L105" s="3"/>
      <c r="M105" s="3"/>
      <c r="N105" s="3"/>
      <c r="O105" s="3"/>
      <c r="P105" s="3"/>
      <c r="Q105" s="3"/>
      <c r="R105" s="3"/>
      <c r="S105" s="3"/>
      <c r="T105" s="3"/>
      <c r="U105" s="3"/>
      <c r="V105" s="4"/>
      <c r="W105" s="3"/>
      <c r="X105" s="4"/>
      <c r="Y105" s="3"/>
      <c r="Z105" s="3"/>
      <c r="AA105" s="4"/>
      <c r="AB105" s="3"/>
      <c r="AC105" s="3"/>
      <c r="AD105" s="3"/>
    </row>
    <row r="106" spans="1:30" ht="15.75" customHeight="1">
      <c r="A106" s="3"/>
      <c r="B106" s="3"/>
      <c r="C106" s="3"/>
      <c r="D106" s="3"/>
      <c r="E106" s="3"/>
      <c r="F106" s="3"/>
      <c r="G106" s="3"/>
      <c r="H106" s="3"/>
      <c r="I106" s="3"/>
      <c r="J106" s="3"/>
      <c r="K106" s="3"/>
      <c r="L106" s="3"/>
      <c r="M106" s="3"/>
      <c r="N106" s="3"/>
      <c r="O106" s="3"/>
      <c r="P106" s="3"/>
      <c r="Q106" s="3"/>
      <c r="R106" s="3"/>
      <c r="S106" s="3"/>
      <c r="T106" s="3"/>
      <c r="U106" s="3"/>
      <c r="V106" s="4"/>
      <c r="W106" s="3"/>
      <c r="X106" s="4"/>
      <c r="Y106" s="3"/>
      <c r="Z106" s="3"/>
      <c r="AA106" s="4"/>
      <c r="AB106" s="3"/>
      <c r="AC106" s="3"/>
      <c r="AD106" s="3"/>
    </row>
    <row r="107" spans="1:30" ht="15.75" customHeight="1">
      <c r="A107" s="3"/>
      <c r="B107" s="3"/>
      <c r="C107" s="3"/>
      <c r="D107" s="3"/>
      <c r="E107" s="3"/>
      <c r="F107" s="3"/>
      <c r="G107" s="3"/>
      <c r="H107" s="3"/>
      <c r="I107" s="3"/>
      <c r="J107" s="3"/>
      <c r="K107" s="3"/>
      <c r="L107" s="3"/>
      <c r="M107" s="3"/>
      <c r="N107" s="3"/>
      <c r="O107" s="3"/>
      <c r="P107" s="3"/>
      <c r="Q107" s="3"/>
      <c r="R107" s="3"/>
      <c r="S107" s="3"/>
      <c r="T107" s="3"/>
      <c r="U107" s="3"/>
      <c r="V107" s="4"/>
      <c r="W107" s="3"/>
      <c r="X107" s="3"/>
      <c r="Y107" s="3"/>
      <c r="Z107" s="3"/>
      <c r="AA107" s="4"/>
      <c r="AB107" s="3"/>
      <c r="AC107" s="3"/>
      <c r="AD107" s="3"/>
    </row>
    <row r="108" spans="1:30" ht="15.75" customHeight="1">
      <c r="A108" s="3"/>
      <c r="B108" s="3"/>
      <c r="C108" s="3"/>
      <c r="D108" s="3"/>
      <c r="E108" s="3"/>
      <c r="F108" s="3"/>
      <c r="G108" s="3"/>
      <c r="H108" s="3"/>
      <c r="I108" s="3"/>
      <c r="J108" s="3"/>
      <c r="K108" s="3"/>
      <c r="L108" s="3"/>
      <c r="M108" s="3"/>
      <c r="N108" s="3"/>
      <c r="O108" s="3"/>
      <c r="P108" s="3"/>
      <c r="Q108" s="3"/>
      <c r="R108" s="3"/>
      <c r="S108" s="3"/>
      <c r="T108" s="3"/>
      <c r="U108" s="3"/>
      <c r="V108" s="4"/>
      <c r="W108" s="3"/>
      <c r="X108" s="3"/>
      <c r="Y108" s="3"/>
      <c r="Z108" s="3"/>
      <c r="AA108" s="3"/>
      <c r="AB108" s="3"/>
      <c r="AC108" s="3"/>
      <c r="AD108" s="3"/>
    </row>
    <row r="109" spans="1:30" ht="15.75" customHeight="1">
      <c r="A109" s="3"/>
      <c r="B109" s="3"/>
      <c r="C109" s="3"/>
      <c r="D109" s="3"/>
      <c r="E109" s="3"/>
      <c r="F109" s="3"/>
      <c r="G109" s="3"/>
      <c r="H109" s="3"/>
      <c r="I109" s="3"/>
      <c r="J109" s="3"/>
      <c r="K109" s="3"/>
      <c r="L109" s="3"/>
      <c r="M109" s="3"/>
      <c r="N109" s="3"/>
      <c r="O109" s="3"/>
      <c r="P109" s="3"/>
      <c r="Q109" s="3"/>
      <c r="R109" s="3"/>
      <c r="S109" s="3"/>
      <c r="T109" s="3"/>
      <c r="U109" s="3"/>
      <c r="V109" s="4"/>
      <c r="W109" s="3"/>
      <c r="X109" s="3"/>
      <c r="Y109" s="3"/>
      <c r="Z109" s="3"/>
      <c r="AA109" s="3"/>
      <c r="AB109" s="3"/>
      <c r="AC109" s="3"/>
      <c r="AD109" s="3"/>
    </row>
    <row r="110" spans="1:30" ht="15.75" customHeight="1">
      <c r="A110" s="3"/>
      <c r="B110" s="3"/>
      <c r="C110" s="3"/>
      <c r="D110" s="3"/>
      <c r="E110" s="3"/>
      <c r="F110" s="3"/>
      <c r="G110" s="3"/>
      <c r="H110" s="3"/>
      <c r="I110" s="3"/>
      <c r="J110" s="3"/>
      <c r="K110" s="3"/>
      <c r="L110" s="3"/>
      <c r="M110" s="3"/>
      <c r="N110" s="3"/>
      <c r="O110" s="3"/>
      <c r="P110" s="3"/>
      <c r="Q110" s="3"/>
      <c r="R110" s="3"/>
      <c r="S110" s="3"/>
      <c r="T110" s="3"/>
      <c r="U110" s="3"/>
      <c r="V110" s="4"/>
      <c r="W110" s="3"/>
      <c r="X110" s="3"/>
      <c r="Y110" s="3"/>
      <c r="Z110" s="3"/>
      <c r="AA110" s="3"/>
      <c r="AB110" s="3"/>
      <c r="AC110" s="3"/>
      <c r="AD110" s="3"/>
    </row>
    <row r="111" spans="1:30" ht="15.75" customHeight="1">
      <c r="A111" s="3"/>
      <c r="B111" s="3"/>
      <c r="C111" s="3"/>
      <c r="D111" s="3"/>
      <c r="E111" s="3"/>
      <c r="F111" s="3"/>
      <c r="G111" s="3"/>
      <c r="H111" s="3"/>
      <c r="I111" s="3"/>
      <c r="J111" s="3"/>
      <c r="K111" s="3"/>
      <c r="L111" s="3"/>
      <c r="M111" s="3"/>
      <c r="N111" s="3"/>
      <c r="O111" s="3"/>
      <c r="P111" s="3"/>
      <c r="Q111" s="3"/>
      <c r="R111" s="3"/>
      <c r="S111" s="3"/>
      <c r="T111" s="3"/>
      <c r="U111" s="3"/>
      <c r="V111" s="4"/>
      <c r="W111" s="3"/>
      <c r="X111" s="3"/>
      <c r="Y111" s="3"/>
      <c r="Z111" s="3"/>
      <c r="AA111" s="3"/>
      <c r="AB111" s="3"/>
      <c r="AC111" s="3"/>
      <c r="AD111" s="3"/>
    </row>
    <row r="112" spans="1:30" ht="15.75" customHeight="1">
      <c r="A112" s="6"/>
      <c r="B112" s="6"/>
      <c r="C112" s="6"/>
      <c r="D112" s="6"/>
      <c r="E112" s="6"/>
      <c r="F112" s="6"/>
      <c r="G112" s="6"/>
      <c r="H112" s="3"/>
      <c r="I112" s="3"/>
      <c r="J112" s="3"/>
      <c r="K112" s="3"/>
      <c r="L112" s="3"/>
      <c r="M112" s="3"/>
      <c r="N112" s="3"/>
      <c r="O112" s="3"/>
      <c r="P112" s="3"/>
      <c r="Q112" s="3"/>
      <c r="R112" s="3"/>
      <c r="S112" s="3"/>
      <c r="T112" s="3"/>
      <c r="U112" s="3"/>
      <c r="V112" s="4"/>
      <c r="W112" s="3"/>
      <c r="X112" s="3"/>
      <c r="Y112" s="3"/>
      <c r="Z112" s="3"/>
      <c r="AA112" s="3"/>
      <c r="AB112" s="3"/>
      <c r="AC112" s="3"/>
      <c r="AD112" s="3"/>
    </row>
    <row r="113" spans="1:30" ht="15.75" customHeight="1">
      <c r="A113" s="3"/>
      <c r="B113" s="3"/>
      <c r="C113" s="3"/>
      <c r="D113" s="3"/>
      <c r="E113" s="3"/>
      <c r="F113" s="3"/>
      <c r="G113" s="3"/>
      <c r="H113" s="6"/>
      <c r="I113" s="6"/>
      <c r="J113" s="6"/>
      <c r="K113" s="18"/>
      <c r="L113" s="31"/>
      <c r="M113" s="6"/>
      <c r="N113" s="6"/>
      <c r="O113" s="6"/>
      <c r="P113" s="6"/>
      <c r="Q113" s="6"/>
      <c r="R113" s="6"/>
      <c r="S113" s="6"/>
      <c r="T113" s="6"/>
      <c r="U113" s="6"/>
      <c r="V113" s="19"/>
      <c r="W113" s="20"/>
      <c r="X113" s="6"/>
      <c r="Y113" s="6"/>
      <c r="Z113" s="6"/>
      <c r="AA113" s="6"/>
      <c r="AB113" s="6"/>
      <c r="AC113" s="6"/>
      <c r="AD113" s="6"/>
    </row>
    <row r="114" spans="1:30" ht="15.75" customHeight="1">
      <c r="A114" s="3"/>
      <c r="B114" s="3"/>
      <c r="C114" s="3"/>
      <c r="D114" s="3"/>
      <c r="E114" s="3"/>
      <c r="F114" s="3"/>
      <c r="G114" s="3"/>
      <c r="H114" s="3"/>
      <c r="I114" s="3"/>
      <c r="J114" s="3"/>
      <c r="K114" s="3"/>
      <c r="L114" s="3"/>
      <c r="M114" s="3"/>
      <c r="N114" s="3"/>
      <c r="O114" s="3"/>
      <c r="P114" s="3"/>
      <c r="Q114" s="3"/>
      <c r="R114" s="3"/>
      <c r="S114" s="3"/>
      <c r="T114" s="3"/>
      <c r="U114" s="3"/>
      <c r="V114" s="4"/>
      <c r="W114" s="3"/>
      <c r="X114" s="3"/>
      <c r="Y114" s="3"/>
      <c r="Z114" s="3"/>
      <c r="AA114" s="3"/>
      <c r="AB114" s="3"/>
      <c r="AC114" s="3"/>
      <c r="AD114" s="3"/>
    </row>
    <row r="115" spans="1:30" ht="15.75" customHeight="1">
      <c r="A115" s="3"/>
      <c r="B115" s="3"/>
      <c r="C115" s="3"/>
      <c r="D115" s="3"/>
      <c r="E115" s="3"/>
      <c r="F115" s="3"/>
      <c r="G115" s="3"/>
      <c r="H115" s="3"/>
      <c r="I115" s="3"/>
      <c r="J115" s="3"/>
      <c r="K115" s="3"/>
      <c r="L115" s="3"/>
      <c r="M115" s="3"/>
      <c r="N115" s="3"/>
      <c r="O115" s="3"/>
      <c r="P115" s="3"/>
      <c r="Q115" s="3"/>
      <c r="R115" s="3"/>
      <c r="S115" s="3"/>
      <c r="T115" s="3"/>
      <c r="U115" s="3"/>
      <c r="V115" s="4"/>
      <c r="W115" s="3"/>
      <c r="X115" s="3"/>
      <c r="Y115" s="3"/>
      <c r="Z115" s="3"/>
      <c r="AA115" s="4"/>
      <c r="AB115" s="3"/>
      <c r="AC115" s="3"/>
      <c r="AD115" s="3"/>
    </row>
    <row r="116" spans="1:30" ht="15.75" customHeight="1">
      <c r="A116" s="6"/>
      <c r="B116" s="6"/>
      <c r="C116" s="6"/>
      <c r="D116" s="6"/>
      <c r="E116" s="6"/>
      <c r="F116" s="6"/>
      <c r="G116" s="6"/>
      <c r="H116" s="3"/>
      <c r="I116" s="3"/>
      <c r="J116" s="3"/>
      <c r="K116" s="3"/>
      <c r="L116" s="3"/>
      <c r="M116" s="3"/>
      <c r="N116" s="3"/>
      <c r="O116" s="3"/>
      <c r="P116" s="3"/>
      <c r="Q116" s="3"/>
      <c r="R116" s="3"/>
      <c r="S116" s="3"/>
      <c r="T116" s="3"/>
      <c r="U116" s="3"/>
      <c r="V116" s="4"/>
      <c r="W116" s="3"/>
      <c r="X116" s="3"/>
      <c r="Y116" s="3"/>
      <c r="Z116" s="3"/>
      <c r="AA116" s="3"/>
      <c r="AB116" s="3"/>
      <c r="AC116" s="3"/>
      <c r="AD116" s="3"/>
    </row>
    <row r="117" spans="1:30" ht="15.75" customHeight="1">
      <c r="A117" s="3"/>
      <c r="B117" s="3"/>
      <c r="C117" s="3"/>
      <c r="D117" s="3"/>
      <c r="E117" s="3"/>
      <c r="F117" s="3"/>
      <c r="G117" s="3"/>
      <c r="H117" s="6"/>
      <c r="I117" s="18"/>
      <c r="J117" s="18"/>
      <c r="K117" s="18"/>
      <c r="L117" s="6"/>
      <c r="M117" s="6"/>
      <c r="N117" s="6"/>
      <c r="O117" s="6"/>
      <c r="P117" s="6"/>
      <c r="Q117" s="6"/>
      <c r="R117" s="6"/>
      <c r="S117" s="6"/>
      <c r="T117" s="6"/>
      <c r="U117" s="6"/>
      <c r="V117" s="19"/>
      <c r="W117" s="20"/>
      <c r="X117" s="6"/>
      <c r="Y117" s="6"/>
      <c r="Z117" s="6"/>
      <c r="AA117" s="6"/>
      <c r="AB117" s="6"/>
      <c r="AC117" s="6"/>
      <c r="AD117" s="6"/>
    </row>
    <row r="118" spans="1:30" ht="15.75" customHeight="1">
      <c r="A118" s="3"/>
      <c r="B118" s="3"/>
      <c r="C118" s="3"/>
      <c r="D118" s="3"/>
      <c r="E118" s="3"/>
      <c r="F118" s="3"/>
      <c r="G118" s="3"/>
      <c r="H118" s="3"/>
      <c r="I118" s="3"/>
      <c r="J118" s="3"/>
      <c r="K118" s="3"/>
      <c r="L118" s="3"/>
      <c r="M118" s="3"/>
      <c r="N118" s="3"/>
      <c r="O118" s="3"/>
      <c r="P118" s="3"/>
      <c r="Q118" s="3"/>
      <c r="R118" s="3"/>
      <c r="S118" s="3"/>
      <c r="T118" s="3"/>
      <c r="U118" s="3"/>
      <c r="V118" s="4"/>
      <c r="W118" s="3"/>
      <c r="X118" s="3"/>
      <c r="Y118" s="3"/>
      <c r="Z118" s="3"/>
      <c r="AA118" s="4"/>
      <c r="AB118" s="3"/>
      <c r="AC118" s="3"/>
      <c r="AD118" s="3"/>
    </row>
    <row r="119" spans="1:30" ht="15.75" customHeight="1">
      <c r="A119" s="3"/>
      <c r="B119" s="3"/>
      <c r="C119" s="3"/>
      <c r="D119" s="3"/>
      <c r="E119" s="3"/>
      <c r="F119" s="3"/>
      <c r="G119" s="3"/>
      <c r="H119" s="3"/>
      <c r="I119" s="3"/>
      <c r="J119" s="3"/>
      <c r="K119" s="3"/>
      <c r="L119" s="3"/>
      <c r="M119" s="3"/>
      <c r="N119" s="3"/>
      <c r="O119" s="3"/>
      <c r="P119" s="3"/>
      <c r="Q119" s="3"/>
      <c r="R119" s="3"/>
      <c r="S119" s="3"/>
      <c r="T119" s="3"/>
      <c r="U119" s="3"/>
      <c r="V119" s="4"/>
      <c r="W119" s="3"/>
      <c r="X119" s="3"/>
      <c r="Y119" s="3"/>
      <c r="Z119" s="3"/>
      <c r="AA119" s="4"/>
      <c r="AB119" s="3"/>
      <c r="AC119" s="3"/>
      <c r="AD119" s="3"/>
    </row>
    <row r="120" spans="1:30" ht="15.75" customHeight="1">
      <c r="A120" s="3"/>
      <c r="B120" s="3"/>
      <c r="C120" s="3"/>
      <c r="D120" s="3"/>
      <c r="E120" s="3"/>
      <c r="F120" s="3"/>
      <c r="G120" s="3"/>
      <c r="H120" s="3"/>
      <c r="I120" s="3"/>
      <c r="J120" s="3"/>
      <c r="K120" s="3"/>
      <c r="L120" s="3"/>
      <c r="M120" s="3"/>
      <c r="N120" s="3"/>
      <c r="O120" s="3"/>
      <c r="P120" s="3"/>
      <c r="Q120" s="3"/>
      <c r="R120" s="3"/>
      <c r="S120" s="3"/>
      <c r="T120" s="3"/>
      <c r="U120" s="3"/>
      <c r="V120" s="4"/>
      <c r="W120" s="3"/>
      <c r="X120" s="3"/>
      <c r="Y120" s="3"/>
      <c r="Z120" s="3"/>
      <c r="AA120" s="4"/>
      <c r="AB120" s="3"/>
      <c r="AC120" s="3"/>
      <c r="AD120" s="3"/>
    </row>
    <row r="121" spans="1:30" ht="15.75" customHeight="1">
      <c r="A121" s="3"/>
      <c r="B121" s="3"/>
      <c r="C121" s="3"/>
      <c r="D121" s="3"/>
      <c r="E121" s="3"/>
      <c r="F121" s="3"/>
      <c r="G121" s="3"/>
      <c r="H121" s="3"/>
      <c r="I121" s="3"/>
      <c r="J121" s="3"/>
      <c r="K121" s="3"/>
      <c r="L121" s="3"/>
      <c r="M121" s="3"/>
      <c r="N121" s="3"/>
      <c r="O121" s="3"/>
      <c r="P121" s="3"/>
      <c r="Q121" s="3"/>
      <c r="R121" s="3"/>
      <c r="S121" s="3"/>
      <c r="T121" s="3"/>
      <c r="U121" s="3"/>
      <c r="V121" s="4"/>
      <c r="W121" s="32"/>
      <c r="X121" s="4"/>
      <c r="Y121" s="3"/>
      <c r="Z121" s="3"/>
      <c r="AA121" s="3"/>
      <c r="AB121" s="3"/>
      <c r="AC121" s="3"/>
      <c r="AD121" s="3"/>
    </row>
    <row r="122" spans="1:30" ht="15.75" customHeight="1">
      <c r="A122" s="3"/>
      <c r="B122" s="3"/>
      <c r="C122" s="3"/>
      <c r="D122" s="3"/>
      <c r="E122" s="3"/>
      <c r="F122" s="3"/>
      <c r="G122" s="3"/>
      <c r="H122" s="3"/>
      <c r="I122" s="3"/>
      <c r="J122" s="3"/>
      <c r="K122" s="3"/>
      <c r="L122" s="3"/>
      <c r="M122" s="3"/>
      <c r="N122" s="3"/>
      <c r="O122" s="3"/>
      <c r="P122" s="3"/>
      <c r="Q122" s="3"/>
      <c r="R122" s="3"/>
      <c r="S122" s="3"/>
      <c r="T122" s="3"/>
      <c r="U122" s="3"/>
      <c r="V122" s="4"/>
      <c r="W122" s="3"/>
      <c r="X122" s="3"/>
      <c r="Y122" s="3"/>
      <c r="Z122" s="3"/>
      <c r="AA122" s="4"/>
      <c r="AB122" s="3"/>
      <c r="AC122" s="3"/>
      <c r="AD122" s="3"/>
    </row>
    <row r="123" spans="1:30" ht="15.75" customHeight="1">
      <c r="A123" s="3"/>
      <c r="B123" s="3"/>
      <c r="C123" s="3"/>
      <c r="D123" s="3"/>
      <c r="E123" s="3"/>
      <c r="F123" s="3"/>
      <c r="G123" s="3"/>
      <c r="H123" s="3"/>
      <c r="I123" s="3"/>
      <c r="J123" s="3"/>
      <c r="K123" s="3"/>
      <c r="L123" s="3"/>
      <c r="M123" s="3"/>
      <c r="N123" s="3"/>
      <c r="O123" s="3"/>
      <c r="P123" s="3"/>
      <c r="Q123" s="3"/>
      <c r="R123" s="3"/>
      <c r="S123" s="3"/>
      <c r="T123" s="3"/>
      <c r="U123" s="3"/>
      <c r="V123" s="4"/>
      <c r="W123" s="3"/>
      <c r="X123" s="3"/>
      <c r="Y123" s="3"/>
      <c r="Z123" s="3"/>
      <c r="AA123" s="4"/>
      <c r="AB123" s="3"/>
      <c r="AC123" s="3"/>
      <c r="AD123" s="3"/>
    </row>
    <row r="124" spans="1:30" ht="15.75" customHeight="1">
      <c r="A124" s="6"/>
      <c r="B124" s="6"/>
      <c r="C124" s="6"/>
      <c r="D124" s="6"/>
      <c r="E124" s="20"/>
      <c r="F124" s="20"/>
      <c r="G124" s="6"/>
      <c r="H124" s="3"/>
      <c r="I124" s="3"/>
      <c r="J124" s="3"/>
      <c r="K124" s="3"/>
      <c r="L124" s="3"/>
      <c r="M124" s="3"/>
      <c r="N124" s="3"/>
      <c r="O124" s="3"/>
      <c r="P124" s="3"/>
      <c r="Q124" s="3"/>
      <c r="R124" s="3"/>
      <c r="S124" s="3"/>
      <c r="T124" s="3"/>
      <c r="U124" s="3"/>
      <c r="V124" s="4"/>
      <c r="W124" s="3"/>
      <c r="X124" s="3"/>
      <c r="Y124" s="3"/>
      <c r="Z124" s="3"/>
      <c r="AA124" s="4"/>
      <c r="AB124" s="3"/>
      <c r="AC124" s="3"/>
      <c r="AD124" s="3"/>
    </row>
    <row r="125" spans="1:30" ht="15.75" customHeight="1">
      <c r="A125" s="6"/>
      <c r="B125" s="6"/>
      <c r="C125" s="6"/>
      <c r="D125" s="6"/>
      <c r="E125" s="6"/>
      <c r="F125" s="6"/>
      <c r="G125" s="6"/>
      <c r="H125" s="6"/>
      <c r="I125" s="6"/>
      <c r="J125" s="6"/>
      <c r="K125" s="33"/>
      <c r="L125" s="6"/>
      <c r="M125" s="6"/>
      <c r="N125" s="6"/>
      <c r="O125" s="6"/>
      <c r="P125" s="6"/>
      <c r="Q125" s="6"/>
      <c r="R125" s="6"/>
      <c r="S125" s="6"/>
      <c r="T125" s="6"/>
      <c r="U125" s="6"/>
      <c r="V125" s="7"/>
      <c r="W125" s="6"/>
      <c r="X125" s="6"/>
      <c r="Y125" s="6"/>
      <c r="Z125" s="6"/>
      <c r="AA125" s="6"/>
      <c r="AB125" s="6"/>
      <c r="AC125" s="6"/>
      <c r="AD125" s="6"/>
    </row>
    <row r="126" spans="1:30" ht="47.25" customHeight="1">
      <c r="A126" s="6"/>
      <c r="B126" s="6"/>
      <c r="C126" s="6"/>
      <c r="D126" s="6"/>
      <c r="E126" s="6"/>
      <c r="F126" s="6"/>
      <c r="G126" s="6"/>
      <c r="H126" s="6"/>
      <c r="I126" s="6"/>
      <c r="J126" s="6"/>
      <c r="K126" s="6"/>
      <c r="L126" s="6"/>
      <c r="M126" s="6"/>
      <c r="N126" s="6"/>
      <c r="O126" s="6"/>
      <c r="P126" s="6"/>
      <c r="Q126" s="6"/>
      <c r="R126" s="6"/>
      <c r="S126" s="6"/>
      <c r="T126" s="6"/>
      <c r="U126" s="6"/>
      <c r="V126" s="7"/>
      <c r="W126" s="6"/>
      <c r="X126" s="6"/>
      <c r="Y126" s="6"/>
      <c r="Z126" s="6"/>
      <c r="AA126" s="6"/>
      <c r="AB126" s="6"/>
      <c r="AC126" s="6"/>
      <c r="AD126" s="6"/>
    </row>
    <row r="127" spans="1:30" ht="74.25" customHeight="1">
      <c r="A127" s="6"/>
      <c r="B127" s="6"/>
      <c r="C127" s="6"/>
      <c r="D127" s="6"/>
      <c r="E127" s="6"/>
      <c r="F127" s="6"/>
      <c r="G127" s="6"/>
      <c r="H127" s="6"/>
      <c r="I127" s="6"/>
      <c r="J127" s="6"/>
      <c r="K127" s="33"/>
      <c r="L127" s="6"/>
      <c r="M127" s="6"/>
      <c r="N127" s="6"/>
      <c r="O127" s="6"/>
      <c r="P127" s="6"/>
      <c r="Q127" s="6"/>
      <c r="R127" s="6"/>
      <c r="S127" s="6"/>
      <c r="T127" s="6"/>
      <c r="U127" s="6"/>
      <c r="V127" s="7"/>
      <c r="W127" s="6"/>
      <c r="X127" s="6"/>
      <c r="Y127" s="6"/>
      <c r="Z127" s="6"/>
      <c r="AA127" s="6"/>
      <c r="AB127" s="6"/>
      <c r="AC127" s="6"/>
      <c r="AD127" s="34"/>
    </row>
    <row r="128" spans="1:30" ht="47.25" customHeight="1">
      <c r="A128" s="6"/>
      <c r="B128" s="6"/>
      <c r="C128" s="6"/>
      <c r="D128" s="6"/>
      <c r="E128" s="6"/>
      <c r="F128" s="6"/>
      <c r="G128" s="6"/>
      <c r="H128" s="6"/>
      <c r="I128" s="6"/>
      <c r="J128" s="6"/>
      <c r="K128" s="6"/>
      <c r="L128" s="6"/>
      <c r="M128" s="6"/>
      <c r="N128" s="6"/>
      <c r="O128" s="6"/>
      <c r="P128" s="6"/>
      <c r="Q128" s="6"/>
      <c r="R128" s="6"/>
      <c r="S128" s="6"/>
      <c r="T128" s="6"/>
      <c r="U128" s="6"/>
      <c r="V128" s="7"/>
      <c r="W128" s="6"/>
      <c r="X128" s="6"/>
      <c r="Y128" s="6"/>
      <c r="Z128" s="6"/>
      <c r="AA128" s="6"/>
      <c r="AB128" s="6"/>
      <c r="AC128" s="6"/>
      <c r="AD128" s="6"/>
    </row>
    <row r="129" spans="1:30" ht="15.75" customHeight="1">
      <c r="A129" s="6"/>
      <c r="B129" s="6"/>
      <c r="C129" s="6"/>
      <c r="D129" s="6"/>
      <c r="E129" s="20"/>
      <c r="F129" s="20"/>
      <c r="G129" s="6"/>
      <c r="H129" s="6"/>
      <c r="I129" s="6"/>
      <c r="J129" s="6"/>
      <c r="K129" s="6"/>
      <c r="L129" s="6"/>
      <c r="M129" s="6"/>
      <c r="N129" s="6"/>
      <c r="O129" s="6"/>
      <c r="P129" s="6"/>
      <c r="Q129" s="6"/>
      <c r="R129" s="6"/>
      <c r="S129" s="6"/>
      <c r="T129" s="6"/>
      <c r="U129" s="6"/>
      <c r="V129" s="7"/>
      <c r="W129" s="6"/>
      <c r="X129" s="6"/>
      <c r="Y129" s="6"/>
      <c r="Z129" s="6"/>
      <c r="AA129" s="6"/>
      <c r="AB129" s="6"/>
      <c r="AC129" s="6"/>
      <c r="AD129" s="6"/>
    </row>
    <row r="130" spans="1:30" ht="15.75" customHeight="1">
      <c r="A130" s="6"/>
      <c r="B130" s="6"/>
      <c r="C130" s="6"/>
      <c r="D130" s="6"/>
      <c r="E130" s="20"/>
      <c r="F130" s="20"/>
      <c r="G130" s="6"/>
      <c r="H130" s="6"/>
      <c r="I130" s="6"/>
      <c r="J130" s="6"/>
      <c r="K130" s="6"/>
      <c r="L130" s="6"/>
      <c r="M130" s="6"/>
      <c r="N130" s="6"/>
      <c r="O130" s="6"/>
      <c r="P130" s="6"/>
      <c r="Q130" s="6"/>
      <c r="R130" s="6"/>
      <c r="S130" s="6"/>
      <c r="T130" s="6"/>
      <c r="U130" s="6"/>
      <c r="V130" s="7"/>
      <c r="W130" s="6"/>
      <c r="X130" s="6"/>
      <c r="Y130" s="6"/>
      <c r="Z130" s="6"/>
      <c r="AA130" s="6"/>
      <c r="AB130" s="6"/>
      <c r="AC130" s="6"/>
      <c r="AD130" s="6"/>
    </row>
    <row r="131" spans="1:30" ht="15.75" customHeight="1">
      <c r="A131" s="6"/>
      <c r="B131" s="6"/>
      <c r="C131" s="6"/>
      <c r="D131" s="6"/>
      <c r="E131" s="20"/>
      <c r="F131" s="20"/>
      <c r="G131" s="6"/>
      <c r="H131" s="6"/>
      <c r="I131" s="6"/>
      <c r="J131" s="6"/>
      <c r="K131" s="33"/>
      <c r="L131" s="6"/>
      <c r="M131" s="6"/>
      <c r="N131" s="6"/>
      <c r="O131" s="6"/>
      <c r="P131" s="6"/>
      <c r="Q131" s="6"/>
      <c r="R131" s="6"/>
      <c r="S131" s="6"/>
      <c r="T131" s="6"/>
      <c r="U131" s="6"/>
      <c r="V131" s="7"/>
      <c r="W131" s="6"/>
      <c r="X131" s="6"/>
      <c r="Y131" s="6"/>
      <c r="Z131" s="6"/>
      <c r="AA131" s="6"/>
      <c r="AB131" s="6"/>
      <c r="AC131" s="6"/>
      <c r="AD131" s="6"/>
    </row>
    <row r="132" spans="1:30" ht="15.75" customHeight="1">
      <c r="A132" s="6"/>
      <c r="B132" s="6"/>
      <c r="C132" s="6"/>
      <c r="D132" s="6"/>
      <c r="E132" s="6"/>
      <c r="F132" s="6"/>
      <c r="G132" s="6"/>
      <c r="H132" s="6"/>
      <c r="I132" s="6"/>
      <c r="J132" s="6"/>
      <c r="K132" s="6"/>
      <c r="L132" s="6"/>
      <c r="M132" s="6"/>
      <c r="N132" s="6"/>
      <c r="O132" s="6"/>
      <c r="P132" s="6"/>
      <c r="Q132" s="6"/>
      <c r="R132" s="6"/>
      <c r="S132" s="6"/>
      <c r="T132" s="6"/>
      <c r="U132" s="6"/>
      <c r="V132" s="7"/>
      <c r="W132" s="6"/>
      <c r="X132" s="6"/>
      <c r="Y132" s="6"/>
      <c r="Z132" s="6"/>
      <c r="AA132" s="6"/>
      <c r="AB132" s="6"/>
      <c r="AC132" s="6"/>
      <c r="AD132" s="6"/>
    </row>
    <row r="133" spans="1:30" ht="15.75" customHeight="1">
      <c r="A133" s="6"/>
      <c r="B133" s="6"/>
      <c r="C133" s="6"/>
      <c r="D133" s="6"/>
      <c r="E133" s="6"/>
      <c r="F133" s="6"/>
      <c r="G133" s="6"/>
      <c r="H133" s="6"/>
      <c r="I133" s="6"/>
      <c r="J133" s="6"/>
      <c r="K133" s="33"/>
      <c r="L133" s="6"/>
      <c r="M133" s="6"/>
      <c r="N133" s="6"/>
      <c r="O133" s="6"/>
      <c r="P133" s="6"/>
      <c r="Q133" s="6"/>
      <c r="R133" s="6"/>
      <c r="S133" s="6"/>
      <c r="T133" s="6"/>
      <c r="U133" s="6"/>
      <c r="V133" s="7"/>
      <c r="W133" s="6"/>
      <c r="X133" s="6"/>
      <c r="Y133" s="6"/>
      <c r="Z133" s="6"/>
      <c r="AA133" s="6"/>
      <c r="AB133" s="6"/>
      <c r="AC133" s="6"/>
      <c r="AD133" s="6"/>
    </row>
    <row r="134" spans="1:30" ht="15.75" customHeight="1">
      <c r="A134" s="6"/>
      <c r="B134" s="6"/>
      <c r="C134" s="6"/>
      <c r="D134" s="6"/>
      <c r="E134" s="6"/>
      <c r="F134" s="6"/>
      <c r="G134" s="6"/>
      <c r="H134" s="6"/>
      <c r="I134" s="6"/>
      <c r="J134" s="6"/>
      <c r="K134" s="33"/>
      <c r="L134" s="6"/>
      <c r="M134" s="6"/>
      <c r="N134" s="6"/>
      <c r="O134" s="6"/>
      <c r="P134" s="6"/>
      <c r="Q134" s="6"/>
      <c r="R134" s="6"/>
      <c r="S134" s="6"/>
      <c r="T134" s="6"/>
      <c r="U134" s="6"/>
      <c r="V134" s="7"/>
      <c r="W134" s="6"/>
      <c r="X134" s="6"/>
      <c r="Y134" s="6"/>
      <c r="Z134" s="6"/>
      <c r="AA134" s="6"/>
      <c r="AB134" s="6"/>
      <c r="AC134" s="6"/>
      <c r="AD134" s="6"/>
    </row>
    <row r="135" spans="1:30" ht="15.75" customHeight="1">
      <c r="A135" s="6"/>
      <c r="B135" s="6"/>
      <c r="C135" s="6"/>
      <c r="D135" s="6"/>
      <c r="E135" s="6"/>
      <c r="F135" s="6"/>
      <c r="G135" s="6"/>
      <c r="H135" s="6"/>
      <c r="I135" s="6"/>
      <c r="J135" s="6"/>
      <c r="K135" s="6"/>
      <c r="L135" s="6"/>
      <c r="M135" s="6"/>
      <c r="N135" s="6"/>
      <c r="O135" s="6"/>
      <c r="P135" s="6"/>
      <c r="Q135" s="6"/>
      <c r="R135" s="6"/>
      <c r="S135" s="6"/>
      <c r="T135" s="6"/>
      <c r="U135" s="6"/>
      <c r="V135" s="7"/>
      <c r="W135" s="6"/>
      <c r="X135" s="6"/>
      <c r="Y135" s="6"/>
      <c r="Z135" s="6"/>
      <c r="AA135" s="6"/>
      <c r="AB135" s="6"/>
      <c r="AC135" s="6"/>
      <c r="AD135" s="6"/>
    </row>
    <row r="136" spans="1:30" ht="15.75" customHeight="1">
      <c r="A136" s="6"/>
      <c r="B136" s="6"/>
      <c r="C136" s="6"/>
      <c r="D136" s="6"/>
      <c r="E136" s="6"/>
      <c r="F136" s="6"/>
      <c r="G136" s="6"/>
      <c r="H136" s="6"/>
      <c r="I136" s="6"/>
      <c r="J136" s="6"/>
      <c r="K136" s="6"/>
      <c r="L136" s="6"/>
      <c r="M136" s="6"/>
      <c r="N136" s="6"/>
      <c r="O136" s="6"/>
      <c r="P136" s="6"/>
      <c r="Q136" s="6"/>
      <c r="R136" s="6"/>
      <c r="S136" s="6"/>
      <c r="T136" s="6"/>
      <c r="U136" s="6"/>
      <c r="V136" s="7"/>
      <c r="W136" s="6"/>
      <c r="X136" s="6"/>
      <c r="Y136" s="6"/>
      <c r="Z136" s="6"/>
      <c r="AA136" s="6"/>
      <c r="AB136" s="6"/>
      <c r="AC136" s="6"/>
      <c r="AD136" s="6"/>
    </row>
    <row r="137" spans="1:30" ht="15.75" customHeight="1">
      <c r="A137" s="6"/>
      <c r="B137" s="6"/>
      <c r="C137" s="6"/>
      <c r="D137" s="6"/>
      <c r="E137" s="6"/>
      <c r="F137" s="6"/>
      <c r="G137" s="6"/>
      <c r="H137" s="6"/>
      <c r="I137" s="6"/>
      <c r="J137" s="6"/>
      <c r="K137" s="6"/>
      <c r="L137" s="6"/>
      <c r="M137" s="6"/>
      <c r="N137" s="6"/>
      <c r="O137" s="6"/>
      <c r="P137" s="6"/>
      <c r="Q137" s="6"/>
      <c r="R137" s="6"/>
      <c r="S137" s="6"/>
      <c r="T137" s="6"/>
      <c r="U137" s="6"/>
      <c r="V137" s="7"/>
      <c r="W137" s="6"/>
      <c r="X137" s="6"/>
      <c r="Y137" s="6"/>
      <c r="Z137" s="6"/>
      <c r="AA137" s="6"/>
      <c r="AB137" s="6"/>
      <c r="AC137" s="6"/>
      <c r="AD137" s="34"/>
    </row>
    <row r="138" spans="1:30" ht="15.75" customHeight="1">
      <c r="A138" s="6"/>
      <c r="B138" s="6"/>
      <c r="C138" s="6"/>
      <c r="D138" s="6"/>
      <c r="E138" s="6"/>
      <c r="F138" s="6"/>
      <c r="G138" s="6"/>
      <c r="H138" s="6"/>
      <c r="I138" s="6"/>
      <c r="J138" s="6"/>
      <c r="K138" s="6"/>
      <c r="L138" s="6"/>
      <c r="M138" s="6"/>
      <c r="N138" s="6"/>
      <c r="O138" s="6"/>
      <c r="P138" s="6"/>
      <c r="Q138" s="6"/>
      <c r="R138" s="6"/>
      <c r="S138" s="6"/>
      <c r="T138" s="6"/>
      <c r="U138" s="6"/>
      <c r="V138" s="7"/>
      <c r="W138" s="6"/>
      <c r="X138" s="6"/>
      <c r="Y138" s="6"/>
      <c r="Z138" s="6"/>
      <c r="AA138" s="6"/>
      <c r="AB138" s="6"/>
      <c r="AC138" s="6"/>
      <c r="AD138" s="6"/>
    </row>
    <row r="139" spans="1:30" ht="15.75" customHeight="1">
      <c r="A139" s="6"/>
      <c r="B139" s="6"/>
      <c r="C139" s="6"/>
      <c r="D139" s="6"/>
      <c r="E139" s="6"/>
      <c r="F139" s="6"/>
      <c r="G139" s="6"/>
      <c r="H139" s="6"/>
      <c r="I139" s="6"/>
      <c r="J139" s="6"/>
      <c r="K139" s="6"/>
      <c r="L139" s="6"/>
      <c r="M139" s="6"/>
      <c r="N139" s="6"/>
      <c r="O139" s="6"/>
      <c r="P139" s="6"/>
      <c r="Q139" s="6"/>
      <c r="R139" s="6"/>
      <c r="S139" s="6"/>
      <c r="T139" s="6"/>
      <c r="U139" s="6"/>
      <c r="V139" s="7"/>
      <c r="W139" s="6"/>
      <c r="X139" s="6"/>
      <c r="Y139" s="6"/>
      <c r="Z139" s="6"/>
      <c r="AA139" s="6"/>
      <c r="AB139" s="6"/>
      <c r="AC139" s="6"/>
      <c r="AD139" s="6"/>
    </row>
    <row r="140" spans="1:30" ht="15.75" customHeight="1">
      <c r="A140" s="6"/>
      <c r="B140" s="6"/>
      <c r="C140" s="6"/>
      <c r="D140" s="6"/>
      <c r="E140" s="6"/>
      <c r="F140" s="6"/>
      <c r="G140" s="6"/>
      <c r="H140" s="6"/>
      <c r="I140" s="6"/>
      <c r="J140" s="6"/>
      <c r="K140" s="6"/>
      <c r="L140" s="6"/>
      <c r="M140" s="6"/>
      <c r="N140" s="6"/>
      <c r="O140" s="6"/>
      <c r="P140" s="6"/>
      <c r="Q140" s="6"/>
      <c r="R140" s="6"/>
      <c r="S140" s="6"/>
      <c r="T140" s="6"/>
      <c r="U140" s="6"/>
      <c r="V140" s="7"/>
      <c r="W140" s="6"/>
      <c r="X140" s="6"/>
      <c r="Y140" s="6"/>
      <c r="Z140" s="6"/>
      <c r="AA140" s="6"/>
      <c r="AB140" s="6"/>
      <c r="AC140" s="6"/>
      <c r="AD140" s="6"/>
    </row>
    <row r="141" spans="1:30" ht="15.75" customHeight="1">
      <c r="A141" s="3"/>
      <c r="B141" s="3"/>
      <c r="C141" s="3"/>
      <c r="D141" s="3"/>
      <c r="E141" s="3"/>
      <c r="F141" s="3"/>
      <c r="G141" s="3"/>
      <c r="H141" s="6"/>
      <c r="I141" s="6"/>
      <c r="J141" s="6"/>
      <c r="K141" s="6"/>
      <c r="L141" s="6"/>
      <c r="M141" s="6"/>
      <c r="N141" s="6"/>
      <c r="O141" s="6"/>
      <c r="P141" s="6"/>
      <c r="Q141" s="6"/>
      <c r="R141" s="6"/>
      <c r="S141" s="6"/>
      <c r="T141" s="6"/>
      <c r="U141" s="6"/>
      <c r="V141" s="7"/>
      <c r="W141" s="6"/>
      <c r="X141" s="6"/>
      <c r="Y141" s="6"/>
      <c r="Z141" s="6"/>
      <c r="AA141" s="6"/>
      <c r="AB141" s="6"/>
      <c r="AC141" s="6"/>
      <c r="AD141" s="6"/>
    </row>
    <row r="142" spans="1:30" ht="15.75" customHeight="1">
      <c r="A142" s="3"/>
      <c r="B142" s="3"/>
      <c r="C142" s="3"/>
      <c r="D142" s="3"/>
      <c r="E142" s="3"/>
      <c r="F142" s="3"/>
      <c r="G142" s="3"/>
      <c r="H142" s="3"/>
      <c r="I142" s="3"/>
      <c r="J142" s="3"/>
      <c r="K142" s="3"/>
      <c r="L142" s="3"/>
      <c r="M142" s="3"/>
      <c r="N142" s="3"/>
      <c r="O142" s="3"/>
      <c r="P142" s="3"/>
      <c r="Q142" s="3"/>
      <c r="R142" s="3"/>
      <c r="S142" s="3"/>
      <c r="T142" s="3"/>
      <c r="U142" s="3"/>
      <c r="V142" s="4"/>
      <c r="W142" s="3"/>
      <c r="X142" s="3"/>
      <c r="Y142" s="3"/>
      <c r="Z142" s="3"/>
      <c r="AA142" s="4"/>
      <c r="AB142" s="3"/>
      <c r="AC142" s="3"/>
      <c r="AD142" s="3"/>
    </row>
    <row r="143" spans="1:30" ht="15.75" customHeight="1">
      <c r="A143" s="26"/>
      <c r="B143" s="26"/>
      <c r="C143" s="26"/>
      <c r="D143" s="26"/>
      <c r="E143" s="26"/>
      <c r="F143" s="26"/>
      <c r="G143" s="26"/>
      <c r="H143" s="3"/>
      <c r="I143" s="3"/>
      <c r="J143" s="3"/>
      <c r="K143" s="3"/>
      <c r="L143" s="3"/>
      <c r="M143" s="3"/>
      <c r="N143" s="3"/>
      <c r="O143" s="3"/>
      <c r="P143" s="3"/>
      <c r="Q143" s="3"/>
      <c r="R143" s="3"/>
      <c r="S143" s="3"/>
      <c r="T143" s="3"/>
      <c r="U143" s="3"/>
      <c r="V143" s="4"/>
      <c r="W143" s="3"/>
      <c r="X143" s="4"/>
      <c r="Y143" s="15"/>
      <c r="Z143" s="15"/>
      <c r="AA143" s="35"/>
      <c r="AB143" s="3"/>
      <c r="AC143" s="3"/>
      <c r="AD143" s="3"/>
    </row>
    <row r="144" spans="1:30" ht="15.75" customHeight="1">
      <c r="A144" s="3"/>
      <c r="B144" s="3"/>
      <c r="C144" s="3"/>
      <c r="D144" s="3"/>
      <c r="E144" s="3"/>
      <c r="F144" s="3"/>
      <c r="G144" s="3"/>
      <c r="H144" s="26"/>
      <c r="I144" s="26"/>
      <c r="J144" s="26"/>
      <c r="K144" s="26"/>
      <c r="L144" s="26"/>
      <c r="M144" s="26"/>
      <c r="N144" s="26"/>
      <c r="O144" s="26"/>
      <c r="P144" s="26"/>
      <c r="Q144" s="26"/>
      <c r="R144" s="26"/>
      <c r="S144" s="26"/>
      <c r="T144" s="26"/>
      <c r="U144" s="26"/>
      <c r="V144" s="36"/>
      <c r="W144" s="26"/>
      <c r="X144" s="26"/>
      <c r="Y144" s="26"/>
      <c r="Z144" s="26"/>
      <c r="AA144" s="26"/>
      <c r="AB144" s="26"/>
      <c r="AC144" s="26"/>
      <c r="AD144" s="26"/>
    </row>
    <row r="145" spans="1:30" ht="15.75" customHeight="1">
      <c r="A145" s="3"/>
      <c r="B145" s="3"/>
      <c r="C145" s="3"/>
      <c r="D145" s="3"/>
      <c r="E145" s="3"/>
      <c r="F145" s="3"/>
      <c r="G145" s="3"/>
      <c r="H145" s="3"/>
      <c r="I145" s="3"/>
      <c r="J145" s="3"/>
      <c r="K145" s="3"/>
      <c r="L145" s="3"/>
      <c r="M145" s="3"/>
      <c r="N145" s="3"/>
      <c r="O145" s="3"/>
      <c r="P145" s="3"/>
      <c r="Q145" s="3"/>
      <c r="R145" s="3"/>
      <c r="S145" s="3"/>
      <c r="T145" s="3"/>
      <c r="U145" s="3"/>
      <c r="V145" s="3"/>
      <c r="W145" s="9"/>
      <c r="X145" s="9"/>
      <c r="Y145" s="3"/>
      <c r="Z145" s="3"/>
      <c r="AA145" s="3"/>
      <c r="AB145" s="3"/>
      <c r="AC145" s="3"/>
      <c r="AD145" s="3"/>
    </row>
    <row r="146" spans="1:30" ht="15.75" customHeight="1">
      <c r="A146" s="3"/>
      <c r="B146" s="3"/>
      <c r="C146" s="3"/>
      <c r="D146" s="3"/>
      <c r="E146" s="3"/>
      <c r="F146" s="3"/>
      <c r="G146" s="3"/>
      <c r="H146" s="3"/>
      <c r="I146" s="3"/>
      <c r="J146" s="3"/>
      <c r="K146" s="3"/>
      <c r="L146" s="3"/>
      <c r="M146" s="3"/>
      <c r="N146" s="3"/>
      <c r="O146" s="3"/>
      <c r="P146" s="3"/>
      <c r="Q146" s="3"/>
      <c r="R146" s="3"/>
      <c r="S146" s="3"/>
      <c r="T146" s="3"/>
      <c r="U146" s="3"/>
      <c r="V146" s="4"/>
      <c r="W146" s="3"/>
      <c r="X146" s="3"/>
      <c r="Y146" s="3"/>
      <c r="Z146" s="3"/>
      <c r="AA146" s="3"/>
      <c r="AB146" s="3"/>
      <c r="AC146" s="3"/>
      <c r="AD146" s="3"/>
    </row>
    <row r="147" spans="1:30" ht="15.75" customHeight="1">
      <c r="A147" s="3"/>
      <c r="B147" s="3"/>
      <c r="C147" s="3"/>
      <c r="D147" s="3"/>
      <c r="E147" s="3"/>
      <c r="F147" s="3"/>
      <c r="G147" s="3"/>
      <c r="H147" s="3"/>
      <c r="I147" s="3"/>
      <c r="J147" s="3"/>
      <c r="K147" s="3"/>
      <c r="L147" s="3"/>
      <c r="M147" s="3"/>
      <c r="N147" s="3"/>
      <c r="O147" s="3"/>
      <c r="P147" s="3"/>
      <c r="Q147" s="3"/>
      <c r="R147" s="3"/>
      <c r="S147" s="3"/>
      <c r="T147" s="3"/>
      <c r="U147" s="3"/>
      <c r="V147" s="12"/>
      <c r="W147" s="9"/>
      <c r="X147" s="32"/>
      <c r="Y147" s="3"/>
      <c r="Z147" s="3"/>
      <c r="AA147" s="3"/>
      <c r="AB147" s="3"/>
      <c r="AC147" s="3"/>
      <c r="AD147" s="3"/>
    </row>
    <row r="148" spans="1:30" ht="15.75" customHeight="1">
      <c r="A148" s="3"/>
      <c r="B148" s="3"/>
      <c r="C148" s="3"/>
      <c r="D148" s="3"/>
      <c r="E148" s="3"/>
      <c r="F148" s="3"/>
      <c r="G148" s="3"/>
      <c r="H148" s="3"/>
      <c r="I148" s="3"/>
      <c r="J148" s="3"/>
      <c r="K148" s="3"/>
      <c r="L148" s="3"/>
      <c r="M148" s="3"/>
      <c r="N148" s="3"/>
      <c r="O148" s="3"/>
      <c r="P148" s="3"/>
      <c r="Q148" s="3"/>
      <c r="R148" s="3"/>
      <c r="S148" s="3"/>
      <c r="T148" s="3"/>
      <c r="U148" s="3"/>
      <c r="V148" s="4"/>
      <c r="W148" s="3"/>
      <c r="X148" s="3"/>
      <c r="Y148" s="3"/>
      <c r="Z148" s="3"/>
      <c r="AA148" s="4"/>
      <c r="AB148" s="3"/>
      <c r="AC148" s="3"/>
      <c r="AD148" s="3"/>
    </row>
    <row r="149" spans="1:30" ht="15.75" customHeight="1">
      <c r="A149" s="3"/>
      <c r="B149" s="3"/>
      <c r="C149" s="3"/>
      <c r="D149" s="3"/>
      <c r="E149" s="3"/>
      <c r="F149" s="3"/>
      <c r="G149" s="3"/>
      <c r="H149" s="3"/>
      <c r="I149" s="3"/>
      <c r="J149" s="3"/>
      <c r="K149" s="3"/>
      <c r="L149" s="3"/>
      <c r="M149" s="3"/>
      <c r="N149" s="3"/>
      <c r="O149" s="3"/>
      <c r="P149" s="3"/>
      <c r="Q149" s="3"/>
      <c r="R149" s="3"/>
      <c r="S149" s="3"/>
      <c r="T149" s="3"/>
      <c r="U149" s="3"/>
      <c r="V149" s="4"/>
      <c r="W149" s="3"/>
      <c r="X149" s="3"/>
      <c r="Y149" s="3"/>
      <c r="Z149" s="3"/>
      <c r="AA149" s="4"/>
      <c r="AB149" s="3"/>
      <c r="AC149" s="3"/>
      <c r="AD149" s="3"/>
    </row>
    <row r="150" spans="1:30" ht="15.75" customHeight="1">
      <c r="A150" s="3"/>
      <c r="B150" s="3"/>
      <c r="C150" s="3"/>
      <c r="D150" s="3"/>
      <c r="E150" s="3"/>
      <c r="F150" s="3"/>
      <c r="G150" s="3"/>
      <c r="H150" s="3"/>
      <c r="I150" s="3"/>
      <c r="J150" s="3"/>
      <c r="K150" s="3"/>
      <c r="L150" s="3"/>
      <c r="M150" s="3"/>
      <c r="N150" s="3"/>
      <c r="O150" s="3"/>
      <c r="P150" s="3"/>
      <c r="Q150" s="3"/>
      <c r="R150" s="3"/>
      <c r="S150" s="3"/>
      <c r="T150" s="3"/>
      <c r="U150" s="3"/>
      <c r="V150" s="4"/>
      <c r="W150" s="3"/>
      <c r="X150" s="3"/>
      <c r="Y150" s="3"/>
      <c r="Z150" s="3"/>
      <c r="AA150" s="4"/>
      <c r="AB150" s="3"/>
      <c r="AC150" s="3"/>
      <c r="AD150" s="3"/>
    </row>
    <row r="151" spans="1:30" ht="15.75" customHeight="1">
      <c r="A151" s="3"/>
      <c r="B151" s="3"/>
      <c r="C151" s="3"/>
      <c r="D151" s="3"/>
      <c r="E151" s="3"/>
      <c r="F151" s="3"/>
      <c r="G151" s="3"/>
      <c r="H151" s="3"/>
      <c r="I151" s="3"/>
      <c r="J151" s="3"/>
      <c r="K151" s="3"/>
      <c r="L151" s="3"/>
      <c r="M151" s="3"/>
      <c r="N151" s="3"/>
      <c r="O151" s="3"/>
      <c r="P151" s="3"/>
      <c r="Q151" s="3"/>
      <c r="R151" s="3"/>
      <c r="S151" s="3"/>
      <c r="T151" s="3"/>
      <c r="U151" s="3"/>
      <c r="V151" s="4"/>
      <c r="W151" s="3"/>
      <c r="X151" s="3"/>
      <c r="Y151" s="3"/>
      <c r="Z151" s="3"/>
      <c r="AA151" s="4"/>
      <c r="AB151" s="3"/>
      <c r="AC151" s="3"/>
      <c r="AD151" s="3"/>
    </row>
    <row r="152" spans="1:30" ht="15.75" customHeight="1">
      <c r="A152" s="3"/>
      <c r="B152" s="3"/>
      <c r="C152" s="3"/>
      <c r="D152" s="3"/>
      <c r="E152" s="3"/>
      <c r="F152" s="3"/>
      <c r="G152" s="3"/>
      <c r="H152" s="3"/>
      <c r="I152" s="3"/>
      <c r="J152" s="3"/>
      <c r="K152" s="3"/>
      <c r="L152" s="3"/>
      <c r="M152" s="3"/>
      <c r="N152" s="3"/>
      <c r="O152" s="3"/>
      <c r="P152" s="3"/>
      <c r="Q152" s="3"/>
      <c r="R152" s="3"/>
      <c r="S152" s="3"/>
      <c r="T152" s="3"/>
      <c r="U152" s="3"/>
      <c r="V152" s="4"/>
      <c r="W152" s="3"/>
      <c r="X152" s="3"/>
      <c r="Y152" s="3"/>
      <c r="Z152" s="3"/>
      <c r="AA152" s="4"/>
      <c r="AB152" s="3"/>
      <c r="AC152" s="3"/>
      <c r="AD152" s="3"/>
    </row>
    <row r="153" spans="1:30" ht="15.75" customHeight="1">
      <c r="A153" s="3"/>
      <c r="B153" s="3"/>
      <c r="C153" s="3"/>
      <c r="D153" s="3"/>
      <c r="E153" s="3"/>
      <c r="F153" s="3"/>
      <c r="G153" s="3"/>
      <c r="H153" s="3"/>
      <c r="I153" s="3"/>
      <c r="J153" s="3"/>
      <c r="K153" s="3"/>
      <c r="L153" s="3"/>
      <c r="M153" s="3"/>
      <c r="N153" s="3"/>
      <c r="O153" s="3"/>
      <c r="P153" s="3"/>
      <c r="Q153" s="3"/>
      <c r="R153" s="3"/>
      <c r="S153" s="3"/>
      <c r="T153" s="3"/>
      <c r="U153" s="3"/>
      <c r="V153" s="4"/>
      <c r="W153" s="3"/>
      <c r="X153" s="3"/>
      <c r="Y153" s="3"/>
      <c r="Z153" s="3"/>
      <c r="AA153" s="3"/>
      <c r="AB153" s="3"/>
      <c r="AC153" s="3"/>
      <c r="AD153" s="4"/>
    </row>
    <row r="154" spans="1:30" ht="15.75" customHeight="1">
      <c r="A154" s="3"/>
      <c r="B154" s="3"/>
      <c r="C154" s="3"/>
      <c r="D154" s="3"/>
      <c r="E154" s="3"/>
      <c r="F154" s="3"/>
      <c r="G154" s="3"/>
      <c r="H154" s="3"/>
      <c r="I154" s="3"/>
      <c r="J154" s="3"/>
      <c r="K154" s="3"/>
      <c r="L154" s="3"/>
      <c r="M154" s="3"/>
      <c r="N154" s="3"/>
      <c r="O154" s="3"/>
      <c r="P154" s="3"/>
      <c r="Q154" s="3"/>
      <c r="R154" s="3"/>
      <c r="S154" s="3"/>
      <c r="T154" s="3"/>
      <c r="U154" s="3"/>
      <c r="V154" s="4"/>
      <c r="W154" s="3"/>
      <c r="X154" s="3"/>
      <c r="Y154" s="3"/>
      <c r="Z154" s="3"/>
      <c r="AA154" s="4"/>
      <c r="AB154" s="3"/>
      <c r="AC154" s="3"/>
      <c r="AD154" s="3"/>
    </row>
    <row r="155" spans="1:30" ht="15.75" customHeight="1">
      <c r="A155" s="3"/>
      <c r="B155" s="3"/>
      <c r="C155" s="3"/>
      <c r="D155" s="3"/>
      <c r="E155" s="3"/>
      <c r="F155" s="3"/>
      <c r="G155" s="3"/>
      <c r="H155" s="3"/>
      <c r="I155" s="3"/>
      <c r="J155" s="3"/>
      <c r="K155" s="3"/>
      <c r="L155" s="3"/>
      <c r="M155" s="3"/>
      <c r="N155" s="3"/>
      <c r="O155" s="3"/>
      <c r="P155" s="3"/>
      <c r="Q155" s="3"/>
      <c r="R155" s="3"/>
      <c r="S155" s="3"/>
      <c r="T155" s="3"/>
      <c r="U155" s="3"/>
      <c r="V155" s="4"/>
      <c r="W155" s="3"/>
      <c r="X155" s="3"/>
      <c r="Y155" s="3"/>
      <c r="Z155" s="3"/>
      <c r="AA155" s="3"/>
      <c r="AB155" s="3"/>
      <c r="AC155" s="3"/>
      <c r="AD155" s="3"/>
    </row>
    <row r="156" spans="1:30" ht="15.75" customHeight="1">
      <c r="A156" s="3"/>
      <c r="B156" s="3"/>
      <c r="C156" s="3"/>
      <c r="D156" s="3"/>
      <c r="E156" s="3"/>
      <c r="F156" s="3"/>
      <c r="G156" s="3"/>
      <c r="H156" s="3"/>
      <c r="I156" s="3"/>
      <c r="J156" s="3"/>
      <c r="K156" s="3"/>
      <c r="L156" s="3"/>
      <c r="M156" s="3"/>
      <c r="N156" s="3"/>
      <c r="O156" s="3"/>
      <c r="P156" s="3"/>
      <c r="Q156" s="3"/>
      <c r="R156" s="3"/>
      <c r="S156" s="3"/>
      <c r="T156" s="3"/>
      <c r="U156" s="3"/>
      <c r="V156" s="4"/>
      <c r="W156" s="3"/>
      <c r="X156" s="3"/>
      <c r="Y156" s="3"/>
      <c r="Z156" s="3"/>
      <c r="AA156" s="4"/>
      <c r="AB156" s="3"/>
      <c r="AC156" s="3"/>
      <c r="AD156" s="4"/>
    </row>
    <row r="157" spans="1:30" ht="15.75" customHeight="1">
      <c r="A157" s="3"/>
      <c r="B157" s="3"/>
      <c r="C157" s="3"/>
      <c r="D157" s="3"/>
      <c r="E157" s="3"/>
      <c r="F157" s="3"/>
      <c r="G157" s="3"/>
      <c r="H157" s="3"/>
      <c r="I157" s="3"/>
      <c r="J157" s="3"/>
      <c r="K157" s="3"/>
      <c r="L157" s="22"/>
      <c r="M157" s="3"/>
      <c r="N157" s="3"/>
      <c r="O157" s="3"/>
      <c r="P157" s="3"/>
      <c r="Q157" s="3"/>
      <c r="R157" s="3"/>
      <c r="S157" s="3"/>
      <c r="T157" s="3"/>
      <c r="U157" s="3"/>
      <c r="V157" s="4"/>
      <c r="W157" s="3"/>
      <c r="X157" s="3"/>
      <c r="Y157" s="3"/>
      <c r="Z157" s="3"/>
      <c r="AA157" s="3"/>
      <c r="AB157" s="3"/>
      <c r="AC157" s="3"/>
      <c r="AD157" s="3"/>
    </row>
    <row r="158" spans="1:30" ht="15.75" customHeight="1">
      <c r="A158" s="3"/>
      <c r="B158" s="3"/>
      <c r="C158" s="3"/>
      <c r="D158" s="3"/>
      <c r="E158" s="3"/>
      <c r="F158" s="3"/>
      <c r="G158" s="3"/>
      <c r="H158" s="3"/>
      <c r="I158" s="3"/>
      <c r="J158" s="3"/>
      <c r="K158" s="3"/>
      <c r="L158" s="22"/>
      <c r="M158" s="3"/>
      <c r="N158" s="3"/>
      <c r="O158" s="3"/>
      <c r="P158" s="3"/>
      <c r="Q158" s="3"/>
      <c r="R158" s="3"/>
      <c r="S158" s="3"/>
      <c r="T158" s="3"/>
      <c r="U158" s="3"/>
      <c r="V158" s="4"/>
      <c r="W158" s="3"/>
      <c r="X158" s="3"/>
      <c r="Y158" s="3"/>
      <c r="Z158" s="3"/>
      <c r="AA158" s="3"/>
      <c r="AB158" s="3"/>
      <c r="AC158" s="3"/>
      <c r="AD158" s="3"/>
    </row>
    <row r="159" spans="1:30" ht="15.75" customHeight="1">
      <c r="A159" s="3"/>
      <c r="B159" s="3"/>
      <c r="C159" s="3"/>
      <c r="D159" s="3"/>
      <c r="E159" s="3"/>
      <c r="F159" s="3"/>
      <c r="G159" s="3"/>
      <c r="H159" s="3"/>
      <c r="I159" s="3"/>
      <c r="J159" s="3"/>
      <c r="K159" s="3"/>
      <c r="L159" s="22"/>
      <c r="M159" s="3"/>
      <c r="N159" s="3"/>
      <c r="O159" s="3"/>
      <c r="P159" s="3"/>
      <c r="Q159" s="3"/>
      <c r="R159" s="3"/>
      <c r="S159" s="3"/>
      <c r="T159" s="3"/>
      <c r="U159" s="3"/>
      <c r="V159" s="4"/>
      <c r="W159" s="3"/>
      <c r="X159" s="3"/>
      <c r="Y159" s="3"/>
      <c r="Z159" s="3"/>
      <c r="AA159" s="3"/>
      <c r="AB159" s="3"/>
      <c r="AC159" s="3"/>
      <c r="AD159" s="3"/>
    </row>
    <row r="160" spans="1:30" ht="15.75" customHeight="1">
      <c r="A160" s="3"/>
      <c r="B160" s="3"/>
      <c r="C160" s="3"/>
      <c r="D160" s="3"/>
      <c r="E160" s="3"/>
      <c r="F160" s="3"/>
      <c r="G160" s="3"/>
      <c r="H160" s="3"/>
      <c r="I160" s="3"/>
      <c r="J160" s="3"/>
      <c r="K160" s="3"/>
      <c r="L160" s="22"/>
      <c r="M160" s="3"/>
      <c r="N160" s="3"/>
      <c r="O160" s="3"/>
      <c r="P160" s="3"/>
      <c r="Q160" s="3"/>
      <c r="R160" s="3"/>
      <c r="S160" s="3"/>
      <c r="T160" s="3"/>
      <c r="U160" s="3"/>
      <c r="V160" s="4"/>
      <c r="W160" s="3"/>
      <c r="X160" s="3"/>
      <c r="Y160" s="3"/>
      <c r="Z160" s="3"/>
      <c r="AA160" s="3"/>
      <c r="AB160" s="3"/>
      <c r="AC160" s="3"/>
      <c r="AD160" s="3"/>
    </row>
    <row r="161" spans="1:30" ht="15.75" customHeight="1">
      <c r="A161" s="3"/>
      <c r="B161" s="3"/>
      <c r="C161" s="3"/>
      <c r="D161" s="3"/>
      <c r="E161" s="3"/>
      <c r="F161" s="3"/>
      <c r="G161" s="3"/>
      <c r="H161" s="3"/>
      <c r="I161" s="3"/>
      <c r="J161" s="3"/>
      <c r="K161" s="3"/>
      <c r="L161" s="3"/>
      <c r="M161" s="3"/>
      <c r="N161" s="3"/>
      <c r="O161" s="3"/>
      <c r="P161" s="3"/>
      <c r="Q161" s="3"/>
      <c r="R161" s="3"/>
      <c r="S161" s="3"/>
      <c r="T161" s="3"/>
      <c r="U161" s="3"/>
      <c r="V161" s="4"/>
      <c r="W161" s="3"/>
      <c r="X161" s="3"/>
      <c r="Y161" s="3"/>
      <c r="Z161" s="3"/>
      <c r="AA161" s="3"/>
      <c r="AB161" s="3"/>
      <c r="AC161" s="3"/>
      <c r="AD161" s="4"/>
    </row>
    <row r="162" spans="1:30" ht="15.75" customHeight="1">
      <c r="A162" s="6"/>
      <c r="B162" s="6"/>
      <c r="C162" s="6"/>
      <c r="D162" s="6"/>
      <c r="E162" s="6"/>
      <c r="F162" s="6"/>
      <c r="G162" s="6"/>
      <c r="H162" s="3"/>
      <c r="I162" s="3"/>
      <c r="J162" s="3"/>
      <c r="K162" s="3"/>
      <c r="L162" s="3"/>
      <c r="M162" s="3"/>
      <c r="N162" s="3"/>
      <c r="O162" s="3"/>
      <c r="P162" s="3"/>
      <c r="Q162" s="3"/>
      <c r="R162" s="3"/>
      <c r="S162" s="3"/>
      <c r="T162" s="3"/>
      <c r="U162" s="3"/>
      <c r="V162" s="4"/>
      <c r="W162" s="3"/>
      <c r="X162" s="3"/>
      <c r="Y162" s="3"/>
      <c r="Z162" s="3"/>
      <c r="AA162" s="4"/>
      <c r="AB162" s="3"/>
      <c r="AC162" s="3"/>
      <c r="AD162" s="3"/>
    </row>
    <row r="163" spans="1:30" ht="15.75" customHeight="1">
      <c r="A163" s="6"/>
      <c r="B163" s="6"/>
      <c r="C163" s="6"/>
      <c r="D163" s="6"/>
      <c r="E163" s="6"/>
      <c r="F163" s="6"/>
      <c r="G163" s="6"/>
      <c r="H163" s="6"/>
      <c r="I163" s="6"/>
      <c r="J163" s="6"/>
      <c r="K163" s="18"/>
      <c r="L163" s="6"/>
      <c r="M163" s="6"/>
      <c r="N163" s="6"/>
      <c r="O163" s="6"/>
      <c r="P163" s="6"/>
      <c r="Q163" s="6"/>
      <c r="R163" s="6"/>
      <c r="S163" s="6"/>
      <c r="T163" s="6"/>
      <c r="U163" s="6"/>
      <c r="V163" s="19"/>
      <c r="W163" s="20"/>
      <c r="X163" s="6"/>
      <c r="Y163" s="6"/>
      <c r="Z163" s="6"/>
      <c r="AA163" s="6"/>
      <c r="AB163" s="6"/>
      <c r="AC163" s="6"/>
      <c r="AD163" s="6"/>
    </row>
    <row r="164" spans="1:30" ht="15.75" customHeight="1">
      <c r="A164" s="6"/>
      <c r="B164" s="6"/>
      <c r="C164" s="6"/>
      <c r="D164" s="6"/>
      <c r="E164" s="6"/>
      <c r="F164" s="6"/>
      <c r="G164" s="6"/>
      <c r="H164" s="6"/>
      <c r="I164" s="18"/>
      <c r="J164" s="18"/>
      <c r="K164" s="18"/>
      <c r="L164" s="6"/>
      <c r="M164" s="6"/>
      <c r="N164" s="6"/>
      <c r="O164" s="6"/>
      <c r="P164" s="6"/>
      <c r="Q164" s="6"/>
      <c r="R164" s="6"/>
      <c r="S164" s="6"/>
      <c r="T164" s="6"/>
      <c r="U164" s="6"/>
      <c r="V164" s="19"/>
      <c r="W164" s="20"/>
      <c r="X164" s="6"/>
      <c r="Y164" s="6"/>
      <c r="Z164" s="6"/>
      <c r="AA164" s="6"/>
      <c r="AB164" s="6"/>
      <c r="AC164" s="6"/>
      <c r="AD164" s="6"/>
    </row>
    <row r="165" spans="1:30" ht="42" customHeight="1">
      <c r="A165" s="6"/>
      <c r="B165" s="6"/>
      <c r="C165" s="6"/>
      <c r="D165" s="6"/>
      <c r="E165" s="6"/>
      <c r="F165" s="6"/>
      <c r="G165" s="6"/>
      <c r="H165" s="6"/>
      <c r="I165" s="18"/>
      <c r="J165" s="18"/>
      <c r="K165" s="18"/>
      <c r="L165" s="6"/>
      <c r="M165" s="6"/>
      <c r="N165" s="6"/>
      <c r="O165" s="6"/>
      <c r="P165" s="6"/>
      <c r="Q165" s="6"/>
      <c r="R165" s="6"/>
      <c r="S165" s="6"/>
      <c r="T165" s="6"/>
      <c r="U165" s="6"/>
      <c r="V165" s="19"/>
      <c r="W165" s="20"/>
      <c r="X165" s="6"/>
      <c r="Y165" s="6"/>
      <c r="Z165" s="6"/>
      <c r="AA165" s="6"/>
      <c r="AB165" s="6"/>
      <c r="AC165" s="6"/>
      <c r="AD165" s="6"/>
    </row>
    <row r="166" spans="1:30" ht="15.75" customHeight="1">
      <c r="A166" s="6"/>
      <c r="B166" s="6"/>
      <c r="C166" s="6"/>
      <c r="D166" s="6"/>
      <c r="E166" s="6"/>
      <c r="F166" s="6"/>
      <c r="G166" s="6"/>
      <c r="H166" s="6"/>
      <c r="I166" s="18"/>
      <c r="J166" s="18"/>
      <c r="K166" s="18"/>
      <c r="L166" s="6"/>
      <c r="M166" s="6"/>
      <c r="N166" s="6"/>
      <c r="O166" s="6"/>
      <c r="P166" s="6"/>
      <c r="Q166" s="6"/>
      <c r="R166" s="6"/>
      <c r="S166" s="6"/>
      <c r="T166" s="6"/>
      <c r="U166" s="6"/>
      <c r="V166" s="19"/>
      <c r="W166" s="20"/>
      <c r="X166" s="6"/>
      <c r="Y166" s="6"/>
      <c r="Z166" s="6"/>
      <c r="AA166" s="6"/>
      <c r="AB166" s="6"/>
      <c r="AC166" s="6"/>
      <c r="AD166" s="6"/>
    </row>
    <row r="167" spans="1:30" ht="15.75" customHeight="1">
      <c r="A167" s="6"/>
      <c r="B167" s="6"/>
      <c r="C167" s="6"/>
      <c r="D167" s="6"/>
      <c r="E167" s="6"/>
      <c r="F167" s="6"/>
      <c r="G167" s="6"/>
      <c r="H167" s="6"/>
      <c r="I167" s="18"/>
      <c r="J167" s="18"/>
      <c r="K167" s="6"/>
      <c r="L167" s="6"/>
      <c r="M167" s="6"/>
      <c r="N167" s="6"/>
      <c r="O167" s="6"/>
      <c r="P167" s="6"/>
      <c r="Q167" s="6"/>
      <c r="R167" s="6"/>
      <c r="S167" s="6"/>
      <c r="T167" s="6"/>
      <c r="U167" s="6"/>
      <c r="V167" s="19"/>
      <c r="W167" s="20"/>
      <c r="X167" s="6"/>
      <c r="Y167" s="6"/>
      <c r="Z167" s="6"/>
      <c r="AA167" s="6"/>
      <c r="AB167" s="6"/>
      <c r="AC167" s="6"/>
      <c r="AD167" s="6"/>
    </row>
    <row r="168" spans="1:30" ht="15.75" customHeight="1">
      <c r="A168" s="6"/>
      <c r="B168" s="6"/>
      <c r="C168" s="6"/>
      <c r="D168" s="6"/>
      <c r="E168" s="6"/>
      <c r="F168" s="6"/>
      <c r="G168" s="6"/>
      <c r="H168" s="6"/>
      <c r="I168" s="18"/>
      <c r="J168" s="18"/>
      <c r="K168" s="18"/>
      <c r="L168" s="6"/>
      <c r="M168" s="6"/>
      <c r="N168" s="6"/>
      <c r="O168" s="6"/>
      <c r="P168" s="6"/>
      <c r="Q168" s="6"/>
      <c r="R168" s="6"/>
      <c r="S168" s="6"/>
      <c r="T168" s="6"/>
      <c r="U168" s="6"/>
      <c r="V168" s="19"/>
      <c r="W168" s="20"/>
      <c r="X168" s="6"/>
      <c r="Y168" s="6"/>
      <c r="Z168" s="6"/>
      <c r="AA168" s="6"/>
      <c r="AB168" s="6"/>
      <c r="AC168" s="6"/>
      <c r="AD168" s="6"/>
    </row>
    <row r="169" spans="1:30" ht="15.75" customHeight="1">
      <c r="A169" s="6"/>
      <c r="B169" s="6"/>
      <c r="C169" s="6"/>
      <c r="D169" s="6"/>
      <c r="E169" s="6"/>
      <c r="F169" s="6"/>
      <c r="G169" s="6"/>
      <c r="H169" s="6"/>
      <c r="I169" s="6"/>
      <c r="J169" s="18"/>
      <c r="K169" s="18"/>
      <c r="L169" s="6"/>
      <c r="M169" s="6"/>
      <c r="N169" s="6"/>
      <c r="O169" s="6"/>
      <c r="P169" s="6"/>
      <c r="Q169" s="6"/>
      <c r="R169" s="6"/>
      <c r="S169" s="6"/>
      <c r="T169" s="6"/>
      <c r="U169" s="6"/>
      <c r="V169" s="19"/>
      <c r="W169" s="20"/>
      <c r="X169" s="6"/>
      <c r="Y169" s="6"/>
      <c r="Z169" s="6"/>
      <c r="AA169" s="6"/>
      <c r="AB169" s="6"/>
      <c r="AC169" s="6"/>
      <c r="AD169" s="6"/>
    </row>
    <row r="170" spans="1:30" ht="15.75" customHeight="1">
      <c r="A170" s="6"/>
      <c r="B170" s="6"/>
      <c r="C170" s="6"/>
      <c r="D170" s="6"/>
      <c r="E170" s="6"/>
      <c r="F170" s="6"/>
      <c r="G170" s="6"/>
      <c r="H170" s="6"/>
      <c r="I170" s="6"/>
      <c r="J170" s="6"/>
      <c r="K170" s="6"/>
      <c r="L170" s="6"/>
      <c r="M170" s="6"/>
      <c r="N170" s="6"/>
      <c r="O170" s="6"/>
      <c r="P170" s="6"/>
      <c r="Q170" s="6"/>
      <c r="R170" s="6"/>
      <c r="S170" s="6"/>
      <c r="T170" s="6"/>
      <c r="U170" s="6"/>
      <c r="V170" s="19"/>
      <c r="W170" s="20"/>
      <c r="X170" s="6"/>
      <c r="Y170" s="6"/>
      <c r="Z170" s="6"/>
      <c r="AA170" s="6"/>
      <c r="AB170" s="6"/>
      <c r="AC170" s="6"/>
      <c r="AD170" s="6"/>
    </row>
    <row r="171" spans="1:30" ht="15.75" customHeight="1">
      <c r="A171" s="6"/>
      <c r="B171" s="6"/>
      <c r="C171" s="6"/>
      <c r="D171" s="6"/>
      <c r="E171" s="6"/>
      <c r="F171" s="6"/>
      <c r="G171" s="6"/>
      <c r="H171" s="6"/>
      <c r="I171" s="6"/>
      <c r="J171" s="6"/>
      <c r="K171" s="6"/>
      <c r="L171" s="6"/>
      <c r="M171" s="6"/>
      <c r="N171" s="6"/>
      <c r="O171" s="6"/>
      <c r="P171" s="6"/>
      <c r="Q171" s="6"/>
      <c r="R171" s="6"/>
      <c r="S171" s="6"/>
      <c r="T171" s="6"/>
      <c r="U171" s="6"/>
      <c r="V171" s="7"/>
      <c r="W171" s="6"/>
      <c r="X171" s="6"/>
      <c r="Y171" s="6"/>
      <c r="Z171" s="6"/>
      <c r="AA171" s="6"/>
      <c r="AB171" s="6"/>
      <c r="AC171" s="6"/>
      <c r="AD171" s="6"/>
    </row>
    <row r="172" spans="1:30" ht="15.75" customHeight="1">
      <c r="A172" s="6"/>
      <c r="B172" s="6"/>
      <c r="C172" s="6"/>
      <c r="D172" s="6"/>
      <c r="E172" s="6"/>
      <c r="F172" s="6"/>
      <c r="G172" s="6"/>
      <c r="H172" s="6"/>
      <c r="I172" s="6"/>
      <c r="J172" s="6"/>
      <c r="K172" s="6"/>
      <c r="L172" s="6"/>
      <c r="M172" s="6"/>
      <c r="N172" s="6"/>
      <c r="O172" s="6"/>
      <c r="P172" s="6"/>
      <c r="Q172" s="6"/>
      <c r="R172" s="6"/>
      <c r="S172" s="6"/>
      <c r="T172" s="6"/>
      <c r="U172" s="6"/>
      <c r="V172" s="7"/>
      <c r="W172" s="6"/>
      <c r="X172" s="6"/>
      <c r="Y172" s="6"/>
      <c r="Z172" s="6"/>
      <c r="AA172" s="7"/>
      <c r="AB172" s="6"/>
      <c r="AC172" s="6"/>
      <c r="AD172" s="6"/>
    </row>
    <row r="173" spans="1:30" ht="15.75" customHeight="1">
      <c r="A173" s="6"/>
      <c r="B173" s="6"/>
      <c r="C173" s="6"/>
      <c r="D173" s="6"/>
      <c r="E173" s="6"/>
      <c r="F173" s="6"/>
      <c r="G173" s="6"/>
      <c r="H173" s="6"/>
      <c r="I173" s="6"/>
      <c r="J173" s="6"/>
      <c r="K173" s="6"/>
      <c r="L173" s="6"/>
      <c r="M173" s="6"/>
      <c r="N173" s="6"/>
      <c r="O173" s="6"/>
      <c r="P173" s="6"/>
      <c r="Q173" s="6"/>
      <c r="R173" s="6"/>
      <c r="S173" s="6"/>
      <c r="T173" s="6"/>
      <c r="U173" s="6"/>
      <c r="V173" s="7"/>
      <c r="W173" s="6"/>
      <c r="X173" s="6"/>
      <c r="Y173" s="6"/>
      <c r="Z173" s="6"/>
      <c r="AA173" s="7"/>
      <c r="AB173" s="6"/>
      <c r="AC173" s="6"/>
      <c r="AD173" s="6"/>
    </row>
    <row r="174" spans="1:30" ht="15.75" customHeight="1">
      <c r="A174" s="6"/>
      <c r="B174" s="6"/>
      <c r="C174" s="6"/>
      <c r="D174" s="6"/>
      <c r="E174" s="6"/>
      <c r="F174" s="6"/>
      <c r="G174" s="6"/>
      <c r="H174" s="6"/>
      <c r="I174" s="6"/>
      <c r="J174" s="6"/>
      <c r="K174" s="6"/>
      <c r="L174" s="6"/>
      <c r="M174" s="6"/>
      <c r="N174" s="6"/>
      <c r="O174" s="6"/>
      <c r="P174" s="6"/>
      <c r="Q174" s="6"/>
      <c r="R174" s="6"/>
      <c r="S174" s="6"/>
      <c r="T174" s="6"/>
      <c r="U174" s="6"/>
      <c r="V174" s="7"/>
      <c r="W174" s="6"/>
      <c r="X174" s="6"/>
      <c r="Y174" s="6"/>
      <c r="Z174" s="6"/>
      <c r="AA174" s="7"/>
      <c r="AB174" s="6"/>
      <c r="AC174" s="6"/>
      <c r="AD174" s="6"/>
    </row>
    <row r="175" spans="1:30" ht="15.75" customHeight="1">
      <c r="A175" s="3"/>
      <c r="B175" s="3"/>
      <c r="C175" s="3"/>
      <c r="D175" s="3"/>
      <c r="E175" s="3"/>
      <c r="F175" s="3"/>
      <c r="G175" s="3"/>
      <c r="H175" s="6"/>
      <c r="I175" s="6"/>
      <c r="J175" s="6"/>
      <c r="K175" s="6"/>
      <c r="L175" s="6"/>
      <c r="M175" s="6"/>
      <c r="N175" s="6"/>
      <c r="O175" s="6"/>
      <c r="P175" s="6"/>
      <c r="Q175" s="6"/>
      <c r="R175" s="6"/>
      <c r="S175" s="6"/>
      <c r="T175" s="6"/>
      <c r="U175" s="6"/>
      <c r="V175" s="7"/>
      <c r="W175" s="6"/>
      <c r="X175" s="6"/>
      <c r="Y175" s="6"/>
      <c r="Z175" s="6"/>
      <c r="AA175" s="7"/>
      <c r="AB175" s="6"/>
      <c r="AC175" s="6"/>
      <c r="AD175" s="6"/>
    </row>
    <row r="176" spans="1:30" ht="15.75" customHeight="1">
      <c r="A176" s="3"/>
      <c r="B176" s="3"/>
      <c r="C176" s="3"/>
      <c r="D176" s="3"/>
      <c r="E176" s="3"/>
      <c r="F176" s="3"/>
      <c r="G176" s="3"/>
      <c r="H176" s="3"/>
      <c r="I176" s="3"/>
      <c r="J176" s="3"/>
      <c r="K176" s="3"/>
      <c r="L176" s="3"/>
      <c r="M176" s="3"/>
      <c r="N176" s="3"/>
      <c r="O176" s="3"/>
      <c r="P176" s="3"/>
      <c r="Q176" s="3"/>
      <c r="R176" s="3"/>
      <c r="S176" s="3"/>
      <c r="T176" s="3"/>
      <c r="U176" s="3"/>
      <c r="V176" s="4"/>
      <c r="W176" s="3"/>
      <c r="X176" s="3"/>
      <c r="Y176" s="3"/>
      <c r="Z176" s="3"/>
      <c r="AA176" s="4"/>
      <c r="AB176" s="3"/>
      <c r="AC176" s="3"/>
      <c r="AD176" s="3"/>
    </row>
    <row r="177" spans="1:30" ht="15.75" customHeight="1">
      <c r="A177" s="3"/>
      <c r="B177" s="3"/>
      <c r="C177" s="3"/>
      <c r="D177" s="3"/>
      <c r="E177" s="3"/>
      <c r="F177" s="3"/>
      <c r="G177" s="3"/>
      <c r="H177" s="3"/>
      <c r="I177" s="3"/>
      <c r="J177" s="3"/>
      <c r="K177" s="3"/>
      <c r="L177" s="3"/>
      <c r="M177" s="3"/>
      <c r="N177" s="3"/>
      <c r="O177" s="3"/>
      <c r="P177" s="3"/>
      <c r="Q177" s="3"/>
      <c r="R177" s="3"/>
      <c r="S177" s="3"/>
      <c r="T177" s="3"/>
      <c r="U177" s="3"/>
      <c r="V177" s="4"/>
      <c r="W177" s="3"/>
      <c r="X177" s="3"/>
      <c r="Y177" s="3"/>
      <c r="Z177" s="3"/>
      <c r="AA177" s="4"/>
      <c r="AB177" s="3"/>
      <c r="AC177" s="3"/>
      <c r="AD177" s="4"/>
    </row>
    <row r="178" spans="1:30" ht="15.75" customHeight="1">
      <c r="A178" s="3"/>
      <c r="B178" s="3"/>
      <c r="C178" s="3"/>
      <c r="D178" s="3"/>
      <c r="E178" s="3"/>
      <c r="F178" s="3"/>
      <c r="G178" s="3"/>
      <c r="H178" s="3"/>
      <c r="I178" s="3"/>
      <c r="J178" s="3"/>
      <c r="K178" s="3"/>
      <c r="L178" s="3"/>
      <c r="M178" s="3"/>
      <c r="N178" s="3"/>
      <c r="O178" s="3"/>
      <c r="P178" s="3"/>
      <c r="Q178" s="3"/>
      <c r="R178" s="3"/>
      <c r="S178" s="3"/>
      <c r="T178" s="3"/>
      <c r="U178" s="3"/>
      <c r="V178" s="4"/>
      <c r="W178" s="3"/>
      <c r="X178" s="3"/>
      <c r="Y178" s="3"/>
      <c r="Z178" s="3"/>
      <c r="AA178" s="4"/>
      <c r="AB178" s="3"/>
      <c r="AC178" s="3"/>
      <c r="AD178" s="4"/>
    </row>
    <row r="179" spans="1:30" ht="105" customHeight="1">
      <c r="A179" s="3"/>
      <c r="B179" s="3"/>
      <c r="C179" s="3"/>
      <c r="D179" s="3"/>
      <c r="E179" s="3"/>
      <c r="F179" s="3"/>
      <c r="G179" s="3"/>
      <c r="H179" s="3"/>
      <c r="I179" s="3"/>
      <c r="J179" s="3"/>
      <c r="K179" s="3"/>
      <c r="L179" s="3"/>
      <c r="M179" s="3"/>
      <c r="N179" s="3"/>
      <c r="O179" s="3"/>
      <c r="P179" s="3"/>
      <c r="Q179" s="3"/>
      <c r="R179" s="3"/>
      <c r="S179" s="3"/>
      <c r="T179" s="3"/>
      <c r="U179" s="3"/>
      <c r="V179" s="4"/>
      <c r="W179" s="3"/>
      <c r="X179" s="3"/>
      <c r="Y179" s="3"/>
      <c r="Z179" s="3"/>
      <c r="AA179" s="3"/>
      <c r="AB179" s="3"/>
      <c r="AC179" s="3"/>
      <c r="AD179" s="3"/>
    </row>
    <row r="180" spans="1:30" ht="15.75" customHeight="1">
      <c r="A180" s="6"/>
      <c r="B180" s="6"/>
      <c r="C180" s="6"/>
      <c r="D180" s="6"/>
      <c r="E180" s="6"/>
      <c r="F180" s="6"/>
      <c r="G180" s="6"/>
      <c r="H180" s="3"/>
      <c r="I180" s="3"/>
      <c r="J180" s="3"/>
      <c r="K180" s="3"/>
      <c r="L180" s="22"/>
      <c r="M180" s="3"/>
      <c r="N180" s="3"/>
      <c r="O180" s="3"/>
      <c r="P180" s="3"/>
      <c r="Q180" s="3"/>
      <c r="R180" s="3"/>
      <c r="S180" s="3"/>
      <c r="T180" s="3"/>
      <c r="U180" s="3"/>
      <c r="V180" s="4"/>
      <c r="W180" s="3"/>
      <c r="X180" s="3"/>
      <c r="Y180" s="3"/>
      <c r="Z180" s="3"/>
      <c r="AA180" s="3"/>
      <c r="AB180" s="3"/>
      <c r="AC180" s="3"/>
      <c r="AD180" s="3"/>
    </row>
    <row r="181" spans="1:30" ht="15.75" customHeight="1">
      <c r="A181" s="3"/>
      <c r="B181" s="3"/>
      <c r="C181" s="3"/>
      <c r="D181" s="3"/>
      <c r="E181" s="3"/>
      <c r="F181" s="3"/>
      <c r="G181" s="3"/>
      <c r="H181" s="6"/>
      <c r="I181" s="6"/>
      <c r="J181" s="6"/>
      <c r="K181" s="18"/>
      <c r="L181" s="6"/>
      <c r="M181" s="6"/>
      <c r="N181" s="6"/>
      <c r="O181" s="6"/>
      <c r="P181" s="6"/>
      <c r="Q181" s="6"/>
      <c r="R181" s="6"/>
      <c r="S181" s="6"/>
      <c r="T181" s="6"/>
      <c r="U181" s="6"/>
      <c r="V181" s="19"/>
      <c r="W181" s="20"/>
      <c r="X181" s="6"/>
      <c r="Y181" s="6"/>
      <c r="Z181" s="6"/>
      <c r="AA181" s="6"/>
      <c r="AB181" s="6"/>
      <c r="AC181" s="6"/>
      <c r="AD181" s="6"/>
    </row>
    <row r="182" spans="1:30" ht="15.75" customHeight="1">
      <c r="A182" s="3"/>
      <c r="B182" s="3"/>
      <c r="C182" s="3"/>
      <c r="D182" s="3"/>
      <c r="E182" s="3"/>
      <c r="F182" s="3"/>
      <c r="G182" s="3"/>
      <c r="H182" s="3"/>
      <c r="I182" s="3"/>
      <c r="J182" s="3"/>
      <c r="K182" s="3"/>
      <c r="L182" s="3"/>
      <c r="M182" s="3"/>
      <c r="N182" s="3"/>
      <c r="O182" s="3"/>
      <c r="P182" s="3"/>
      <c r="Q182" s="3"/>
      <c r="R182" s="3"/>
      <c r="S182" s="3"/>
      <c r="T182" s="3"/>
      <c r="U182" s="3"/>
      <c r="V182" s="4"/>
      <c r="W182" s="3"/>
      <c r="X182" s="3"/>
      <c r="Y182" s="3"/>
      <c r="Z182" s="3"/>
      <c r="AA182" s="3"/>
      <c r="AB182" s="3"/>
      <c r="AC182" s="3"/>
      <c r="AD182" s="3"/>
    </row>
    <row r="183" spans="1:30" ht="15.75" customHeight="1">
      <c r="A183" s="3"/>
      <c r="B183" s="3"/>
      <c r="C183" s="3"/>
      <c r="D183" s="3"/>
      <c r="E183" s="3"/>
      <c r="F183" s="3"/>
      <c r="G183" s="3"/>
      <c r="H183" s="3"/>
      <c r="I183" s="3"/>
      <c r="J183" s="3"/>
      <c r="K183" s="3"/>
      <c r="L183" s="3"/>
      <c r="M183" s="3"/>
      <c r="N183" s="3"/>
      <c r="O183" s="3"/>
      <c r="P183" s="3"/>
      <c r="Q183" s="3"/>
      <c r="R183" s="3"/>
      <c r="S183" s="3"/>
      <c r="T183" s="3"/>
      <c r="U183" s="3"/>
      <c r="V183" s="4"/>
      <c r="W183" s="3"/>
      <c r="X183" s="3"/>
      <c r="Y183" s="3"/>
      <c r="Z183" s="3"/>
      <c r="AA183" s="3"/>
      <c r="AB183" s="3"/>
      <c r="AC183" s="3"/>
      <c r="AD183" s="3"/>
    </row>
    <row r="184" spans="1:30" ht="15.75" customHeight="1">
      <c r="A184" s="3"/>
      <c r="B184" s="3"/>
      <c r="C184" s="3"/>
      <c r="D184" s="3"/>
      <c r="E184" s="3"/>
      <c r="F184" s="3"/>
      <c r="G184" s="3"/>
      <c r="H184" s="3"/>
      <c r="I184" s="3"/>
      <c r="J184" s="3"/>
      <c r="K184" s="3"/>
      <c r="L184" s="3"/>
      <c r="M184" s="3"/>
      <c r="N184" s="3"/>
      <c r="O184" s="3"/>
      <c r="P184" s="3"/>
      <c r="Q184" s="3"/>
      <c r="R184" s="3"/>
      <c r="S184" s="3"/>
      <c r="T184" s="3"/>
      <c r="U184" s="3"/>
      <c r="V184" s="4"/>
      <c r="W184" s="3"/>
      <c r="X184" s="3"/>
      <c r="Y184" s="3"/>
      <c r="Z184" s="3"/>
      <c r="AA184" s="4"/>
      <c r="AB184" s="3"/>
      <c r="AC184" s="3"/>
      <c r="AD184" s="4"/>
    </row>
    <row r="185" spans="1:30" ht="15.75" customHeight="1">
      <c r="A185" s="3"/>
      <c r="B185" s="3"/>
      <c r="C185" s="3"/>
      <c r="D185" s="3"/>
      <c r="E185" s="3"/>
      <c r="F185" s="3"/>
      <c r="G185" s="3"/>
      <c r="H185" s="3"/>
      <c r="I185" s="3"/>
      <c r="J185" s="3"/>
      <c r="K185" s="3"/>
      <c r="L185" s="3"/>
      <c r="M185" s="3"/>
      <c r="N185" s="3"/>
      <c r="O185" s="3"/>
      <c r="P185" s="3"/>
      <c r="Q185" s="3"/>
      <c r="R185" s="3"/>
      <c r="S185" s="3"/>
      <c r="T185" s="3"/>
      <c r="U185" s="3"/>
      <c r="V185" s="4"/>
      <c r="W185" s="3"/>
      <c r="X185" s="3"/>
      <c r="Y185" s="3"/>
      <c r="Z185" s="3"/>
      <c r="AA185" s="4"/>
      <c r="AB185" s="3"/>
      <c r="AC185" s="3"/>
      <c r="AD185" s="4"/>
    </row>
    <row r="186" spans="1:30" ht="15.75" customHeight="1">
      <c r="A186" s="3"/>
      <c r="B186" s="3"/>
      <c r="C186" s="3"/>
      <c r="D186" s="3"/>
      <c r="E186" s="3"/>
      <c r="F186" s="3"/>
      <c r="G186" s="3"/>
      <c r="H186" s="3"/>
      <c r="I186" s="3"/>
      <c r="J186" s="3"/>
      <c r="K186" s="3"/>
      <c r="L186" s="3"/>
      <c r="M186" s="3"/>
      <c r="N186" s="3"/>
      <c r="O186" s="3"/>
      <c r="P186" s="3"/>
      <c r="Q186" s="3"/>
      <c r="R186" s="3"/>
      <c r="S186" s="3"/>
      <c r="T186" s="3"/>
      <c r="U186" s="3"/>
      <c r="V186" s="4"/>
      <c r="W186" s="3"/>
      <c r="X186" s="3"/>
      <c r="Y186" s="3"/>
      <c r="Z186" s="3"/>
      <c r="AA186" s="3"/>
      <c r="AB186" s="3"/>
      <c r="AC186" s="3"/>
      <c r="AD186" s="3"/>
    </row>
    <row r="187" spans="1:30" ht="15.75" customHeight="1">
      <c r="A187" s="3"/>
      <c r="B187" s="3"/>
      <c r="C187" s="3"/>
      <c r="D187" s="3"/>
      <c r="E187" s="3"/>
      <c r="F187" s="3"/>
      <c r="G187" s="3"/>
      <c r="H187" s="3"/>
      <c r="I187" s="3"/>
      <c r="J187" s="3"/>
      <c r="K187" s="3"/>
      <c r="L187" s="3"/>
      <c r="M187" s="3"/>
      <c r="N187" s="3"/>
      <c r="O187" s="3"/>
      <c r="P187" s="3"/>
      <c r="Q187" s="3"/>
      <c r="R187" s="3"/>
      <c r="S187" s="3"/>
      <c r="T187" s="3"/>
      <c r="U187" s="3"/>
      <c r="V187" s="4"/>
      <c r="W187" s="3"/>
      <c r="X187" s="3"/>
      <c r="Y187" s="3"/>
      <c r="Z187" s="3"/>
      <c r="AA187" s="3"/>
      <c r="AB187" s="3"/>
      <c r="AC187" s="3"/>
      <c r="AD187" s="3"/>
    </row>
    <row r="188" spans="1:30" ht="15.75" customHeight="1">
      <c r="A188" s="3"/>
      <c r="B188" s="3"/>
      <c r="C188" s="3"/>
      <c r="D188" s="3"/>
      <c r="E188" s="3"/>
      <c r="F188" s="3"/>
      <c r="G188" s="3"/>
      <c r="H188" s="3"/>
      <c r="I188" s="3"/>
      <c r="J188" s="3"/>
      <c r="K188" s="3"/>
      <c r="L188" s="3"/>
      <c r="M188" s="3"/>
      <c r="N188" s="3"/>
      <c r="O188" s="3"/>
      <c r="P188" s="3"/>
      <c r="Q188" s="3"/>
      <c r="R188" s="3"/>
      <c r="S188" s="3"/>
      <c r="T188" s="3"/>
      <c r="U188" s="3"/>
      <c r="V188" s="4"/>
      <c r="W188" s="3"/>
      <c r="X188" s="4"/>
      <c r="Y188" s="3"/>
      <c r="Z188" s="3"/>
      <c r="AA188" s="3"/>
      <c r="AB188" s="3"/>
      <c r="AC188" s="3"/>
      <c r="AD188" s="3"/>
    </row>
    <row r="189" spans="1:30" ht="15.75" customHeight="1">
      <c r="A189" s="6"/>
      <c r="B189" s="6"/>
      <c r="C189" s="6"/>
      <c r="D189" s="6"/>
      <c r="E189" s="6"/>
      <c r="F189" s="6"/>
      <c r="G189" s="6"/>
      <c r="H189" s="3"/>
      <c r="I189" s="3"/>
      <c r="J189" s="3"/>
      <c r="K189" s="3"/>
      <c r="L189" s="3"/>
      <c r="M189" s="3"/>
      <c r="N189" s="3"/>
      <c r="O189" s="3"/>
      <c r="P189" s="3"/>
      <c r="Q189" s="3"/>
      <c r="R189" s="3"/>
      <c r="S189" s="3"/>
      <c r="T189" s="3"/>
      <c r="U189" s="3"/>
      <c r="V189" s="4"/>
      <c r="W189" s="3"/>
      <c r="X189" s="3"/>
      <c r="Y189" s="3"/>
      <c r="Z189" s="3"/>
      <c r="AA189" s="3"/>
      <c r="AB189" s="3"/>
      <c r="AC189" s="3"/>
      <c r="AD189" s="3"/>
    </row>
    <row r="190" spans="1:30" ht="15.75" customHeight="1">
      <c r="A190" s="6"/>
      <c r="B190" s="6"/>
      <c r="C190" s="6"/>
      <c r="D190" s="6"/>
      <c r="E190" s="6"/>
      <c r="F190" s="6"/>
      <c r="G190" s="6"/>
      <c r="H190" s="6"/>
      <c r="I190" s="6"/>
      <c r="J190" s="6"/>
      <c r="K190" s="18"/>
      <c r="L190" s="6"/>
      <c r="M190" s="6"/>
      <c r="N190" s="6"/>
      <c r="O190" s="6"/>
      <c r="P190" s="6"/>
      <c r="Q190" s="6"/>
      <c r="R190" s="6"/>
      <c r="S190" s="6"/>
      <c r="T190" s="6"/>
      <c r="U190" s="6"/>
      <c r="V190" s="19"/>
      <c r="W190" s="20"/>
      <c r="X190" s="6"/>
      <c r="Y190" s="6"/>
      <c r="Z190" s="6"/>
      <c r="AA190" s="6"/>
      <c r="AB190" s="6"/>
      <c r="AC190" s="6"/>
      <c r="AD190" s="6"/>
    </row>
    <row r="191" spans="1:30" ht="15.75" customHeight="1">
      <c r="A191" s="3"/>
      <c r="B191" s="3"/>
      <c r="C191" s="3"/>
      <c r="D191" s="3"/>
      <c r="E191" s="3"/>
      <c r="F191" s="3"/>
      <c r="G191" s="3"/>
      <c r="H191" s="6"/>
      <c r="I191" s="6"/>
      <c r="J191" s="6"/>
      <c r="K191" s="6"/>
      <c r="L191" s="6"/>
      <c r="M191" s="6"/>
      <c r="N191" s="6"/>
      <c r="O191" s="6"/>
      <c r="P191" s="6"/>
      <c r="Q191" s="6"/>
      <c r="R191" s="6"/>
      <c r="S191" s="6"/>
      <c r="T191" s="6"/>
      <c r="U191" s="6"/>
      <c r="V191" s="7"/>
      <c r="W191" s="6"/>
      <c r="X191" s="6"/>
      <c r="Y191" s="6"/>
      <c r="Z191" s="6"/>
      <c r="AA191" s="6"/>
      <c r="AB191" s="6"/>
      <c r="AC191" s="6"/>
      <c r="AD191" s="6"/>
    </row>
    <row r="192" spans="1:30" ht="15.75" customHeight="1">
      <c r="A192" s="6"/>
      <c r="B192" s="6"/>
      <c r="C192" s="6"/>
      <c r="D192" s="6"/>
      <c r="E192" s="6"/>
      <c r="F192" s="6"/>
      <c r="G192" s="6"/>
      <c r="H192" s="3"/>
      <c r="I192" s="3"/>
      <c r="J192" s="3"/>
      <c r="K192" s="3"/>
      <c r="L192" s="22"/>
      <c r="M192" s="3"/>
      <c r="N192" s="3"/>
      <c r="O192" s="3"/>
      <c r="P192" s="3"/>
      <c r="Q192" s="3"/>
      <c r="R192" s="3"/>
      <c r="S192" s="3"/>
      <c r="T192" s="3"/>
      <c r="U192" s="3"/>
      <c r="V192" s="4"/>
      <c r="W192" s="3"/>
      <c r="X192" s="3"/>
      <c r="Y192" s="3"/>
      <c r="Z192" s="3"/>
      <c r="AA192" s="3"/>
      <c r="AB192" s="3"/>
      <c r="AC192" s="3"/>
      <c r="AD192" s="3"/>
    </row>
    <row r="193" spans="1:30" ht="15.75" customHeight="1">
      <c r="A193" s="6"/>
      <c r="B193" s="6"/>
      <c r="C193" s="6"/>
      <c r="D193" s="6"/>
      <c r="E193" s="6"/>
      <c r="F193" s="6"/>
      <c r="G193" s="6"/>
      <c r="H193" s="6"/>
      <c r="I193" s="6"/>
      <c r="J193" s="6"/>
      <c r="K193" s="18"/>
      <c r="L193" s="6"/>
      <c r="M193" s="6"/>
      <c r="N193" s="6"/>
      <c r="O193" s="6"/>
      <c r="P193" s="6"/>
      <c r="Q193" s="6"/>
      <c r="R193" s="6"/>
      <c r="S193" s="6"/>
      <c r="T193" s="6"/>
      <c r="U193" s="6"/>
      <c r="V193" s="19"/>
      <c r="W193" s="20"/>
      <c r="X193" s="6"/>
      <c r="Y193" s="6"/>
      <c r="Z193" s="6"/>
      <c r="AA193" s="6"/>
      <c r="AB193" s="6"/>
      <c r="AC193" s="6"/>
      <c r="AD193" s="6"/>
    </row>
    <row r="194" spans="1:30" ht="15.75" customHeight="1">
      <c r="A194" s="6"/>
      <c r="B194" s="6"/>
      <c r="C194" s="6"/>
      <c r="D194" s="6"/>
      <c r="E194" s="6"/>
      <c r="F194" s="6"/>
      <c r="G194" s="6"/>
      <c r="H194" s="6"/>
      <c r="I194" s="6"/>
      <c r="J194" s="6"/>
      <c r="K194" s="18"/>
      <c r="L194" s="6"/>
      <c r="M194" s="6"/>
      <c r="N194" s="6"/>
      <c r="O194" s="6"/>
      <c r="P194" s="6"/>
      <c r="Q194" s="6"/>
      <c r="R194" s="6"/>
      <c r="S194" s="6"/>
      <c r="T194" s="6"/>
      <c r="U194" s="6"/>
      <c r="V194" s="19"/>
      <c r="W194" s="20"/>
      <c r="X194" s="6"/>
      <c r="Y194" s="6"/>
      <c r="Z194" s="6"/>
      <c r="AA194" s="6"/>
      <c r="AB194" s="6"/>
      <c r="AC194" s="6"/>
      <c r="AD194" s="6"/>
    </row>
    <row r="195" spans="1:30" ht="15.75" customHeight="1">
      <c r="A195" s="6"/>
      <c r="B195" s="6"/>
      <c r="C195" s="6"/>
      <c r="D195" s="6"/>
      <c r="E195" s="6"/>
      <c r="F195" s="6"/>
      <c r="G195" s="6"/>
      <c r="H195" s="6"/>
      <c r="I195" s="6"/>
      <c r="J195" s="6"/>
      <c r="K195" s="18"/>
      <c r="L195" s="6"/>
      <c r="M195" s="6"/>
      <c r="N195" s="6"/>
      <c r="O195" s="6"/>
      <c r="P195" s="6"/>
      <c r="Q195" s="6"/>
      <c r="R195" s="6"/>
      <c r="S195" s="6"/>
      <c r="T195" s="6"/>
      <c r="U195" s="6"/>
      <c r="V195" s="19"/>
      <c r="W195" s="20"/>
      <c r="X195" s="6"/>
      <c r="Y195" s="6"/>
      <c r="Z195" s="6"/>
      <c r="AA195" s="6"/>
      <c r="AB195" s="6"/>
      <c r="AC195" s="6"/>
      <c r="AD195" s="6"/>
    </row>
    <row r="196" spans="1:30" ht="15.75" customHeight="1">
      <c r="A196" s="6"/>
      <c r="B196" s="6"/>
      <c r="C196" s="6"/>
      <c r="D196" s="6"/>
      <c r="E196" s="6"/>
      <c r="F196" s="6"/>
      <c r="G196" s="6"/>
      <c r="H196" s="6"/>
      <c r="I196" s="6"/>
      <c r="J196" s="6"/>
      <c r="K196" s="18"/>
      <c r="L196" s="6"/>
      <c r="M196" s="6"/>
      <c r="N196" s="6"/>
      <c r="O196" s="6"/>
      <c r="P196" s="6"/>
      <c r="Q196" s="6"/>
      <c r="R196" s="6"/>
      <c r="S196" s="6"/>
      <c r="T196" s="6"/>
      <c r="U196" s="6"/>
      <c r="V196" s="19"/>
      <c r="W196" s="6"/>
      <c r="X196" s="6"/>
      <c r="Y196" s="6"/>
      <c r="Z196" s="6"/>
      <c r="AA196" s="6"/>
      <c r="AB196" s="6"/>
      <c r="AC196" s="6"/>
      <c r="AD196" s="6"/>
    </row>
    <row r="197" spans="1:30" ht="15.75" customHeight="1">
      <c r="A197" s="3"/>
      <c r="B197" s="3"/>
      <c r="C197" s="3"/>
      <c r="D197" s="3"/>
      <c r="E197" s="3"/>
      <c r="F197" s="3"/>
      <c r="G197" s="3"/>
      <c r="H197" s="6"/>
      <c r="I197" s="6"/>
      <c r="J197" s="6"/>
      <c r="K197" s="18"/>
      <c r="L197" s="6"/>
      <c r="M197" s="6"/>
      <c r="N197" s="6"/>
      <c r="O197" s="6"/>
      <c r="P197" s="6"/>
      <c r="Q197" s="6"/>
      <c r="R197" s="6"/>
      <c r="S197" s="6"/>
      <c r="T197" s="6"/>
      <c r="U197" s="6"/>
      <c r="V197" s="19"/>
      <c r="W197" s="6"/>
      <c r="X197" s="6"/>
      <c r="Y197" s="6"/>
      <c r="Z197" s="6"/>
      <c r="AA197" s="6"/>
      <c r="AB197" s="6"/>
      <c r="AC197" s="6"/>
      <c r="AD197" s="6"/>
    </row>
    <row r="198" spans="1:30" ht="15.75" customHeight="1">
      <c r="A198" s="3"/>
      <c r="B198" s="3"/>
      <c r="C198" s="3"/>
      <c r="D198" s="3"/>
      <c r="E198" s="3"/>
      <c r="F198" s="3"/>
      <c r="G198" s="3"/>
      <c r="H198" s="3"/>
      <c r="I198" s="3"/>
      <c r="J198" s="3"/>
      <c r="K198" s="3"/>
      <c r="L198" s="3"/>
      <c r="M198" s="3"/>
      <c r="N198" s="3"/>
      <c r="O198" s="3"/>
      <c r="P198" s="3"/>
      <c r="Q198" s="3"/>
      <c r="R198" s="3"/>
      <c r="S198" s="3"/>
      <c r="T198" s="3"/>
      <c r="U198" s="3"/>
      <c r="V198" s="4"/>
      <c r="W198" s="3"/>
      <c r="X198" s="4"/>
      <c r="Y198" s="3"/>
      <c r="Z198" s="3"/>
      <c r="AA198" s="4"/>
      <c r="AB198" s="3"/>
      <c r="AC198" s="3"/>
      <c r="AD198" s="4"/>
    </row>
    <row r="199" spans="1:30" ht="15.75" customHeight="1">
      <c r="A199" s="3"/>
      <c r="B199" s="3"/>
      <c r="C199" s="3"/>
      <c r="D199" s="3"/>
      <c r="E199" s="3"/>
      <c r="F199" s="3"/>
      <c r="G199" s="3"/>
      <c r="H199" s="3"/>
      <c r="I199" s="3"/>
      <c r="J199" s="3"/>
      <c r="K199" s="3"/>
      <c r="L199" s="3"/>
      <c r="M199" s="3"/>
      <c r="N199" s="3"/>
      <c r="O199" s="3"/>
      <c r="P199" s="3"/>
      <c r="Q199" s="3"/>
      <c r="R199" s="3"/>
      <c r="S199" s="3"/>
      <c r="T199" s="3"/>
      <c r="U199" s="3"/>
      <c r="V199" s="4"/>
      <c r="W199" s="3"/>
      <c r="X199" s="4"/>
      <c r="Y199" s="3"/>
      <c r="Z199" s="3"/>
      <c r="AA199" s="4"/>
      <c r="AB199" s="3"/>
      <c r="AC199" s="3"/>
      <c r="AD199" s="3"/>
    </row>
    <row r="200" spans="1:30" ht="39" customHeight="1">
      <c r="A200" s="3"/>
      <c r="B200" s="3"/>
      <c r="C200" s="3"/>
      <c r="D200" s="3"/>
      <c r="E200" s="3"/>
      <c r="F200" s="3"/>
      <c r="G200" s="3"/>
      <c r="H200" s="3"/>
      <c r="I200" s="3"/>
      <c r="J200" s="3"/>
      <c r="K200" s="3"/>
      <c r="L200" s="3"/>
      <c r="M200" s="3"/>
      <c r="N200" s="3"/>
      <c r="O200" s="3"/>
      <c r="P200" s="3"/>
      <c r="Q200" s="3"/>
      <c r="R200" s="3"/>
      <c r="S200" s="3"/>
      <c r="T200" s="3"/>
      <c r="U200" s="3"/>
      <c r="V200" s="4"/>
      <c r="W200" s="3"/>
      <c r="X200" s="4"/>
      <c r="Y200" s="3"/>
      <c r="Z200" s="3"/>
      <c r="AA200" s="4"/>
      <c r="AB200" s="3"/>
      <c r="AC200" s="3"/>
      <c r="AD200" s="4"/>
    </row>
    <row r="201" spans="1:30" ht="121.5" customHeight="1">
      <c r="A201" s="3"/>
      <c r="B201" s="3"/>
      <c r="C201" s="3"/>
      <c r="D201" s="3"/>
      <c r="E201" s="3"/>
      <c r="F201" s="3"/>
      <c r="G201" s="3"/>
      <c r="H201" s="3"/>
      <c r="I201" s="3"/>
      <c r="J201" s="3"/>
      <c r="K201" s="3"/>
      <c r="L201" s="3"/>
      <c r="M201" s="3"/>
      <c r="N201" s="3"/>
      <c r="O201" s="3"/>
      <c r="P201" s="3"/>
      <c r="Q201" s="3"/>
      <c r="R201" s="3"/>
      <c r="S201" s="3"/>
      <c r="T201" s="3"/>
      <c r="U201" s="3"/>
      <c r="V201" s="4"/>
      <c r="W201" s="3"/>
      <c r="X201" s="4"/>
      <c r="Y201" s="3"/>
      <c r="Z201" s="3"/>
      <c r="AA201" s="4"/>
      <c r="AB201" s="3"/>
      <c r="AC201" s="3"/>
      <c r="AD201" s="4"/>
    </row>
    <row r="202" spans="1:30" ht="121.5" customHeight="1">
      <c r="A202" s="3"/>
      <c r="B202" s="3"/>
      <c r="C202" s="3"/>
      <c r="D202" s="3"/>
      <c r="E202" s="3"/>
      <c r="F202" s="3"/>
      <c r="G202" s="3"/>
      <c r="H202" s="3"/>
      <c r="I202" s="3"/>
      <c r="J202" s="3"/>
      <c r="K202" s="3"/>
      <c r="L202" s="3"/>
      <c r="M202" s="3"/>
      <c r="N202" s="3"/>
      <c r="O202" s="3"/>
      <c r="P202" s="3"/>
      <c r="Q202" s="3"/>
      <c r="R202" s="3"/>
      <c r="S202" s="3"/>
      <c r="T202" s="3"/>
      <c r="U202" s="3"/>
      <c r="V202" s="4"/>
      <c r="W202" s="3"/>
      <c r="X202" s="4"/>
      <c r="Y202" s="3"/>
      <c r="Z202" s="3"/>
      <c r="AA202" s="4"/>
      <c r="AB202" s="3"/>
      <c r="AC202" s="3"/>
      <c r="AD202" s="4"/>
    </row>
    <row r="203" spans="1:30" ht="121.5" customHeight="1">
      <c r="A203" s="3"/>
      <c r="B203" s="3"/>
      <c r="C203" s="3"/>
      <c r="D203" s="3"/>
      <c r="E203" s="3"/>
      <c r="F203" s="3"/>
      <c r="G203" s="3"/>
      <c r="H203" s="3"/>
      <c r="I203" s="3"/>
      <c r="J203" s="3"/>
      <c r="K203" s="3"/>
      <c r="L203" s="3"/>
      <c r="M203" s="3"/>
      <c r="N203" s="3"/>
      <c r="O203" s="3"/>
      <c r="P203" s="3"/>
      <c r="Q203" s="3"/>
      <c r="R203" s="3"/>
      <c r="S203" s="3"/>
      <c r="T203" s="3"/>
      <c r="U203" s="3"/>
      <c r="V203" s="4"/>
      <c r="W203" s="3"/>
      <c r="X203" s="4"/>
      <c r="Y203" s="3"/>
      <c r="Z203" s="3"/>
      <c r="AA203" s="4"/>
      <c r="AB203" s="3"/>
      <c r="AC203" s="3"/>
      <c r="AD203" s="3"/>
    </row>
    <row r="204" spans="1:30" ht="121.5" customHeight="1">
      <c r="A204" s="3"/>
      <c r="B204" s="3"/>
      <c r="C204" s="3"/>
      <c r="D204" s="3"/>
      <c r="E204" s="3"/>
      <c r="F204" s="3"/>
      <c r="G204" s="3"/>
      <c r="H204" s="3"/>
      <c r="I204" s="3"/>
      <c r="J204" s="3"/>
      <c r="K204" s="3"/>
      <c r="L204" s="3"/>
      <c r="M204" s="3"/>
      <c r="N204" s="3"/>
      <c r="O204" s="3"/>
      <c r="P204" s="3"/>
      <c r="Q204" s="3"/>
      <c r="R204" s="3"/>
      <c r="S204" s="3"/>
      <c r="T204" s="3"/>
      <c r="U204" s="3"/>
      <c r="V204" s="4"/>
      <c r="W204" s="3"/>
      <c r="X204" s="3"/>
      <c r="Y204" s="3"/>
      <c r="Z204" s="3"/>
      <c r="AA204" s="4"/>
      <c r="AB204" s="3"/>
      <c r="AC204" s="3"/>
      <c r="AD204" s="3"/>
    </row>
    <row r="205" spans="1:30" ht="121.5" customHeight="1">
      <c r="A205" s="3"/>
      <c r="B205" s="3"/>
      <c r="C205" s="3"/>
      <c r="D205" s="3"/>
      <c r="E205" s="3"/>
      <c r="F205" s="3"/>
      <c r="G205" s="3"/>
      <c r="H205" s="3"/>
      <c r="I205" s="3"/>
      <c r="J205" s="3"/>
      <c r="K205" s="3"/>
      <c r="L205" s="3"/>
      <c r="M205" s="3"/>
      <c r="N205" s="3"/>
      <c r="O205" s="3"/>
      <c r="P205" s="3"/>
      <c r="Q205" s="3"/>
      <c r="R205" s="3"/>
      <c r="S205" s="3"/>
      <c r="T205" s="3"/>
      <c r="U205" s="3"/>
      <c r="V205" s="4"/>
      <c r="W205" s="3"/>
      <c r="X205" s="3"/>
      <c r="Y205" s="3"/>
      <c r="Z205" s="3"/>
      <c r="AA205" s="3"/>
      <c r="AB205" s="3"/>
      <c r="AC205" s="3"/>
      <c r="AD205" s="3"/>
    </row>
    <row r="206" spans="1:30" ht="15.75" customHeight="1">
      <c r="A206" s="3"/>
      <c r="B206" s="3"/>
      <c r="C206" s="3"/>
      <c r="D206" s="3"/>
      <c r="E206" s="3"/>
      <c r="F206" s="3"/>
      <c r="G206" s="3"/>
      <c r="H206" s="3"/>
      <c r="I206" s="3"/>
      <c r="J206" s="3"/>
      <c r="K206" s="3"/>
      <c r="L206" s="3"/>
      <c r="M206" s="3"/>
      <c r="N206" s="3"/>
      <c r="O206" s="3"/>
      <c r="P206" s="3"/>
      <c r="Q206" s="3"/>
      <c r="R206" s="3"/>
      <c r="S206" s="3"/>
      <c r="T206" s="3"/>
      <c r="U206" s="3"/>
      <c r="V206" s="4"/>
      <c r="W206" s="3"/>
      <c r="X206" s="3"/>
      <c r="Y206" s="3"/>
      <c r="Z206" s="3"/>
      <c r="AA206" s="4"/>
      <c r="AB206" s="3"/>
      <c r="AC206" s="3"/>
      <c r="AD206" s="3"/>
    </row>
    <row r="207" spans="1:30" ht="15.75" customHeight="1">
      <c r="A207" s="3"/>
      <c r="B207" s="3"/>
      <c r="C207" s="3"/>
      <c r="D207" s="3"/>
      <c r="E207" s="3"/>
      <c r="F207" s="3"/>
      <c r="G207" s="3"/>
      <c r="H207" s="3"/>
      <c r="I207" s="3"/>
      <c r="J207" s="3"/>
      <c r="K207" s="3"/>
      <c r="L207" s="3"/>
      <c r="M207" s="3"/>
      <c r="N207" s="3"/>
      <c r="O207" s="3"/>
      <c r="P207" s="3"/>
      <c r="Q207" s="3"/>
      <c r="R207" s="3"/>
      <c r="S207" s="3"/>
      <c r="T207" s="3"/>
      <c r="U207" s="3"/>
      <c r="V207" s="4"/>
      <c r="W207" s="3"/>
      <c r="X207" s="3"/>
      <c r="Y207" s="3"/>
      <c r="Z207" s="3"/>
      <c r="AA207" s="4"/>
      <c r="AB207" s="3"/>
      <c r="AC207" s="3"/>
      <c r="AD207" s="3"/>
    </row>
    <row r="208" spans="1:30" ht="15.75" customHeight="1">
      <c r="A208" s="3"/>
      <c r="B208" s="3"/>
      <c r="C208" s="3"/>
      <c r="D208" s="3"/>
      <c r="E208" s="3"/>
      <c r="F208" s="3"/>
      <c r="G208" s="3"/>
      <c r="H208" s="3"/>
      <c r="I208" s="3"/>
      <c r="J208" s="3"/>
      <c r="K208" s="3"/>
      <c r="L208" s="3"/>
      <c r="M208" s="3"/>
      <c r="N208" s="3"/>
      <c r="O208" s="3"/>
      <c r="P208" s="3"/>
      <c r="Q208" s="3"/>
      <c r="R208" s="3"/>
      <c r="S208" s="3"/>
      <c r="T208" s="3"/>
      <c r="U208" s="3"/>
      <c r="V208" s="4"/>
      <c r="W208" s="3"/>
      <c r="X208" s="3"/>
      <c r="Y208" s="3"/>
      <c r="Z208" s="3"/>
      <c r="AA208" s="4"/>
      <c r="AB208" s="3"/>
      <c r="AC208" s="3"/>
      <c r="AD208" s="3"/>
    </row>
    <row r="209" spans="1:30" ht="15.75" customHeight="1">
      <c r="A209" s="3"/>
      <c r="B209" s="3"/>
      <c r="C209" s="3"/>
      <c r="D209" s="3"/>
      <c r="E209" s="3"/>
      <c r="F209" s="3"/>
      <c r="G209" s="3"/>
      <c r="H209" s="3"/>
      <c r="I209" s="3"/>
      <c r="J209" s="3"/>
      <c r="K209" s="3"/>
      <c r="L209" s="3"/>
      <c r="M209" s="3"/>
      <c r="N209" s="3"/>
      <c r="O209" s="3"/>
      <c r="P209" s="3"/>
      <c r="Q209" s="3"/>
      <c r="R209" s="3"/>
      <c r="S209" s="3"/>
      <c r="T209" s="3"/>
      <c r="U209" s="3"/>
      <c r="V209" s="4"/>
      <c r="W209" s="3"/>
      <c r="X209" s="3"/>
      <c r="Y209" s="3"/>
      <c r="Z209" s="3"/>
      <c r="AA209" s="4"/>
      <c r="AB209" s="3"/>
      <c r="AC209" s="3"/>
      <c r="AD209" s="4"/>
    </row>
    <row r="210" spans="1:30" ht="15.75" customHeight="1">
      <c r="A210" s="3"/>
      <c r="B210" s="3"/>
      <c r="C210" s="3"/>
      <c r="D210" s="3"/>
      <c r="E210" s="3"/>
      <c r="F210" s="3"/>
      <c r="G210" s="3"/>
      <c r="H210" s="3"/>
      <c r="I210" s="3"/>
      <c r="J210" s="3"/>
      <c r="K210" s="3"/>
      <c r="L210" s="3"/>
      <c r="M210" s="3"/>
      <c r="N210" s="3"/>
      <c r="O210" s="3"/>
      <c r="P210" s="3"/>
      <c r="Q210" s="3"/>
      <c r="R210" s="3"/>
      <c r="S210" s="3"/>
      <c r="T210" s="3"/>
      <c r="U210" s="3"/>
      <c r="V210" s="4"/>
      <c r="W210" s="3"/>
      <c r="X210" s="3"/>
      <c r="Y210" s="3"/>
      <c r="Z210" s="3"/>
      <c r="AA210" s="4"/>
      <c r="AB210" s="3"/>
      <c r="AC210" s="3"/>
      <c r="AD210" s="4"/>
    </row>
    <row r="211" spans="1:30" ht="15.75" customHeight="1">
      <c r="A211" s="3"/>
      <c r="B211" s="3"/>
      <c r="C211" s="3"/>
      <c r="D211" s="3"/>
      <c r="E211" s="3"/>
      <c r="F211" s="3"/>
      <c r="G211" s="3"/>
      <c r="H211" s="3"/>
      <c r="I211" s="3"/>
      <c r="J211" s="3"/>
      <c r="K211" s="3"/>
      <c r="L211" s="3"/>
      <c r="M211" s="3"/>
      <c r="N211" s="3"/>
      <c r="O211" s="3"/>
      <c r="P211" s="3"/>
      <c r="Q211" s="3"/>
      <c r="R211" s="3"/>
      <c r="S211" s="3"/>
      <c r="T211" s="3"/>
      <c r="U211" s="3"/>
      <c r="V211" s="4"/>
      <c r="W211" s="3"/>
      <c r="X211" s="3"/>
      <c r="Y211" s="3"/>
      <c r="Z211" s="3"/>
      <c r="AA211" s="4"/>
      <c r="AB211" s="3"/>
      <c r="AC211" s="3"/>
      <c r="AD211" s="4"/>
    </row>
    <row r="212" spans="1:30" ht="15.75" customHeight="1">
      <c r="A212" s="3"/>
      <c r="B212" s="3"/>
      <c r="C212" s="3"/>
      <c r="D212" s="3"/>
      <c r="E212" s="3"/>
      <c r="F212" s="3"/>
      <c r="G212" s="3"/>
      <c r="H212" s="3"/>
      <c r="I212" s="3"/>
      <c r="J212" s="3"/>
      <c r="K212" s="3"/>
      <c r="L212" s="3"/>
      <c r="M212" s="3"/>
      <c r="N212" s="3"/>
      <c r="O212" s="3"/>
      <c r="P212" s="3"/>
      <c r="Q212" s="3"/>
      <c r="R212" s="3"/>
      <c r="S212" s="3"/>
      <c r="T212" s="3"/>
      <c r="U212" s="3"/>
      <c r="V212" s="4"/>
      <c r="W212" s="3"/>
      <c r="X212" s="3"/>
      <c r="Y212" s="3"/>
      <c r="Z212" s="3"/>
      <c r="AA212" s="4"/>
      <c r="AB212" s="3"/>
      <c r="AC212" s="3"/>
      <c r="AD212" s="3"/>
    </row>
    <row r="213" spans="1:30" ht="15.75" customHeight="1">
      <c r="A213" s="3"/>
      <c r="B213" s="3"/>
      <c r="C213" s="3"/>
      <c r="D213" s="3"/>
      <c r="E213" s="3"/>
      <c r="F213" s="3"/>
      <c r="G213" s="3"/>
      <c r="H213" s="3"/>
      <c r="I213" s="3"/>
      <c r="J213" s="3"/>
      <c r="K213" s="3"/>
      <c r="L213" s="3"/>
      <c r="M213" s="3"/>
      <c r="N213" s="3"/>
      <c r="O213" s="3"/>
      <c r="P213" s="3"/>
      <c r="Q213" s="3"/>
      <c r="R213" s="3"/>
      <c r="S213" s="3"/>
      <c r="T213" s="3"/>
      <c r="U213" s="3"/>
      <c r="V213" s="4"/>
      <c r="W213" s="3"/>
      <c r="X213" s="3"/>
      <c r="Y213" s="3"/>
      <c r="Z213" s="3"/>
      <c r="AA213" s="3"/>
      <c r="AB213" s="3"/>
      <c r="AC213" s="3"/>
      <c r="AD213" s="3"/>
    </row>
    <row r="214" spans="1:30" ht="15.75" customHeight="1">
      <c r="A214" s="3"/>
      <c r="B214" s="3"/>
      <c r="C214" s="3"/>
      <c r="D214" s="3"/>
      <c r="E214" s="3"/>
      <c r="F214" s="3"/>
      <c r="G214" s="3"/>
      <c r="H214" s="3"/>
      <c r="I214" s="3"/>
      <c r="J214" s="3"/>
      <c r="K214" s="3"/>
      <c r="L214" s="3"/>
      <c r="M214" s="3"/>
      <c r="N214" s="3"/>
      <c r="O214" s="3"/>
      <c r="P214" s="3"/>
      <c r="Q214" s="3"/>
      <c r="R214" s="3"/>
      <c r="S214" s="3"/>
      <c r="T214" s="3"/>
      <c r="U214" s="3"/>
      <c r="V214" s="4"/>
      <c r="W214" s="3"/>
      <c r="X214" s="3"/>
      <c r="Y214" s="3"/>
      <c r="Z214" s="3"/>
      <c r="AA214" s="4"/>
      <c r="AB214" s="3"/>
      <c r="AC214" s="3"/>
      <c r="AD214" s="3"/>
    </row>
    <row r="215" spans="1:30" ht="15.75" customHeight="1">
      <c r="A215" s="6"/>
      <c r="B215" s="6"/>
      <c r="C215" s="6"/>
      <c r="D215" s="6"/>
      <c r="E215" s="6"/>
      <c r="F215" s="6"/>
      <c r="G215" s="6"/>
      <c r="H215" s="3"/>
      <c r="I215" s="3"/>
      <c r="J215" s="3"/>
      <c r="K215" s="3"/>
      <c r="L215" s="3"/>
      <c r="M215" s="3"/>
      <c r="N215" s="3"/>
      <c r="O215" s="3"/>
      <c r="P215" s="3"/>
      <c r="Q215" s="3"/>
      <c r="R215" s="3"/>
      <c r="S215" s="3"/>
      <c r="T215" s="3"/>
      <c r="U215" s="3"/>
      <c r="V215" s="4"/>
      <c r="W215" s="3"/>
      <c r="X215" s="3"/>
      <c r="Y215" s="3"/>
      <c r="Z215" s="3"/>
      <c r="AA215" s="3"/>
      <c r="AB215" s="3"/>
      <c r="AC215" s="3"/>
      <c r="AD215" s="3"/>
    </row>
    <row r="216" spans="1:30" ht="15.75" customHeight="1">
      <c r="A216" s="6"/>
      <c r="B216" s="6"/>
      <c r="C216" s="6"/>
      <c r="D216" s="6"/>
      <c r="E216" s="6"/>
      <c r="F216" s="6"/>
      <c r="G216" s="6"/>
      <c r="H216" s="6"/>
      <c r="I216" s="6"/>
      <c r="J216" s="6"/>
      <c r="K216" s="18"/>
      <c r="L216" s="6"/>
      <c r="M216" s="6"/>
      <c r="N216" s="6"/>
      <c r="O216" s="6"/>
      <c r="P216" s="6"/>
      <c r="Q216" s="6"/>
      <c r="R216" s="6"/>
      <c r="S216" s="6"/>
      <c r="T216" s="6"/>
      <c r="U216" s="6"/>
      <c r="V216" s="19"/>
      <c r="W216" s="20"/>
      <c r="X216" s="6"/>
      <c r="Y216" s="6"/>
      <c r="Z216" s="6"/>
      <c r="AA216" s="6"/>
      <c r="AB216" s="6"/>
      <c r="AC216" s="6"/>
      <c r="AD216" s="6"/>
    </row>
    <row r="217" spans="1:30" ht="15.75" customHeight="1">
      <c r="A217" s="3"/>
      <c r="B217" s="3"/>
      <c r="C217" s="3"/>
      <c r="D217" s="3"/>
      <c r="E217" s="3"/>
      <c r="F217" s="3"/>
      <c r="G217" s="3"/>
      <c r="H217" s="6"/>
      <c r="I217" s="6"/>
      <c r="J217" s="6"/>
      <c r="K217" s="18"/>
      <c r="L217" s="6"/>
      <c r="M217" s="6"/>
      <c r="N217" s="6"/>
      <c r="O217" s="6"/>
      <c r="P217" s="6"/>
      <c r="Q217" s="6"/>
      <c r="R217" s="6"/>
      <c r="S217" s="6"/>
      <c r="T217" s="6"/>
      <c r="U217" s="6"/>
      <c r="V217" s="19"/>
      <c r="W217" s="20"/>
      <c r="X217" s="6"/>
      <c r="Y217" s="6"/>
      <c r="Z217" s="6"/>
      <c r="AA217" s="6"/>
      <c r="AB217" s="6"/>
      <c r="AC217" s="6"/>
      <c r="AD217" s="6"/>
    </row>
    <row r="218" spans="1:30" ht="15.75" customHeight="1">
      <c r="A218" s="3"/>
      <c r="B218" s="3"/>
      <c r="C218" s="3"/>
      <c r="D218" s="3"/>
      <c r="E218" s="3"/>
      <c r="F218" s="3"/>
      <c r="G218" s="3"/>
      <c r="H218" s="3"/>
      <c r="I218" s="3"/>
      <c r="J218" s="3"/>
      <c r="K218" s="3"/>
      <c r="L218" s="3"/>
      <c r="M218" s="3"/>
      <c r="N218" s="3"/>
      <c r="O218" s="3"/>
      <c r="P218" s="3"/>
      <c r="Q218" s="3"/>
      <c r="R218" s="3"/>
      <c r="S218" s="3"/>
      <c r="T218" s="3"/>
      <c r="U218" s="3"/>
      <c r="V218" s="4"/>
      <c r="W218" s="3"/>
      <c r="X218" s="3"/>
      <c r="Y218" s="3"/>
      <c r="Z218" s="3"/>
      <c r="AA218" s="4"/>
      <c r="AB218" s="3"/>
      <c r="AC218" s="3"/>
      <c r="AD218" s="3"/>
    </row>
    <row r="219" spans="1:30" ht="15.75" customHeight="1">
      <c r="A219" s="3"/>
      <c r="B219" s="3"/>
      <c r="C219" s="3"/>
      <c r="D219" s="3"/>
      <c r="E219" s="3"/>
      <c r="F219" s="3"/>
      <c r="G219" s="3"/>
      <c r="H219" s="3"/>
      <c r="I219" s="3"/>
      <c r="J219" s="3"/>
      <c r="K219" s="3"/>
      <c r="L219" s="22"/>
      <c r="M219" s="3"/>
      <c r="N219" s="3"/>
      <c r="O219" s="3"/>
      <c r="P219" s="3"/>
      <c r="Q219" s="3"/>
      <c r="R219" s="3"/>
      <c r="S219" s="3"/>
      <c r="T219" s="3"/>
      <c r="U219" s="3"/>
      <c r="V219" s="4"/>
      <c r="W219" s="3"/>
      <c r="X219" s="3"/>
      <c r="Y219" s="3"/>
      <c r="Z219" s="3"/>
      <c r="AA219" s="4"/>
      <c r="AB219" s="3"/>
      <c r="AC219" s="3"/>
      <c r="AD219" s="3"/>
    </row>
    <row r="220" spans="1:30" ht="15.75" customHeight="1">
      <c r="A220" s="3"/>
      <c r="B220" s="3"/>
      <c r="C220" s="3"/>
      <c r="D220" s="3"/>
      <c r="E220" s="3"/>
      <c r="F220" s="3"/>
      <c r="G220" s="3"/>
      <c r="H220" s="3"/>
      <c r="I220" s="3"/>
      <c r="J220" s="3"/>
      <c r="K220" s="3"/>
      <c r="L220" s="22"/>
      <c r="M220" s="3"/>
      <c r="N220" s="3"/>
      <c r="O220" s="3"/>
      <c r="P220" s="3"/>
      <c r="Q220" s="3"/>
      <c r="R220" s="3"/>
      <c r="S220" s="3"/>
      <c r="T220" s="3"/>
      <c r="U220" s="3"/>
      <c r="V220" s="4"/>
      <c r="W220" s="3"/>
      <c r="X220" s="3"/>
      <c r="Y220" s="3"/>
      <c r="Z220" s="3"/>
      <c r="AA220" s="4"/>
      <c r="AB220" s="3"/>
      <c r="AC220" s="3"/>
      <c r="AD220" s="3"/>
    </row>
    <row r="221" spans="1:30" ht="15.75" customHeight="1">
      <c r="A221" s="3"/>
      <c r="B221" s="3"/>
      <c r="C221" s="3"/>
      <c r="D221" s="3"/>
      <c r="E221" s="3"/>
      <c r="F221" s="3"/>
      <c r="G221" s="3"/>
      <c r="H221" s="3"/>
      <c r="I221" s="3"/>
      <c r="J221" s="3"/>
      <c r="K221" s="3"/>
      <c r="L221" s="3"/>
      <c r="M221" s="3"/>
      <c r="N221" s="3"/>
      <c r="O221" s="3"/>
      <c r="P221" s="3"/>
      <c r="Q221" s="3"/>
      <c r="R221" s="3"/>
      <c r="S221" s="3"/>
      <c r="T221" s="21"/>
      <c r="U221" s="3"/>
      <c r="V221" s="4"/>
      <c r="W221" s="3"/>
      <c r="X221" s="3"/>
      <c r="Y221" s="3"/>
      <c r="Z221" s="3"/>
      <c r="AA221" s="3"/>
      <c r="AB221" s="3"/>
      <c r="AC221" s="3"/>
      <c r="AD221" s="3"/>
    </row>
    <row r="222" spans="1:30" ht="15.75" customHeight="1">
      <c r="A222" s="3"/>
      <c r="B222" s="3"/>
      <c r="C222" s="3"/>
      <c r="D222" s="3"/>
      <c r="E222" s="3"/>
      <c r="F222" s="3"/>
      <c r="G222" s="3"/>
      <c r="H222" s="3"/>
      <c r="I222" s="3"/>
      <c r="J222" s="3"/>
      <c r="K222" s="3"/>
      <c r="L222" s="22"/>
      <c r="M222" s="3"/>
      <c r="N222" s="3"/>
      <c r="O222" s="3"/>
      <c r="P222" s="3"/>
      <c r="Q222" s="3"/>
      <c r="R222" s="3"/>
      <c r="S222" s="3"/>
      <c r="T222" s="3"/>
      <c r="U222" s="3"/>
      <c r="V222" s="4"/>
      <c r="W222" s="3"/>
      <c r="X222" s="3"/>
      <c r="Y222" s="3"/>
      <c r="Z222" s="3"/>
      <c r="AA222" s="4"/>
      <c r="AB222" s="3"/>
      <c r="AC222" s="3"/>
      <c r="AD222" s="3"/>
    </row>
    <row r="223" spans="1:30" ht="15.75" customHeight="1">
      <c r="A223" s="3"/>
      <c r="B223" s="3"/>
      <c r="C223" s="3"/>
      <c r="D223" s="3"/>
      <c r="E223" s="3"/>
      <c r="F223" s="3"/>
      <c r="G223" s="3"/>
      <c r="H223" s="3"/>
      <c r="I223" s="3"/>
      <c r="J223" s="3"/>
      <c r="K223" s="3"/>
      <c r="L223" s="3"/>
      <c r="M223" s="3"/>
      <c r="N223" s="3"/>
      <c r="O223" s="3"/>
      <c r="P223" s="3"/>
      <c r="Q223" s="3"/>
      <c r="R223" s="3"/>
      <c r="S223" s="3"/>
      <c r="T223" s="21"/>
      <c r="U223" s="3"/>
      <c r="V223" s="4"/>
      <c r="W223" s="3"/>
      <c r="X223" s="3"/>
      <c r="Y223" s="3"/>
      <c r="Z223" s="3"/>
      <c r="AA223" s="3"/>
      <c r="AB223" s="3"/>
      <c r="AC223" s="3"/>
      <c r="AD223" s="3"/>
    </row>
    <row r="224" spans="1:30" ht="15.75" customHeight="1">
      <c r="A224" s="3"/>
      <c r="B224" s="3"/>
      <c r="C224" s="3"/>
      <c r="D224" s="3"/>
      <c r="E224" s="3"/>
      <c r="F224" s="3"/>
      <c r="G224" s="3"/>
      <c r="H224" s="3"/>
      <c r="I224" s="3"/>
      <c r="J224" s="3"/>
      <c r="K224" s="3"/>
      <c r="L224" s="14"/>
      <c r="M224" s="3"/>
      <c r="N224" s="3"/>
      <c r="O224" s="3"/>
      <c r="P224" s="3"/>
      <c r="Q224" s="3"/>
      <c r="R224" s="3"/>
      <c r="S224" s="3"/>
      <c r="T224" s="3"/>
      <c r="U224" s="3"/>
      <c r="V224" s="4"/>
      <c r="W224" s="3"/>
      <c r="X224" s="4"/>
      <c r="Y224" s="3"/>
      <c r="Z224" s="3"/>
      <c r="AA224" s="4"/>
      <c r="AB224" s="3"/>
      <c r="AC224" s="3"/>
      <c r="AD224" s="3"/>
    </row>
    <row r="225" spans="1:30" ht="15.75" customHeight="1">
      <c r="A225" s="3"/>
      <c r="B225" s="3"/>
      <c r="C225" s="3"/>
      <c r="D225" s="3"/>
      <c r="E225" s="3"/>
      <c r="F225" s="3"/>
      <c r="G225" s="3"/>
      <c r="H225" s="3"/>
      <c r="I225" s="3"/>
      <c r="J225" s="3"/>
      <c r="K225" s="3"/>
      <c r="L225" s="3"/>
      <c r="M225" s="3"/>
      <c r="N225" s="3"/>
      <c r="O225" s="3"/>
      <c r="P225" s="3"/>
      <c r="Q225" s="3"/>
      <c r="R225" s="3"/>
      <c r="S225" s="3"/>
      <c r="T225" s="3"/>
      <c r="U225" s="3"/>
      <c r="V225" s="4"/>
      <c r="W225" s="3"/>
      <c r="X225" s="3"/>
      <c r="Y225" s="3"/>
      <c r="Z225" s="3"/>
      <c r="AA225" s="4"/>
      <c r="AB225" s="3"/>
      <c r="AC225" s="3"/>
      <c r="AD225" s="3"/>
    </row>
    <row r="226" spans="1:30" ht="15.75" customHeight="1">
      <c r="A226" s="3"/>
      <c r="B226" s="3"/>
      <c r="C226" s="3"/>
      <c r="D226" s="3"/>
      <c r="E226" s="3"/>
      <c r="F226" s="3"/>
      <c r="G226" s="3"/>
      <c r="H226" s="3"/>
      <c r="I226" s="3"/>
      <c r="J226" s="3"/>
      <c r="K226" s="3"/>
      <c r="L226" s="3"/>
      <c r="M226" s="3"/>
      <c r="N226" s="3"/>
      <c r="O226" s="3"/>
      <c r="P226" s="3"/>
      <c r="Q226" s="3"/>
      <c r="R226" s="3"/>
      <c r="S226" s="3"/>
      <c r="T226" s="3"/>
      <c r="U226" s="3"/>
      <c r="V226" s="4"/>
      <c r="W226" s="3"/>
      <c r="X226" s="3"/>
      <c r="Y226" s="3"/>
      <c r="Z226" s="3"/>
      <c r="AA226" s="4"/>
      <c r="AB226" s="3"/>
      <c r="AC226" s="3"/>
      <c r="AD226" s="3"/>
    </row>
    <row r="227" spans="1:30" ht="15.75" customHeight="1">
      <c r="A227" s="3"/>
      <c r="B227" s="3"/>
      <c r="C227" s="3"/>
      <c r="D227" s="3"/>
      <c r="E227" s="3"/>
      <c r="F227" s="3"/>
      <c r="G227" s="3"/>
      <c r="H227" s="3"/>
      <c r="I227" s="3"/>
      <c r="J227" s="3"/>
      <c r="K227" s="3"/>
      <c r="L227" s="3"/>
      <c r="M227" s="3"/>
      <c r="N227" s="3"/>
      <c r="O227" s="3"/>
      <c r="P227" s="3"/>
      <c r="Q227" s="3"/>
      <c r="R227" s="3"/>
      <c r="S227" s="3"/>
      <c r="T227" s="3"/>
      <c r="U227" s="3"/>
      <c r="V227" s="4"/>
      <c r="W227" s="3"/>
      <c r="X227" s="3"/>
      <c r="Y227" s="3"/>
      <c r="Z227" s="3"/>
      <c r="AA227" s="4"/>
      <c r="AB227" s="3"/>
      <c r="AC227" s="3"/>
      <c r="AD227" s="3"/>
    </row>
    <row r="228" spans="1:30" ht="15.75" customHeight="1">
      <c r="A228" s="6"/>
      <c r="B228" s="6"/>
      <c r="C228" s="6"/>
      <c r="D228" s="6"/>
      <c r="E228" s="6"/>
      <c r="F228" s="6"/>
      <c r="G228" s="6"/>
      <c r="H228" s="3"/>
      <c r="I228" s="3"/>
      <c r="J228" s="3"/>
      <c r="K228" s="3"/>
      <c r="L228" s="3"/>
      <c r="M228" s="3"/>
      <c r="N228" s="3"/>
      <c r="O228" s="3"/>
      <c r="P228" s="3"/>
      <c r="Q228" s="3"/>
      <c r="R228" s="3"/>
      <c r="S228" s="3"/>
      <c r="T228" s="21"/>
      <c r="U228" s="3"/>
      <c r="V228" s="4"/>
      <c r="W228" s="3"/>
      <c r="X228" s="3"/>
      <c r="Y228" s="3"/>
      <c r="Z228" s="3"/>
      <c r="AA228" s="4"/>
      <c r="AB228" s="3"/>
      <c r="AC228" s="3"/>
      <c r="AD228" s="3"/>
    </row>
    <row r="229" spans="1:30" ht="15.75" customHeight="1">
      <c r="A229" s="6"/>
      <c r="B229" s="6"/>
      <c r="C229" s="6"/>
      <c r="D229" s="6"/>
      <c r="E229" s="6"/>
      <c r="F229" s="6"/>
      <c r="G229" s="6"/>
      <c r="H229" s="6"/>
      <c r="I229" s="6"/>
      <c r="J229" s="6"/>
      <c r="K229" s="18"/>
      <c r="L229" s="6"/>
      <c r="M229" s="6"/>
      <c r="N229" s="6"/>
      <c r="O229" s="6"/>
      <c r="P229" s="6"/>
      <c r="Q229" s="6"/>
      <c r="R229" s="6"/>
      <c r="S229" s="6"/>
      <c r="T229" s="6"/>
      <c r="U229" s="6"/>
      <c r="V229" s="19"/>
      <c r="W229" s="20"/>
      <c r="X229" s="6"/>
      <c r="Y229" s="6"/>
      <c r="Z229" s="6"/>
      <c r="AA229" s="6"/>
      <c r="AB229" s="6"/>
      <c r="AC229" s="6"/>
      <c r="AD229" s="6"/>
    </row>
    <row r="230" spans="1:30" ht="15.75" customHeight="1">
      <c r="A230" s="3"/>
      <c r="B230" s="3"/>
      <c r="C230" s="3"/>
      <c r="D230" s="3"/>
      <c r="E230" s="3"/>
      <c r="F230" s="3"/>
      <c r="G230" s="3"/>
      <c r="H230" s="6"/>
      <c r="I230" s="6"/>
      <c r="J230" s="6"/>
      <c r="K230" s="18"/>
      <c r="L230" s="6"/>
      <c r="M230" s="6"/>
      <c r="N230" s="6"/>
      <c r="O230" s="6"/>
      <c r="P230" s="6"/>
      <c r="Q230" s="6"/>
      <c r="R230" s="6"/>
      <c r="S230" s="6"/>
      <c r="T230" s="6"/>
      <c r="U230" s="6"/>
      <c r="V230" s="19"/>
      <c r="W230" s="20"/>
      <c r="X230" s="6"/>
      <c r="Y230" s="6"/>
      <c r="Z230" s="6"/>
      <c r="AA230" s="6"/>
      <c r="AB230" s="6"/>
      <c r="AC230" s="6"/>
      <c r="AD230" s="6"/>
    </row>
    <row r="231" spans="1:30" ht="15.75" customHeight="1">
      <c r="A231" s="3"/>
      <c r="B231" s="3"/>
      <c r="C231" s="3"/>
      <c r="D231" s="3"/>
      <c r="E231" s="3"/>
      <c r="F231" s="3"/>
      <c r="G231" s="3"/>
      <c r="H231" s="3"/>
      <c r="I231" s="3"/>
      <c r="J231" s="3"/>
      <c r="K231" s="3"/>
      <c r="L231" s="3"/>
      <c r="M231" s="3"/>
      <c r="N231" s="3"/>
      <c r="O231" s="3"/>
      <c r="P231" s="3"/>
      <c r="Q231" s="3"/>
      <c r="R231" s="3"/>
      <c r="S231" s="3"/>
      <c r="T231" s="3"/>
      <c r="U231" s="3"/>
      <c r="V231" s="4"/>
      <c r="W231" s="3"/>
      <c r="X231" s="3"/>
      <c r="Y231" s="3"/>
      <c r="Z231" s="3"/>
      <c r="AA231" s="3"/>
      <c r="AB231" s="3"/>
      <c r="AC231" s="3"/>
      <c r="AD231" s="3"/>
    </row>
    <row r="232" spans="1:30" ht="15.75" customHeight="1">
      <c r="A232" s="3"/>
      <c r="B232" s="3"/>
      <c r="C232" s="3"/>
      <c r="D232" s="3"/>
      <c r="E232" s="3"/>
      <c r="F232" s="3"/>
      <c r="G232" s="3"/>
      <c r="H232" s="3"/>
      <c r="I232" s="3"/>
      <c r="J232" s="3"/>
      <c r="K232" s="3"/>
      <c r="L232" s="3"/>
      <c r="M232" s="3"/>
      <c r="N232" s="3"/>
      <c r="O232" s="3"/>
      <c r="P232" s="3"/>
      <c r="Q232" s="3"/>
      <c r="R232" s="3"/>
      <c r="S232" s="3"/>
      <c r="T232" s="3"/>
      <c r="U232" s="3"/>
      <c r="V232" s="4"/>
      <c r="W232" s="3"/>
      <c r="X232" s="4"/>
      <c r="Y232" s="3"/>
      <c r="Z232" s="3"/>
      <c r="AA232" s="3"/>
      <c r="AB232" s="3"/>
      <c r="AC232" s="3"/>
      <c r="AD232" s="3"/>
    </row>
    <row r="233" spans="1:30" ht="15.75" customHeight="1">
      <c r="A233" s="3"/>
      <c r="B233" s="3"/>
      <c r="C233" s="3"/>
      <c r="D233" s="3"/>
      <c r="E233" s="3"/>
      <c r="F233" s="3"/>
      <c r="G233" s="3"/>
      <c r="H233" s="3"/>
      <c r="I233" s="3"/>
      <c r="J233" s="3"/>
      <c r="K233" s="3"/>
      <c r="L233" s="3"/>
      <c r="M233" s="3"/>
      <c r="N233" s="3"/>
      <c r="O233" s="3"/>
      <c r="P233" s="3"/>
      <c r="Q233" s="3"/>
      <c r="R233" s="3"/>
      <c r="S233" s="3"/>
      <c r="T233" s="3"/>
      <c r="U233" s="3"/>
      <c r="V233" s="4"/>
      <c r="W233" s="3"/>
      <c r="X233" s="4"/>
      <c r="Y233" s="3"/>
      <c r="Z233" s="3"/>
      <c r="AA233" s="3"/>
      <c r="AB233" s="3"/>
      <c r="AC233" s="3"/>
      <c r="AD233" s="3"/>
    </row>
    <row r="234" spans="1:30" ht="15.75" customHeight="1">
      <c r="A234" s="3"/>
      <c r="B234" s="3"/>
      <c r="C234" s="3"/>
      <c r="D234" s="3"/>
      <c r="E234" s="3"/>
      <c r="F234" s="3"/>
      <c r="G234" s="3"/>
      <c r="H234" s="3"/>
      <c r="I234" s="3"/>
      <c r="J234" s="3"/>
      <c r="K234" s="3"/>
      <c r="L234" s="3"/>
      <c r="M234" s="3"/>
      <c r="N234" s="3"/>
      <c r="O234" s="3"/>
      <c r="P234" s="3"/>
      <c r="Q234" s="3"/>
      <c r="R234" s="3"/>
      <c r="S234" s="3"/>
      <c r="T234" s="3"/>
      <c r="U234" s="3"/>
      <c r="V234" s="4"/>
      <c r="W234" s="3"/>
      <c r="X234" s="4"/>
      <c r="Y234" s="3"/>
      <c r="Z234" s="3"/>
      <c r="AA234" s="3"/>
      <c r="AB234" s="3"/>
      <c r="AC234" s="3"/>
      <c r="AD234" s="3"/>
    </row>
    <row r="235" spans="1:30" ht="15.75" customHeight="1">
      <c r="A235" s="3"/>
      <c r="B235" s="3"/>
      <c r="C235" s="3"/>
      <c r="D235" s="3"/>
      <c r="E235" s="3"/>
      <c r="F235" s="3"/>
      <c r="G235" s="3"/>
      <c r="H235" s="3"/>
      <c r="I235" s="3"/>
      <c r="J235" s="3"/>
      <c r="K235" s="3"/>
      <c r="L235" s="3"/>
      <c r="M235" s="3"/>
      <c r="N235" s="3"/>
      <c r="O235" s="3"/>
      <c r="P235" s="3"/>
      <c r="Q235" s="3"/>
      <c r="R235" s="3"/>
      <c r="S235" s="3"/>
      <c r="T235" s="3"/>
      <c r="U235" s="3"/>
      <c r="V235" s="4"/>
      <c r="W235" s="3"/>
      <c r="X235" s="4"/>
      <c r="Y235" s="3"/>
      <c r="Z235" s="3"/>
      <c r="AA235" s="3"/>
      <c r="AB235" s="3"/>
      <c r="AC235" s="3"/>
      <c r="AD235" s="3"/>
    </row>
    <row r="236" spans="1:30" ht="15.75" customHeight="1">
      <c r="A236" s="3"/>
      <c r="B236" s="3"/>
      <c r="C236" s="3"/>
      <c r="D236" s="3"/>
      <c r="E236" s="3"/>
      <c r="F236" s="3"/>
      <c r="G236" s="3"/>
      <c r="H236" s="3"/>
      <c r="I236" s="3"/>
      <c r="J236" s="3"/>
      <c r="K236" s="3"/>
      <c r="L236" s="3"/>
      <c r="M236" s="3"/>
      <c r="N236" s="3"/>
      <c r="O236" s="3"/>
      <c r="P236" s="3"/>
      <c r="Q236" s="3"/>
      <c r="R236" s="3"/>
      <c r="S236" s="3"/>
      <c r="T236" s="3"/>
      <c r="U236" s="3"/>
      <c r="V236" s="4"/>
      <c r="W236" s="3"/>
      <c r="X236" s="3"/>
      <c r="Y236" s="3"/>
      <c r="Z236" s="3"/>
      <c r="AA236" s="4"/>
      <c r="AB236" s="3"/>
      <c r="AC236" s="3"/>
      <c r="AD236" s="3"/>
    </row>
    <row r="237" spans="1:30" ht="15.75" customHeight="1">
      <c r="A237" s="3"/>
      <c r="B237" s="3"/>
      <c r="C237" s="3"/>
      <c r="D237" s="3"/>
      <c r="E237" s="3"/>
      <c r="F237" s="3"/>
      <c r="G237" s="3"/>
      <c r="H237" s="3"/>
      <c r="I237" s="3"/>
      <c r="J237" s="3"/>
      <c r="K237" s="3"/>
      <c r="L237" s="3"/>
      <c r="M237" s="3"/>
      <c r="N237" s="3"/>
      <c r="O237" s="3"/>
      <c r="P237" s="3"/>
      <c r="Q237" s="3"/>
      <c r="R237" s="3"/>
      <c r="S237" s="3"/>
      <c r="T237" s="3"/>
      <c r="U237" s="3"/>
      <c r="V237" s="4"/>
      <c r="W237" s="3"/>
      <c r="X237" s="3"/>
      <c r="Y237" s="3"/>
      <c r="Z237" s="3"/>
      <c r="AA237" s="4"/>
      <c r="AB237" s="3"/>
      <c r="AC237" s="3"/>
      <c r="AD237" s="3"/>
    </row>
    <row r="238" spans="1:30" ht="15.75" customHeight="1">
      <c r="A238" s="3"/>
      <c r="B238" s="3"/>
      <c r="C238" s="3"/>
      <c r="D238" s="3"/>
      <c r="E238" s="3"/>
      <c r="F238" s="3"/>
      <c r="G238" s="3"/>
      <c r="H238" s="3"/>
      <c r="I238" s="3"/>
      <c r="J238" s="3"/>
      <c r="K238" s="3"/>
      <c r="L238" s="3"/>
      <c r="M238" s="3"/>
      <c r="N238" s="3"/>
      <c r="O238" s="3"/>
      <c r="P238" s="3"/>
      <c r="Q238" s="3"/>
      <c r="R238" s="3"/>
      <c r="S238" s="3"/>
      <c r="T238" s="3"/>
      <c r="U238" s="3"/>
      <c r="V238" s="4"/>
      <c r="W238" s="3"/>
      <c r="X238" s="3"/>
      <c r="Y238" s="3"/>
      <c r="Z238" s="3"/>
      <c r="AA238" s="4"/>
      <c r="AB238" s="3"/>
      <c r="AC238" s="3"/>
      <c r="AD238" s="3"/>
    </row>
    <row r="239" spans="1:30" ht="15.75" customHeight="1">
      <c r="A239" s="3"/>
      <c r="B239" s="3"/>
      <c r="C239" s="3"/>
      <c r="D239" s="3"/>
      <c r="E239" s="3"/>
      <c r="F239" s="3"/>
      <c r="G239" s="3"/>
      <c r="H239" s="3"/>
      <c r="I239" s="3"/>
      <c r="J239" s="3"/>
      <c r="K239" s="3"/>
      <c r="L239" s="3"/>
      <c r="M239" s="3"/>
      <c r="N239" s="3"/>
      <c r="O239" s="3"/>
      <c r="P239" s="3"/>
      <c r="Q239" s="3"/>
      <c r="R239" s="3"/>
      <c r="S239" s="3"/>
      <c r="T239" s="3"/>
      <c r="U239" s="3"/>
      <c r="V239" s="4"/>
      <c r="W239" s="3"/>
      <c r="X239" s="3"/>
      <c r="Y239" s="3"/>
      <c r="Z239" s="3"/>
      <c r="AA239" s="4"/>
      <c r="AB239" s="3"/>
      <c r="AC239" s="3"/>
      <c r="AD239" s="3"/>
    </row>
    <row r="240" spans="1:30" ht="15.75" customHeight="1">
      <c r="A240" s="3"/>
      <c r="B240" s="3"/>
      <c r="C240" s="3"/>
      <c r="D240" s="3"/>
      <c r="E240" s="3"/>
      <c r="F240" s="3"/>
      <c r="G240" s="3"/>
      <c r="H240" s="3"/>
      <c r="I240" s="3"/>
      <c r="J240" s="3"/>
      <c r="K240" s="3"/>
      <c r="L240" s="9"/>
      <c r="M240" s="3"/>
      <c r="N240" s="3"/>
      <c r="O240" s="3"/>
      <c r="P240" s="3"/>
      <c r="Q240" s="3"/>
      <c r="R240" s="3"/>
      <c r="S240" s="3"/>
      <c r="T240" s="3"/>
      <c r="U240" s="3"/>
      <c r="V240" s="3"/>
      <c r="W240" s="3"/>
      <c r="X240" s="3"/>
      <c r="Y240" s="3"/>
      <c r="Z240" s="3"/>
      <c r="AA240" s="3"/>
      <c r="AB240" s="3"/>
      <c r="AC240" s="3"/>
      <c r="AD240" s="3"/>
    </row>
    <row r="241" spans="1:30" ht="71.25" customHeight="1">
      <c r="A241" s="3"/>
      <c r="B241" s="3"/>
      <c r="C241" s="3"/>
      <c r="D241" s="3"/>
      <c r="E241" s="3"/>
      <c r="F241" s="3"/>
      <c r="G241" s="3"/>
      <c r="H241" s="3"/>
      <c r="I241" s="3"/>
      <c r="J241" s="3"/>
      <c r="K241" s="3"/>
      <c r="L241" s="3"/>
      <c r="M241" s="3"/>
      <c r="N241" s="3"/>
      <c r="O241" s="3"/>
      <c r="P241" s="3"/>
      <c r="Q241" s="3"/>
      <c r="R241" s="3"/>
      <c r="S241" s="3"/>
      <c r="T241" s="3"/>
      <c r="U241" s="3"/>
      <c r="V241" s="4"/>
      <c r="W241" s="3"/>
      <c r="X241" s="3"/>
      <c r="Y241" s="3"/>
      <c r="Z241" s="3"/>
      <c r="AA241" s="4"/>
      <c r="AB241" s="3"/>
      <c r="AC241" s="3"/>
      <c r="AD241" s="3"/>
    </row>
    <row r="242" spans="1:30" ht="15.75" customHeight="1">
      <c r="A242" s="3"/>
      <c r="B242" s="3"/>
      <c r="C242" s="3"/>
      <c r="D242" s="3"/>
      <c r="E242" s="3"/>
      <c r="F242" s="3"/>
      <c r="G242" s="3"/>
      <c r="H242" s="3"/>
      <c r="I242" s="3"/>
      <c r="J242" s="3"/>
      <c r="K242" s="3"/>
      <c r="L242" s="37"/>
      <c r="M242" s="3"/>
      <c r="N242" s="3"/>
      <c r="O242" s="3"/>
      <c r="P242" s="3"/>
      <c r="Q242" s="3"/>
      <c r="R242" s="3"/>
      <c r="S242" s="3"/>
      <c r="T242" s="3"/>
      <c r="U242" s="3"/>
      <c r="V242" s="4"/>
      <c r="W242" s="3"/>
      <c r="X242" s="3"/>
      <c r="Y242" s="3"/>
      <c r="Z242" s="3"/>
      <c r="AA242" s="4"/>
      <c r="AB242" s="3"/>
      <c r="AC242" s="3"/>
      <c r="AD242" s="3"/>
    </row>
    <row r="243" spans="1:30" ht="15.75" customHeight="1">
      <c r="A243" s="3"/>
      <c r="B243" s="3"/>
      <c r="C243" s="3"/>
      <c r="D243" s="3"/>
      <c r="E243" s="3"/>
      <c r="F243" s="3"/>
      <c r="G243" s="3"/>
      <c r="H243" s="3"/>
      <c r="I243" s="3"/>
      <c r="J243" s="3"/>
      <c r="K243" s="3"/>
      <c r="L243" s="3"/>
      <c r="M243" s="3"/>
      <c r="N243" s="3"/>
      <c r="O243" s="3"/>
      <c r="P243" s="3"/>
      <c r="Q243" s="3"/>
      <c r="R243" s="3"/>
      <c r="S243" s="3"/>
      <c r="T243" s="3"/>
      <c r="U243" s="3"/>
      <c r="V243" s="4"/>
      <c r="W243" s="3"/>
      <c r="X243" s="12"/>
      <c r="Y243" s="3"/>
      <c r="Z243" s="3"/>
      <c r="AA243" s="3"/>
      <c r="AB243" s="3"/>
      <c r="AC243" s="3"/>
      <c r="AD243" s="3"/>
    </row>
    <row r="244" spans="1:30" ht="15.75" customHeight="1">
      <c r="A244" s="3"/>
      <c r="B244" s="3"/>
      <c r="C244" s="3"/>
      <c r="D244" s="3"/>
      <c r="E244" s="3"/>
      <c r="F244" s="3"/>
      <c r="G244" s="3"/>
      <c r="H244" s="3"/>
      <c r="I244" s="3"/>
      <c r="J244" s="3"/>
      <c r="K244" s="3"/>
      <c r="L244" s="3"/>
      <c r="M244" s="3"/>
      <c r="N244" s="3"/>
      <c r="O244" s="3"/>
      <c r="P244" s="3"/>
      <c r="Q244" s="3"/>
      <c r="R244" s="3"/>
      <c r="S244" s="3"/>
      <c r="T244" s="3"/>
      <c r="U244" s="3"/>
      <c r="V244" s="4"/>
      <c r="W244" s="3"/>
      <c r="X244" s="3"/>
      <c r="Y244" s="3"/>
      <c r="Z244" s="3"/>
      <c r="AA244" s="4"/>
      <c r="AB244" s="3"/>
      <c r="AC244" s="3"/>
      <c r="AD244" s="3"/>
    </row>
    <row r="245" spans="1:30" ht="15.75" customHeight="1">
      <c r="A245" s="3"/>
      <c r="B245" s="3"/>
      <c r="C245" s="3"/>
      <c r="D245" s="3"/>
      <c r="E245" s="3"/>
      <c r="F245" s="3"/>
      <c r="G245" s="3"/>
      <c r="H245" s="3"/>
      <c r="I245" s="3"/>
      <c r="J245" s="3"/>
      <c r="K245" s="3"/>
      <c r="L245" s="3"/>
      <c r="M245" s="3"/>
      <c r="N245" s="3"/>
      <c r="O245" s="3"/>
      <c r="P245" s="3"/>
      <c r="Q245" s="3"/>
      <c r="R245" s="3"/>
      <c r="S245" s="3"/>
      <c r="T245" s="3"/>
      <c r="U245" s="3"/>
      <c r="V245" s="4"/>
      <c r="W245" s="3"/>
      <c r="X245" s="3"/>
      <c r="Y245" s="3"/>
      <c r="Z245" s="3"/>
      <c r="AA245" s="4"/>
      <c r="AB245" s="3"/>
      <c r="AC245" s="3"/>
      <c r="AD245" s="3"/>
    </row>
    <row r="246" spans="1:30" ht="15.75" customHeight="1">
      <c r="A246" s="3"/>
      <c r="B246" s="3"/>
      <c r="C246" s="3"/>
      <c r="D246" s="3"/>
      <c r="E246" s="3"/>
      <c r="F246" s="3"/>
      <c r="G246" s="3"/>
      <c r="H246" s="3"/>
      <c r="I246" s="3"/>
      <c r="J246" s="3"/>
      <c r="K246" s="3"/>
      <c r="L246" s="3"/>
      <c r="M246" s="3"/>
      <c r="N246" s="3"/>
      <c r="O246" s="3"/>
      <c r="P246" s="3"/>
      <c r="Q246" s="3"/>
      <c r="R246" s="3"/>
      <c r="S246" s="3"/>
      <c r="T246" s="3"/>
      <c r="U246" s="3"/>
      <c r="V246" s="4"/>
      <c r="W246" s="3"/>
      <c r="X246" s="3"/>
      <c r="Y246" s="3"/>
      <c r="Z246" s="3"/>
      <c r="AA246" s="4"/>
      <c r="AB246" s="3"/>
      <c r="AC246" s="3"/>
      <c r="AD246" s="3"/>
    </row>
    <row r="247" spans="1:30" ht="15.75" customHeight="1">
      <c r="A247" s="3"/>
      <c r="B247" s="3"/>
      <c r="C247" s="3"/>
      <c r="D247" s="3"/>
      <c r="E247" s="3"/>
      <c r="F247" s="3"/>
      <c r="G247" s="3"/>
      <c r="H247" s="3"/>
      <c r="I247" s="3"/>
      <c r="J247" s="3"/>
      <c r="K247" s="3"/>
      <c r="L247" s="3"/>
      <c r="M247" s="3"/>
      <c r="N247" s="3"/>
      <c r="O247" s="3"/>
      <c r="P247" s="3"/>
      <c r="Q247" s="3"/>
      <c r="R247" s="3"/>
      <c r="S247" s="3"/>
      <c r="T247" s="3"/>
      <c r="U247" s="3"/>
      <c r="V247" s="4"/>
      <c r="W247" s="3"/>
      <c r="X247" s="3"/>
      <c r="Y247" s="3"/>
      <c r="Z247" s="3"/>
      <c r="AA247" s="4"/>
      <c r="AB247" s="3"/>
      <c r="AC247" s="3"/>
      <c r="AD247" s="3"/>
    </row>
    <row r="248" spans="1:30" ht="15.75" customHeight="1">
      <c r="A248" s="3"/>
      <c r="B248" s="3"/>
      <c r="C248" s="3"/>
      <c r="D248" s="3"/>
      <c r="E248" s="3"/>
      <c r="F248" s="3"/>
      <c r="G248" s="3"/>
      <c r="H248" s="3"/>
      <c r="I248" s="3"/>
      <c r="J248" s="3"/>
      <c r="K248" s="3"/>
      <c r="L248" s="3"/>
      <c r="M248" s="3"/>
      <c r="N248" s="3"/>
      <c r="O248" s="3"/>
      <c r="P248" s="3"/>
      <c r="Q248" s="3"/>
      <c r="R248" s="3"/>
      <c r="S248" s="3"/>
      <c r="T248" s="3"/>
      <c r="U248" s="3"/>
      <c r="V248" s="4"/>
      <c r="W248" s="3"/>
      <c r="X248" s="3"/>
      <c r="Y248" s="3"/>
      <c r="Z248" s="3"/>
      <c r="AA248" s="4"/>
      <c r="AB248" s="3"/>
      <c r="AC248" s="3"/>
      <c r="AD248" s="3"/>
    </row>
    <row r="249" spans="1:30" ht="15.75" customHeight="1">
      <c r="A249" s="3"/>
      <c r="B249" s="3"/>
      <c r="C249" s="3"/>
      <c r="D249" s="3"/>
      <c r="E249" s="3"/>
      <c r="F249" s="3"/>
      <c r="G249" s="3"/>
      <c r="H249" s="3"/>
      <c r="I249" s="3"/>
      <c r="J249" s="3"/>
      <c r="K249" s="3"/>
      <c r="L249" s="3"/>
      <c r="M249" s="3"/>
      <c r="N249" s="3"/>
      <c r="O249" s="3"/>
      <c r="P249" s="3"/>
      <c r="Q249" s="3"/>
      <c r="R249" s="3"/>
      <c r="S249" s="3"/>
      <c r="T249" s="3"/>
      <c r="U249" s="3"/>
      <c r="V249" s="4"/>
      <c r="W249" s="3"/>
      <c r="X249" s="3"/>
      <c r="Y249" s="3"/>
      <c r="Z249" s="3"/>
      <c r="AA249" s="4"/>
      <c r="AB249" s="3"/>
      <c r="AC249" s="3"/>
      <c r="AD249" s="3"/>
    </row>
    <row r="250" spans="1:30" ht="15.75" customHeight="1">
      <c r="A250" s="3"/>
      <c r="B250" s="3"/>
      <c r="C250" s="3"/>
      <c r="D250" s="3"/>
      <c r="E250" s="3"/>
      <c r="F250" s="3"/>
      <c r="G250" s="3"/>
      <c r="H250" s="3"/>
      <c r="I250" s="3"/>
      <c r="J250" s="3"/>
      <c r="K250" s="3"/>
      <c r="L250" s="3"/>
      <c r="M250" s="3"/>
      <c r="N250" s="3"/>
      <c r="O250" s="3"/>
      <c r="P250" s="3"/>
      <c r="Q250" s="3"/>
      <c r="R250" s="3"/>
      <c r="S250" s="3"/>
      <c r="T250" s="3"/>
      <c r="U250" s="3"/>
      <c r="V250" s="4"/>
      <c r="W250" s="3"/>
      <c r="X250" s="3"/>
      <c r="Y250" s="3"/>
      <c r="Z250" s="3"/>
      <c r="AA250" s="4"/>
      <c r="AB250" s="3"/>
      <c r="AC250" s="3"/>
      <c r="AD250" s="4"/>
    </row>
    <row r="251" spans="1:30" ht="15.75" customHeight="1">
      <c r="A251" s="3"/>
      <c r="B251" s="3"/>
      <c r="C251" s="3"/>
      <c r="D251" s="3"/>
      <c r="E251" s="3"/>
      <c r="F251" s="3"/>
      <c r="G251" s="3"/>
      <c r="H251" s="3"/>
      <c r="I251" s="3"/>
      <c r="J251" s="3"/>
      <c r="K251" s="29"/>
      <c r="L251" s="3"/>
      <c r="M251" s="3"/>
      <c r="N251" s="3"/>
      <c r="O251" s="3"/>
      <c r="P251" s="3"/>
      <c r="Q251" s="3"/>
      <c r="R251" s="3"/>
      <c r="S251" s="3"/>
      <c r="T251" s="3"/>
      <c r="U251" s="3"/>
      <c r="V251" s="4"/>
      <c r="W251" s="3"/>
      <c r="X251" s="3"/>
      <c r="Y251" s="3"/>
      <c r="Z251" s="3"/>
      <c r="AA251" s="3"/>
      <c r="AB251" s="3"/>
      <c r="AC251" s="3"/>
      <c r="AD251" s="3"/>
    </row>
    <row r="252" spans="1:30" ht="15.75" customHeight="1">
      <c r="A252" s="3"/>
      <c r="B252" s="3"/>
      <c r="C252" s="3"/>
      <c r="D252" s="3"/>
      <c r="E252" s="3"/>
      <c r="F252" s="3"/>
      <c r="G252" s="3"/>
      <c r="H252" s="3"/>
      <c r="I252" s="3"/>
      <c r="J252" s="3"/>
      <c r="K252" s="3"/>
      <c r="L252" s="3"/>
      <c r="M252" s="3"/>
      <c r="N252" s="3"/>
      <c r="O252" s="3"/>
      <c r="P252" s="3"/>
      <c r="Q252" s="3"/>
      <c r="R252" s="3"/>
      <c r="S252" s="3"/>
      <c r="T252" s="21"/>
      <c r="U252" s="3"/>
      <c r="V252" s="4"/>
      <c r="W252" s="3"/>
      <c r="X252" s="3"/>
      <c r="Y252" s="3"/>
      <c r="Z252" s="3"/>
      <c r="AA252" s="3"/>
      <c r="AB252" s="3"/>
      <c r="AC252" s="3"/>
      <c r="AD252" s="3"/>
    </row>
    <row r="253" spans="1:30" ht="15.75" customHeight="1">
      <c r="A253" s="3"/>
      <c r="B253" s="3"/>
      <c r="C253" s="3"/>
      <c r="D253" s="3"/>
      <c r="E253" s="3"/>
      <c r="F253" s="3"/>
      <c r="G253" s="3"/>
      <c r="H253" s="3"/>
      <c r="I253" s="3"/>
      <c r="J253" s="3"/>
      <c r="K253" s="3"/>
      <c r="L253" s="3"/>
      <c r="M253" s="3"/>
      <c r="N253" s="3"/>
      <c r="O253" s="3"/>
      <c r="P253" s="3"/>
      <c r="Q253" s="3"/>
      <c r="R253" s="3"/>
      <c r="S253" s="3"/>
      <c r="T253" s="21"/>
      <c r="U253" s="3"/>
      <c r="V253" s="4"/>
      <c r="W253" s="3"/>
      <c r="X253" s="3"/>
      <c r="Y253" s="3"/>
      <c r="Z253" s="3"/>
      <c r="AA253" s="4"/>
      <c r="AB253" s="3"/>
      <c r="AC253" s="3"/>
      <c r="AD253" s="3"/>
    </row>
    <row r="254" spans="1:30" ht="15.75" customHeight="1">
      <c r="A254" s="3"/>
      <c r="B254" s="3"/>
      <c r="C254" s="3"/>
      <c r="D254" s="3"/>
      <c r="E254" s="3"/>
      <c r="F254" s="3"/>
      <c r="G254" s="3"/>
      <c r="H254" s="3"/>
      <c r="I254" s="3"/>
      <c r="J254" s="3"/>
      <c r="K254" s="3"/>
      <c r="L254" s="3"/>
      <c r="M254" s="3"/>
      <c r="N254" s="3"/>
      <c r="O254" s="3"/>
      <c r="P254" s="3"/>
      <c r="Q254" s="3"/>
      <c r="R254" s="3"/>
      <c r="S254" s="3"/>
      <c r="T254" s="21"/>
      <c r="U254" s="3"/>
      <c r="V254" s="4"/>
      <c r="W254" s="3"/>
      <c r="X254" s="3"/>
      <c r="Y254" s="3"/>
      <c r="Z254" s="3"/>
      <c r="AA254" s="4"/>
      <c r="AB254" s="3"/>
      <c r="AC254" s="3"/>
      <c r="AD254" s="3"/>
    </row>
    <row r="255" spans="1:30" ht="15.75" customHeight="1">
      <c r="A255" s="3"/>
      <c r="B255" s="3"/>
      <c r="C255" s="3"/>
      <c r="D255" s="3"/>
      <c r="E255" s="3"/>
      <c r="F255" s="3"/>
      <c r="G255" s="3"/>
      <c r="H255" s="3"/>
      <c r="I255" s="3"/>
      <c r="J255" s="3"/>
      <c r="K255" s="3"/>
      <c r="L255" s="3"/>
      <c r="M255" s="3"/>
      <c r="N255" s="3"/>
      <c r="O255" s="3"/>
      <c r="P255" s="3"/>
      <c r="Q255" s="3"/>
      <c r="R255" s="3"/>
      <c r="S255" s="3"/>
      <c r="T255" s="21"/>
      <c r="U255" s="3"/>
      <c r="V255" s="4"/>
      <c r="W255" s="3"/>
      <c r="X255" s="3"/>
      <c r="Y255" s="3"/>
      <c r="Z255" s="3"/>
      <c r="AA255" s="4"/>
      <c r="AB255" s="3"/>
      <c r="AC255" s="3"/>
      <c r="AD255" s="3"/>
    </row>
    <row r="256" spans="1:30" ht="15.75" customHeight="1">
      <c r="A256" s="3"/>
      <c r="B256" s="3"/>
      <c r="C256" s="3"/>
      <c r="D256" s="3"/>
      <c r="E256" s="3"/>
      <c r="F256" s="3"/>
      <c r="G256" s="3"/>
      <c r="H256" s="3"/>
      <c r="I256" s="3"/>
      <c r="J256" s="3"/>
      <c r="K256" s="3"/>
      <c r="L256" s="3"/>
      <c r="M256" s="3"/>
      <c r="N256" s="3"/>
      <c r="O256" s="3"/>
      <c r="P256" s="3"/>
      <c r="Q256" s="3"/>
      <c r="R256" s="3"/>
      <c r="S256" s="3"/>
      <c r="T256" s="21"/>
      <c r="U256" s="3"/>
      <c r="V256" s="4"/>
      <c r="W256" s="3"/>
      <c r="X256" s="3"/>
      <c r="Y256" s="3"/>
      <c r="Z256" s="3"/>
      <c r="AA256" s="4"/>
      <c r="AB256" s="3"/>
      <c r="AC256" s="3"/>
      <c r="AD256" s="3"/>
    </row>
    <row r="257" spans="1:30" ht="15.75" customHeight="1">
      <c r="A257" s="3"/>
      <c r="B257" s="3"/>
      <c r="C257" s="3"/>
      <c r="D257" s="3"/>
      <c r="E257" s="3"/>
      <c r="F257" s="3"/>
      <c r="G257" s="3"/>
      <c r="H257" s="3"/>
      <c r="I257" s="3"/>
      <c r="J257" s="3"/>
      <c r="K257" s="3"/>
      <c r="L257" s="3"/>
      <c r="M257" s="3"/>
      <c r="N257" s="3"/>
      <c r="O257" s="3"/>
      <c r="P257" s="3"/>
      <c r="Q257" s="3"/>
      <c r="R257" s="3"/>
      <c r="S257" s="3"/>
      <c r="T257" s="21"/>
      <c r="U257" s="3"/>
      <c r="V257" s="4"/>
      <c r="W257" s="3"/>
      <c r="X257" s="3"/>
      <c r="Y257" s="3"/>
      <c r="Z257" s="3"/>
      <c r="AA257" s="4"/>
      <c r="AB257" s="3"/>
      <c r="AC257" s="3"/>
      <c r="AD257" s="3"/>
    </row>
    <row r="258" spans="1:30" ht="15.75" customHeight="1">
      <c r="A258" s="3"/>
      <c r="B258" s="3"/>
      <c r="C258" s="3"/>
      <c r="D258" s="3"/>
      <c r="E258" s="3"/>
      <c r="F258" s="3"/>
      <c r="G258" s="3"/>
      <c r="H258" s="3"/>
      <c r="I258" s="3"/>
      <c r="J258" s="3"/>
      <c r="K258" s="3"/>
      <c r="L258" s="3"/>
      <c r="M258" s="3"/>
      <c r="N258" s="3"/>
      <c r="O258" s="3"/>
      <c r="P258" s="3"/>
      <c r="Q258" s="3"/>
      <c r="R258" s="3"/>
      <c r="S258" s="3"/>
      <c r="T258" s="21"/>
      <c r="U258" s="3"/>
      <c r="V258" s="4"/>
      <c r="W258" s="3"/>
      <c r="X258" s="3"/>
      <c r="Y258" s="3"/>
      <c r="Z258" s="3"/>
      <c r="AA258" s="4"/>
      <c r="AB258" s="3"/>
      <c r="AC258" s="3"/>
      <c r="AD258" s="3"/>
    </row>
    <row r="259" spans="1:30" ht="15.75" customHeight="1">
      <c r="A259" s="3"/>
      <c r="B259" s="3"/>
      <c r="C259" s="3"/>
      <c r="D259" s="3"/>
      <c r="E259" s="3"/>
      <c r="F259" s="3"/>
      <c r="G259" s="3"/>
      <c r="H259" s="3"/>
      <c r="I259" s="3"/>
      <c r="J259" s="3"/>
      <c r="K259" s="3"/>
      <c r="L259" s="3"/>
      <c r="M259" s="3"/>
      <c r="N259" s="3"/>
      <c r="O259" s="3"/>
      <c r="P259" s="3"/>
      <c r="Q259" s="3"/>
      <c r="R259" s="3"/>
      <c r="S259" s="3"/>
      <c r="T259" s="3"/>
      <c r="U259" s="3"/>
      <c r="V259" s="4"/>
      <c r="W259" s="3"/>
      <c r="X259" s="3"/>
      <c r="Y259" s="3"/>
      <c r="Z259" s="3"/>
      <c r="AA259" s="4"/>
      <c r="AB259" s="3"/>
      <c r="AC259" s="3"/>
      <c r="AD259" s="3"/>
    </row>
    <row r="260" spans="1:30" ht="15.75" customHeight="1">
      <c r="A260" s="3"/>
      <c r="B260" s="3"/>
      <c r="C260" s="3"/>
      <c r="D260" s="3"/>
      <c r="E260" s="3"/>
      <c r="F260" s="3"/>
      <c r="G260" s="3"/>
      <c r="H260" s="3"/>
      <c r="I260" s="3"/>
      <c r="J260" s="3"/>
      <c r="K260" s="3"/>
      <c r="L260" s="3"/>
      <c r="M260" s="3"/>
      <c r="N260" s="3"/>
      <c r="O260" s="3"/>
      <c r="P260" s="3"/>
      <c r="Q260" s="3"/>
      <c r="R260" s="3"/>
      <c r="S260" s="3"/>
      <c r="T260" s="3"/>
      <c r="U260" s="3"/>
      <c r="V260" s="4"/>
      <c r="W260" s="3"/>
      <c r="X260" s="3"/>
      <c r="Y260" s="3"/>
      <c r="Z260" s="3"/>
      <c r="AA260" s="4"/>
      <c r="AB260" s="3"/>
      <c r="AC260" s="3"/>
      <c r="AD260" s="4"/>
    </row>
    <row r="261" spans="1:30" ht="15.75" customHeight="1">
      <c r="A261" s="6"/>
      <c r="B261" s="6"/>
      <c r="C261" s="6"/>
      <c r="D261" s="6"/>
      <c r="E261" s="6"/>
      <c r="F261" s="6"/>
      <c r="G261" s="6"/>
      <c r="H261" s="3"/>
      <c r="I261" s="3"/>
      <c r="J261" s="3"/>
      <c r="K261" s="3"/>
      <c r="L261" s="3"/>
      <c r="M261" s="3"/>
      <c r="N261" s="3"/>
      <c r="O261" s="3"/>
      <c r="P261" s="3"/>
      <c r="Q261" s="3"/>
      <c r="R261" s="3"/>
      <c r="S261" s="3"/>
      <c r="T261" s="3"/>
      <c r="U261" s="3"/>
      <c r="V261" s="4"/>
      <c r="W261" s="3"/>
      <c r="X261" s="3"/>
      <c r="Y261" s="3"/>
      <c r="Z261" s="3"/>
      <c r="AA261" s="3"/>
      <c r="AB261" s="3"/>
      <c r="AC261" s="3"/>
      <c r="AD261" s="3"/>
    </row>
    <row r="262" spans="1:30" ht="15.75" customHeight="1">
      <c r="A262" s="6"/>
      <c r="B262" s="6"/>
      <c r="C262" s="6"/>
      <c r="D262" s="6"/>
      <c r="E262" s="6"/>
      <c r="F262" s="6"/>
      <c r="G262" s="6"/>
      <c r="H262" s="6"/>
      <c r="I262" s="6"/>
      <c r="J262" s="6"/>
      <c r="K262" s="18"/>
      <c r="L262" s="6"/>
      <c r="M262" s="6"/>
      <c r="N262" s="6"/>
      <c r="O262" s="6"/>
      <c r="P262" s="6"/>
      <c r="Q262" s="6"/>
      <c r="R262" s="6"/>
      <c r="S262" s="6"/>
      <c r="T262" s="6"/>
      <c r="U262" s="6"/>
      <c r="V262" s="19"/>
      <c r="W262" s="20"/>
      <c r="X262" s="6"/>
      <c r="Y262" s="6"/>
      <c r="Z262" s="6"/>
      <c r="AA262" s="6"/>
      <c r="AB262" s="6"/>
      <c r="AC262" s="6"/>
      <c r="AD262" s="6"/>
    </row>
    <row r="263" spans="1:30" ht="15.75" customHeight="1">
      <c r="A263" s="3"/>
      <c r="B263" s="3"/>
      <c r="C263" s="3"/>
      <c r="D263" s="3"/>
      <c r="E263" s="3"/>
      <c r="F263" s="3"/>
      <c r="G263" s="3"/>
      <c r="H263" s="6"/>
      <c r="I263" s="18"/>
      <c r="J263" s="18"/>
      <c r="K263" s="18"/>
      <c r="L263" s="30"/>
      <c r="M263" s="6"/>
      <c r="N263" s="6"/>
      <c r="O263" s="6"/>
      <c r="P263" s="6"/>
      <c r="Q263" s="6"/>
      <c r="R263" s="6"/>
      <c r="S263" s="6"/>
      <c r="T263" s="6"/>
      <c r="U263" s="6"/>
      <c r="V263" s="19"/>
      <c r="W263" s="20"/>
      <c r="X263" s="6"/>
      <c r="Y263" s="6"/>
      <c r="Z263" s="6"/>
      <c r="AA263" s="6"/>
      <c r="AB263" s="6"/>
      <c r="AC263" s="6"/>
      <c r="AD263" s="6"/>
    </row>
    <row r="264" spans="1:30" ht="15.75" customHeight="1">
      <c r="A264" s="3"/>
      <c r="B264" s="3"/>
      <c r="C264" s="3"/>
      <c r="D264" s="3"/>
      <c r="E264" s="3"/>
      <c r="F264" s="3"/>
      <c r="G264" s="3"/>
      <c r="H264" s="3"/>
      <c r="I264" s="3"/>
      <c r="J264" s="3"/>
      <c r="K264" s="3"/>
      <c r="L264" s="3"/>
      <c r="M264" s="3"/>
      <c r="N264" s="3"/>
      <c r="O264" s="3"/>
      <c r="P264" s="3"/>
      <c r="Q264" s="3"/>
      <c r="R264" s="3"/>
      <c r="S264" s="3"/>
      <c r="T264" s="3"/>
      <c r="U264" s="3"/>
      <c r="V264" s="4"/>
      <c r="W264" s="3"/>
      <c r="X264" s="3"/>
      <c r="Y264" s="3"/>
      <c r="Z264" s="3"/>
      <c r="AA264" s="4"/>
      <c r="AB264" s="3"/>
      <c r="AC264" s="3"/>
      <c r="AD264" s="3"/>
    </row>
    <row r="265" spans="1:30" ht="15.75" customHeight="1">
      <c r="A265" s="3"/>
      <c r="B265" s="3"/>
      <c r="C265" s="3"/>
      <c r="D265" s="3"/>
      <c r="E265" s="3"/>
      <c r="F265" s="3"/>
      <c r="G265" s="3"/>
      <c r="H265" s="3"/>
      <c r="I265" s="3"/>
      <c r="J265" s="3"/>
      <c r="K265" s="3"/>
      <c r="L265" s="3"/>
      <c r="M265" s="3"/>
      <c r="N265" s="3"/>
      <c r="O265" s="3"/>
      <c r="P265" s="3"/>
      <c r="Q265" s="3"/>
      <c r="R265" s="3"/>
      <c r="S265" s="3"/>
      <c r="T265" s="3"/>
      <c r="U265" s="3"/>
      <c r="V265" s="4"/>
      <c r="W265" s="3"/>
      <c r="X265" s="12"/>
      <c r="Y265" s="3"/>
      <c r="Z265" s="3"/>
      <c r="AA265" s="4"/>
      <c r="AB265" s="3"/>
      <c r="AC265" s="3"/>
      <c r="AD265" s="3"/>
    </row>
    <row r="266" spans="1:30" ht="15.75" customHeight="1">
      <c r="A266" s="3"/>
      <c r="B266" s="3"/>
      <c r="C266" s="3"/>
      <c r="D266" s="3"/>
      <c r="E266" s="3"/>
      <c r="F266" s="3"/>
      <c r="G266" s="3"/>
      <c r="H266" s="3"/>
      <c r="I266" s="3"/>
      <c r="J266" s="3"/>
      <c r="K266" s="3"/>
      <c r="L266" s="3"/>
      <c r="M266" s="3"/>
      <c r="N266" s="3"/>
      <c r="O266" s="3"/>
      <c r="P266" s="3"/>
      <c r="Q266" s="3"/>
      <c r="R266" s="3"/>
      <c r="S266" s="3"/>
      <c r="T266" s="3"/>
      <c r="U266" s="3"/>
      <c r="V266" s="4"/>
      <c r="W266" s="3"/>
      <c r="X266" s="12"/>
      <c r="Y266" s="3"/>
      <c r="Z266" s="3"/>
      <c r="AA266" s="3"/>
      <c r="AB266" s="3"/>
      <c r="AC266" s="3"/>
      <c r="AD266" s="4"/>
    </row>
    <row r="267" spans="1:30" ht="15.75" customHeight="1">
      <c r="A267" s="3"/>
      <c r="B267" s="3"/>
      <c r="C267" s="3"/>
      <c r="D267" s="3"/>
      <c r="E267" s="3"/>
      <c r="F267" s="3"/>
      <c r="G267" s="3"/>
      <c r="H267" s="3"/>
      <c r="I267" s="3"/>
      <c r="J267" s="3"/>
      <c r="K267" s="3"/>
      <c r="L267" s="3"/>
      <c r="M267" s="3"/>
      <c r="N267" s="3"/>
      <c r="O267" s="3"/>
      <c r="P267" s="3"/>
      <c r="Q267" s="3"/>
      <c r="R267" s="3"/>
      <c r="S267" s="3"/>
      <c r="T267" s="3"/>
      <c r="U267" s="3"/>
      <c r="V267" s="4"/>
      <c r="W267" s="3"/>
      <c r="X267" s="3"/>
      <c r="Y267" s="3"/>
      <c r="Z267" s="3"/>
      <c r="AA267" s="3"/>
      <c r="AB267" s="3"/>
      <c r="AC267" s="3"/>
      <c r="AD267" s="4"/>
    </row>
    <row r="268" spans="1:30" ht="15.75" customHeight="1">
      <c r="A268" s="3"/>
      <c r="B268" s="3"/>
      <c r="C268" s="3"/>
      <c r="D268" s="3"/>
      <c r="E268" s="3"/>
      <c r="F268" s="3"/>
      <c r="G268" s="3"/>
      <c r="H268" s="3"/>
      <c r="I268" s="3"/>
      <c r="J268" s="3"/>
      <c r="K268" s="3"/>
      <c r="L268" s="3"/>
      <c r="M268" s="3"/>
      <c r="N268" s="3"/>
      <c r="O268" s="3"/>
      <c r="P268" s="3"/>
      <c r="Q268" s="3"/>
      <c r="R268" s="3"/>
      <c r="S268" s="3"/>
      <c r="T268" s="3"/>
      <c r="U268" s="3"/>
      <c r="V268" s="4"/>
      <c r="W268" s="3"/>
      <c r="X268" s="3"/>
      <c r="Y268" s="3"/>
      <c r="Z268" s="3"/>
      <c r="AA268" s="4"/>
      <c r="AB268" s="3"/>
      <c r="AC268" s="3"/>
      <c r="AD268" s="4"/>
    </row>
    <row r="269" spans="1:30" ht="15.75" customHeight="1">
      <c r="A269" s="3"/>
      <c r="B269" s="3"/>
      <c r="C269" s="3"/>
      <c r="D269" s="3"/>
      <c r="E269" s="3"/>
      <c r="F269" s="3"/>
      <c r="G269" s="3"/>
      <c r="H269" s="3"/>
      <c r="I269" s="3"/>
      <c r="J269" s="3"/>
      <c r="K269" s="3"/>
      <c r="L269" s="3"/>
      <c r="M269" s="3"/>
      <c r="N269" s="3"/>
      <c r="O269" s="3"/>
      <c r="P269" s="3"/>
      <c r="Q269" s="3"/>
      <c r="R269" s="3"/>
      <c r="S269" s="3"/>
      <c r="T269" s="3"/>
      <c r="U269" s="3"/>
      <c r="V269" s="4"/>
      <c r="W269" s="3"/>
      <c r="X269" s="3"/>
      <c r="Y269" s="3"/>
      <c r="Z269" s="3"/>
      <c r="AA269" s="4"/>
      <c r="AB269" s="3"/>
      <c r="AC269" s="3"/>
      <c r="AD269" s="3"/>
    </row>
    <row r="270" spans="1:30" ht="15.75" customHeight="1">
      <c r="A270" s="3"/>
      <c r="B270" s="3"/>
      <c r="C270" s="3"/>
      <c r="D270" s="3"/>
      <c r="E270" s="3"/>
      <c r="F270" s="3"/>
      <c r="G270" s="3"/>
      <c r="H270" s="3"/>
      <c r="I270" s="3"/>
      <c r="J270" s="3"/>
      <c r="K270" s="3"/>
      <c r="L270" s="3"/>
      <c r="M270" s="3"/>
      <c r="N270" s="3"/>
      <c r="O270" s="3"/>
      <c r="P270" s="3"/>
      <c r="Q270" s="3"/>
      <c r="R270" s="3"/>
      <c r="S270" s="3"/>
      <c r="T270" s="3"/>
      <c r="U270" s="3"/>
      <c r="V270" s="4"/>
      <c r="W270" s="3"/>
      <c r="X270" s="3"/>
      <c r="Y270" s="3"/>
      <c r="Z270" s="3"/>
      <c r="AA270" s="4"/>
      <c r="AB270" s="3"/>
      <c r="AC270" s="3"/>
      <c r="AD270" s="4"/>
    </row>
    <row r="271" spans="1:30" ht="15.75" customHeight="1">
      <c r="A271" s="3"/>
      <c r="B271" s="3"/>
      <c r="C271" s="3"/>
      <c r="D271" s="3"/>
      <c r="E271" s="3"/>
      <c r="F271" s="3"/>
      <c r="G271" s="3"/>
      <c r="H271" s="3"/>
      <c r="I271" s="3"/>
      <c r="J271" s="3"/>
      <c r="K271" s="3"/>
      <c r="L271" s="3"/>
      <c r="M271" s="3"/>
      <c r="N271" s="3"/>
      <c r="O271" s="3"/>
      <c r="P271" s="3"/>
      <c r="Q271" s="3"/>
      <c r="R271" s="3"/>
      <c r="S271" s="3"/>
      <c r="T271" s="3"/>
      <c r="U271" s="3"/>
      <c r="V271" s="4"/>
      <c r="W271" s="3"/>
      <c r="X271" s="4"/>
      <c r="Y271" s="3"/>
      <c r="Z271" s="3"/>
      <c r="AA271" s="3"/>
      <c r="AB271" s="3"/>
      <c r="AC271" s="3"/>
      <c r="AD271" s="3"/>
    </row>
    <row r="272" spans="1:30" ht="15.75" customHeight="1">
      <c r="A272" s="3"/>
      <c r="B272" s="3"/>
      <c r="C272" s="3"/>
      <c r="D272" s="3"/>
      <c r="E272" s="3"/>
      <c r="F272" s="3"/>
      <c r="G272" s="3"/>
      <c r="H272" s="3"/>
      <c r="I272" s="3"/>
      <c r="J272" s="3"/>
      <c r="K272" s="3"/>
      <c r="L272" s="3"/>
      <c r="M272" s="3"/>
      <c r="N272" s="3"/>
      <c r="O272" s="3"/>
      <c r="P272" s="3"/>
      <c r="Q272" s="3"/>
      <c r="R272" s="3"/>
      <c r="S272" s="3"/>
      <c r="T272" s="3"/>
      <c r="U272" s="3"/>
      <c r="V272" s="4"/>
      <c r="W272" s="3"/>
      <c r="X272" s="3"/>
      <c r="Y272" s="3"/>
      <c r="Z272" s="3"/>
      <c r="AA272" s="3"/>
      <c r="AB272" s="3"/>
      <c r="AC272" s="3"/>
      <c r="AD272" s="3"/>
    </row>
    <row r="273" spans="1:30" ht="15.75" customHeight="1">
      <c r="A273" s="3"/>
      <c r="B273" s="3"/>
      <c r="C273" s="3"/>
      <c r="D273" s="3"/>
      <c r="E273" s="3"/>
      <c r="F273" s="3"/>
      <c r="G273" s="3"/>
      <c r="H273" s="3"/>
      <c r="I273" s="3"/>
      <c r="J273" s="3"/>
      <c r="K273" s="3"/>
      <c r="L273" s="3"/>
      <c r="M273" s="3"/>
      <c r="N273" s="3"/>
      <c r="O273" s="3"/>
      <c r="P273" s="3"/>
      <c r="Q273" s="3"/>
      <c r="R273" s="3"/>
      <c r="S273" s="3"/>
      <c r="T273" s="3"/>
      <c r="U273" s="3"/>
      <c r="V273" s="4"/>
      <c r="W273" s="3"/>
      <c r="X273" s="3"/>
      <c r="Y273" s="3"/>
      <c r="Z273" s="3"/>
      <c r="AA273" s="3"/>
      <c r="AB273" s="3"/>
      <c r="AC273" s="3"/>
      <c r="AD273" s="3"/>
    </row>
    <row r="274" spans="1:30" ht="15.75" customHeight="1">
      <c r="A274" s="3"/>
      <c r="B274" s="3"/>
      <c r="C274" s="3"/>
      <c r="D274" s="3"/>
      <c r="E274" s="3"/>
      <c r="F274" s="3"/>
      <c r="G274" s="3"/>
      <c r="H274" s="3"/>
      <c r="I274" s="3"/>
      <c r="J274" s="3"/>
      <c r="K274" s="3"/>
      <c r="L274" s="3"/>
      <c r="M274" s="3"/>
      <c r="N274" s="3"/>
      <c r="O274" s="3"/>
      <c r="P274" s="3"/>
      <c r="Q274" s="3"/>
      <c r="R274" s="3"/>
      <c r="S274" s="3"/>
      <c r="T274" s="3"/>
      <c r="U274" s="3"/>
      <c r="V274" s="4"/>
      <c r="W274" s="3"/>
      <c r="X274" s="12"/>
      <c r="Y274" s="3"/>
      <c r="Z274" s="3"/>
      <c r="AA274" s="4"/>
      <c r="AB274" s="3"/>
      <c r="AC274" s="3"/>
      <c r="AD274" s="3"/>
    </row>
    <row r="275" spans="1:30" ht="15.75" customHeight="1">
      <c r="A275" s="3"/>
      <c r="B275" s="3"/>
      <c r="C275" s="3"/>
      <c r="D275" s="3"/>
      <c r="E275" s="3"/>
      <c r="F275" s="3"/>
      <c r="G275" s="3"/>
      <c r="H275" s="3"/>
      <c r="I275" s="3"/>
      <c r="J275" s="3"/>
      <c r="K275" s="3"/>
      <c r="L275" s="3"/>
      <c r="M275" s="3"/>
      <c r="N275" s="3"/>
      <c r="O275" s="3"/>
      <c r="P275" s="3"/>
      <c r="Q275" s="3"/>
      <c r="R275" s="3"/>
      <c r="S275" s="3"/>
      <c r="T275" s="3"/>
      <c r="U275" s="3"/>
      <c r="V275" s="4"/>
      <c r="W275" s="3"/>
      <c r="X275" s="12"/>
      <c r="Y275" s="3"/>
      <c r="Z275" s="3"/>
      <c r="AA275" s="4"/>
      <c r="AB275" s="3"/>
      <c r="AC275" s="3"/>
      <c r="AD275" s="3"/>
    </row>
    <row r="276" spans="1:30" ht="15.75" customHeight="1">
      <c r="A276" s="3"/>
      <c r="B276" s="3"/>
      <c r="C276" s="3"/>
      <c r="D276" s="3"/>
      <c r="E276" s="3"/>
      <c r="F276" s="3"/>
      <c r="G276" s="3"/>
      <c r="H276" s="3"/>
      <c r="I276" s="3"/>
      <c r="J276" s="3"/>
      <c r="K276" s="3"/>
      <c r="L276" s="3"/>
      <c r="M276" s="3"/>
      <c r="N276" s="3"/>
      <c r="O276" s="3"/>
      <c r="P276" s="3"/>
      <c r="Q276" s="3"/>
      <c r="R276" s="3"/>
      <c r="S276" s="3"/>
      <c r="T276" s="11"/>
      <c r="U276" s="3"/>
      <c r="V276" s="4"/>
      <c r="W276" s="3"/>
      <c r="X276" s="3"/>
      <c r="Y276" s="3"/>
      <c r="Z276" s="3"/>
      <c r="AA276" s="3"/>
      <c r="AB276" s="3"/>
      <c r="AC276" s="3"/>
      <c r="AD276" s="3"/>
    </row>
    <row r="277" spans="1:30" ht="15.75" customHeight="1">
      <c r="A277" s="3"/>
      <c r="B277" s="3"/>
      <c r="C277" s="3"/>
      <c r="D277" s="3"/>
      <c r="E277" s="3"/>
      <c r="F277" s="3"/>
      <c r="G277" s="3"/>
      <c r="H277" s="3"/>
      <c r="I277" s="3"/>
      <c r="J277" s="3"/>
      <c r="K277" s="3"/>
      <c r="L277" s="3"/>
      <c r="M277" s="3"/>
      <c r="N277" s="3"/>
      <c r="O277" s="3"/>
      <c r="P277" s="3"/>
      <c r="Q277" s="3"/>
      <c r="R277" s="3"/>
      <c r="S277" s="3"/>
      <c r="T277" s="3"/>
      <c r="U277" s="3"/>
      <c r="V277" s="4"/>
      <c r="W277" s="3"/>
      <c r="X277" s="3"/>
      <c r="Y277" s="3"/>
      <c r="Z277" s="3"/>
      <c r="AA277" s="3"/>
      <c r="AB277" s="3"/>
      <c r="AC277" s="3"/>
      <c r="AD277" s="3"/>
    </row>
    <row r="278" spans="1:30" ht="15.75" customHeight="1">
      <c r="A278" s="3"/>
      <c r="B278" s="3"/>
      <c r="C278" s="3"/>
      <c r="D278" s="3"/>
      <c r="E278" s="3"/>
      <c r="F278" s="3"/>
      <c r="G278" s="3"/>
      <c r="H278" s="3"/>
      <c r="I278" s="3"/>
      <c r="J278" s="3"/>
      <c r="K278" s="3"/>
      <c r="L278" s="22"/>
      <c r="M278" s="3"/>
      <c r="N278" s="3"/>
      <c r="O278" s="3"/>
      <c r="P278" s="3"/>
      <c r="Q278" s="3"/>
      <c r="R278" s="3"/>
      <c r="S278" s="3"/>
      <c r="T278" s="3"/>
      <c r="U278" s="3"/>
      <c r="V278" s="4"/>
      <c r="W278" s="3"/>
      <c r="X278" s="3"/>
      <c r="Y278" s="3"/>
      <c r="Z278" s="3"/>
      <c r="AA278" s="3"/>
      <c r="AB278" s="3"/>
      <c r="AC278" s="3"/>
      <c r="AD278" s="4"/>
    </row>
    <row r="279" spans="1:30" ht="15.75" customHeight="1">
      <c r="A279" s="3"/>
      <c r="B279" s="3"/>
      <c r="C279" s="3"/>
      <c r="D279" s="3"/>
      <c r="E279" s="3"/>
      <c r="F279" s="3"/>
      <c r="G279" s="3"/>
      <c r="H279" s="3"/>
      <c r="I279" s="3"/>
      <c r="J279" s="3"/>
      <c r="K279" s="3"/>
      <c r="L279" s="3"/>
      <c r="M279" s="3"/>
      <c r="N279" s="3"/>
      <c r="O279" s="3"/>
      <c r="P279" s="3"/>
      <c r="Q279" s="3"/>
      <c r="R279" s="3"/>
      <c r="S279" s="38"/>
      <c r="T279" s="21"/>
      <c r="U279" s="3"/>
      <c r="V279" s="39"/>
      <c r="W279" s="38"/>
      <c r="X279" s="40"/>
      <c r="Y279" s="3"/>
      <c r="Z279" s="3"/>
      <c r="AA279" s="4"/>
      <c r="AB279" s="3"/>
      <c r="AC279" s="3"/>
      <c r="AD279" s="3"/>
    </row>
    <row r="280" spans="1:30" ht="15.75" customHeight="1">
      <c r="A280" s="3"/>
      <c r="B280" s="3"/>
      <c r="C280" s="3"/>
      <c r="D280" s="3"/>
      <c r="E280" s="3"/>
      <c r="F280" s="3"/>
      <c r="G280" s="3"/>
      <c r="H280" s="3"/>
      <c r="I280" s="3"/>
      <c r="J280" s="3"/>
      <c r="K280" s="3"/>
      <c r="L280" s="3"/>
      <c r="M280" s="3"/>
      <c r="N280" s="3"/>
      <c r="O280" s="3"/>
      <c r="P280" s="3"/>
      <c r="Q280" s="3"/>
      <c r="R280" s="3"/>
      <c r="S280" s="38"/>
      <c r="T280" s="21"/>
      <c r="U280" s="3"/>
      <c r="V280" s="4"/>
      <c r="W280" s="38"/>
      <c r="X280" s="40"/>
      <c r="Y280" s="3"/>
      <c r="Z280" s="3"/>
      <c r="AA280" s="4"/>
      <c r="AB280" s="3"/>
      <c r="AC280" s="3"/>
      <c r="AD280" s="3"/>
    </row>
    <row r="281" spans="1:30" ht="15.75" customHeight="1">
      <c r="A281" s="3"/>
      <c r="B281" s="3"/>
      <c r="C281" s="3"/>
      <c r="D281" s="3"/>
      <c r="E281" s="3"/>
      <c r="F281" s="3"/>
      <c r="G281" s="3"/>
      <c r="H281" s="3"/>
      <c r="I281" s="3"/>
      <c r="J281" s="3"/>
      <c r="K281" s="3"/>
      <c r="L281" s="3"/>
      <c r="M281" s="3"/>
      <c r="N281" s="3"/>
      <c r="O281" s="3"/>
      <c r="P281" s="3"/>
      <c r="Q281" s="3"/>
      <c r="R281" s="3"/>
      <c r="S281" s="38"/>
      <c r="T281" s="21"/>
      <c r="U281" s="3"/>
      <c r="V281" s="4"/>
      <c r="W281" s="38"/>
      <c r="X281" s="40"/>
      <c r="Y281" s="3"/>
      <c r="Z281" s="3"/>
      <c r="AA281" s="4"/>
      <c r="AB281" s="3"/>
      <c r="AC281" s="3"/>
      <c r="AD281" s="3"/>
    </row>
    <row r="282" spans="1:30" ht="15.75" customHeight="1">
      <c r="A282" s="3"/>
      <c r="B282" s="3"/>
      <c r="C282" s="3"/>
      <c r="D282" s="3"/>
      <c r="E282" s="3"/>
      <c r="F282" s="3"/>
      <c r="G282" s="3"/>
      <c r="H282" s="3"/>
      <c r="I282" s="3"/>
      <c r="J282" s="3"/>
      <c r="K282" s="3"/>
      <c r="L282" s="3"/>
      <c r="M282" s="3"/>
      <c r="N282" s="3"/>
      <c r="O282" s="3"/>
      <c r="P282" s="3"/>
      <c r="Q282" s="3"/>
      <c r="R282" s="3"/>
      <c r="S282" s="38"/>
      <c r="T282" s="21"/>
      <c r="U282" s="3"/>
      <c r="V282" s="4"/>
      <c r="W282" s="38"/>
      <c r="X282" s="40"/>
      <c r="Y282" s="3"/>
      <c r="Z282" s="3"/>
      <c r="AA282" s="4"/>
      <c r="AB282" s="3"/>
      <c r="AC282" s="3"/>
      <c r="AD282" s="3"/>
    </row>
    <row r="283" spans="1:30" ht="15.75" customHeight="1">
      <c r="A283" s="6"/>
      <c r="B283" s="6"/>
      <c r="C283" s="6"/>
      <c r="D283" s="6"/>
      <c r="E283" s="6"/>
      <c r="F283" s="6"/>
      <c r="G283" s="6"/>
      <c r="H283" s="3"/>
      <c r="I283" s="3"/>
      <c r="J283" s="3"/>
      <c r="K283" s="3"/>
      <c r="L283" s="3"/>
      <c r="M283" s="3"/>
      <c r="N283" s="3"/>
      <c r="O283" s="3"/>
      <c r="P283" s="3"/>
      <c r="Q283" s="3"/>
      <c r="R283" s="3"/>
      <c r="S283" s="38"/>
      <c r="T283" s="3"/>
      <c r="U283" s="3"/>
      <c r="V283" s="4"/>
      <c r="W283" s="38"/>
      <c r="X283" s="40"/>
      <c r="Y283" s="3"/>
      <c r="Z283" s="3"/>
      <c r="AA283" s="4"/>
      <c r="AB283" s="3"/>
      <c r="AC283" s="3"/>
      <c r="AD283" s="3"/>
    </row>
    <row r="284" spans="1:30" ht="15.75" customHeight="1">
      <c r="A284" s="6"/>
      <c r="B284" s="6"/>
      <c r="C284" s="6"/>
      <c r="D284" s="6"/>
      <c r="E284" s="6"/>
      <c r="F284" s="6"/>
      <c r="G284" s="6"/>
      <c r="H284" s="6"/>
      <c r="I284" s="6"/>
      <c r="J284" s="6"/>
      <c r="K284" s="6"/>
      <c r="L284" s="6"/>
      <c r="M284" s="6"/>
      <c r="N284" s="6"/>
      <c r="O284" s="6"/>
      <c r="P284" s="6"/>
      <c r="Q284" s="6"/>
      <c r="R284" s="6"/>
      <c r="S284" s="6"/>
      <c r="T284" s="6"/>
      <c r="U284" s="6"/>
      <c r="V284" s="7"/>
      <c r="W284" s="6"/>
      <c r="X284" s="6"/>
      <c r="Y284" s="6"/>
      <c r="Z284" s="6"/>
      <c r="AA284" s="7"/>
      <c r="AB284" s="6"/>
      <c r="AC284" s="6"/>
      <c r="AD284" s="6"/>
    </row>
    <row r="285" spans="1:30" ht="15.75" customHeight="1">
      <c r="A285" s="3"/>
      <c r="B285" s="3"/>
      <c r="C285" s="3"/>
      <c r="D285" s="3"/>
      <c r="E285" s="3"/>
      <c r="F285" s="3"/>
      <c r="G285" s="3"/>
      <c r="H285" s="6"/>
      <c r="I285" s="6"/>
      <c r="J285" s="6"/>
      <c r="K285" s="6"/>
      <c r="L285" s="6"/>
      <c r="M285" s="6"/>
      <c r="N285" s="6"/>
      <c r="O285" s="6"/>
      <c r="P285" s="6"/>
      <c r="Q285" s="6"/>
      <c r="R285" s="6"/>
      <c r="S285" s="6"/>
      <c r="T285" s="6"/>
      <c r="U285" s="6"/>
      <c r="V285" s="7"/>
      <c r="W285" s="6"/>
      <c r="X285" s="6"/>
      <c r="Y285" s="6"/>
      <c r="Z285" s="6"/>
      <c r="AA285" s="7"/>
      <c r="AB285" s="6"/>
      <c r="AC285" s="6"/>
      <c r="AD285" s="6"/>
    </row>
    <row r="286" spans="1:30" ht="15.75" customHeight="1">
      <c r="A286" s="3"/>
      <c r="B286" s="3"/>
      <c r="C286" s="3"/>
      <c r="D286" s="3"/>
      <c r="E286" s="3"/>
      <c r="F286" s="3"/>
      <c r="G286" s="3"/>
      <c r="H286" s="3"/>
      <c r="I286" s="3"/>
      <c r="J286" s="3"/>
      <c r="K286" s="3"/>
      <c r="L286" s="37"/>
      <c r="M286" s="3"/>
      <c r="N286" s="3"/>
      <c r="O286" s="3"/>
      <c r="P286" s="3"/>
      <c r="Q286" s="3"/>
      <c r="R286" s="3"/>
      <c r="S286" s="3"/>
      <c r="T286" s="3"/>
      <c r="U286" s="3"/>
      <c r="V286" s="4"/>
      <c r="W286" s="3"/>
      <c r="X286" s="3"/>
      <c r="Y286" s="3"/>
      <c r="Z286" s="3"/>
      <c r="AA286" s="4"/>
      <c r="AB286" s="3"/>
      <c r="AC286" s="3"/>
      <c r="AD286" s="3"/>
    </row>
    <row r="287" spans="1:30" ht="15.75" customHeight="1">
      <c r="A287" s="3"/>
      <c r="B287" s="3"/>
      <c r="C287" s="3"/>
      <c r="D287" s="3"/>
      <c r="E287" s="3"/>
      <c r="F287" s="3"/>
      <c r="G287" s="3"/>
      <c r="H287" s="3"/>
      <c r="I287" s="3"/>
      <c r="J287" s="3"/>
      <c r="K287" s="3"/>
      <c r="L287" s="37"/>
      <c r="M287" s="3"/>
      <c r="N287" s="3"/>
      <c r="O287" s="3"/>
      <c r="P287" s="3"/>
      <c r="Q287" s="3"/>
      <c r="R287" s="3"/>
      <c r="S287" s="3"/>
      <c r="T287" s="3"/>
      <c r="U287" s="3"/>
      <c r="V287" s="4"/>
      <c r="W287" s="3"/>
      <c r="X287" s="3"/>
      <c r="Y287" s="3"/>
      <c r="Z287" s="3"/>
      <c r="AA287" s="4"/>
      <c r="AB287" s="3"/>
      <c r="AC287" s="3"/>
      <c r="AD287" s="3"/>
    </row>
    <row r="288" spans="1:30" ht="15.75" customHeight="1">
      <c r="A288" s="3"/>
      <c r="B288" s="3"/>
      <c r="C288" s="3"/>
      <c r="D288" s="3"/>
      <c r="E288" s="3"/>
      <c r="F288" s="3"/>
      <c r="G288" s="3"/>
      <c r="H288" s="3"/>
      <c r="I288" s="3"/>
      <c r="J288" s="3"/>
      <c r="K288" s="3"/>
      <c r="L288" s="37"/>
      <c r="M288" s="3"/>
      <c r="N288" s="3"/>
      <c r="O288" s="3"/>
      <c r="P288" s="3"/>
      <c r="Q288" s="3"/>
      <c r="R288" s="3"/>
      <c r="S288" s="3"/>
      <c r="T288" s="3"/>
      <c r="U288" s="3"/>
      <c r="V288" s="4"/>
      <c r="W288" s="3"/>
      <c r="X288" s="3"/>
      <c r="Y288" s="3"/>
      <c r="Z288" s="3"/>
      <c r="AA288" s="4"/>
      <c r="AB288" s="3"/>
      <c r="AC288" s="3"/>
      <c r="AD288" s="4"/>
    </row>
    <row r="289" spans="1:30" ht="15.75" customHeight="1">
      <c r="A289" s="3"/>
      <c r="B289" s="3"/>
      <c r="C289" s="3"/>
      <c r="D289" s="3"/>
      <c r="E289" s="3"/>
      <c r="F289" s="3"/>
      <c r="G289" s="3"/>
      <c r="H289" s="3"/>
      <c r="I289" s="3"/>
      <c r="J289" s="3"/>
      <c r="K289" s="3"/>
      <c r="L289" s="37"/>
      <c r="M289" s="3"/>
      <c r="N289" s="3"/>
      <c r="O289" s="3"/>
      <c r="P289" s="3"/>
      <c r="Q289" s="3"/>
      <c r="R289" s="3"/>
      <c r="S289" s="3"/>
      <c r="T289" s="3"/>
      <c r="U289" s="3"/>
      <c r="V289" s="4"/>
      <c r="W289" s="3"/>
      <c r="X289" s="3"/>
      <c r="Y289" s="3"/>
      <c r="Z289" s="3"/>
      <c r="AA289" s="4"/>
      <c r="AB289" s="3"/>
      <c r="AC289" s="3"/>
      <c r="AD289" s="3"/>
    </row>
    <row r="290" spans="1:30" ht="15.75" customHeight="1">
      <c r="A290" s="3"/>
      <c r="B290" s="3"/>
      <c r="C290" s="3"/>
      <c r="D290" s="3"/>
      <c r="E290" s="3"/>
      <c r="F290" s="3"/>
      <c r="G290" s="3"/>
      <c r="H290" s="3"/>
      <c r="I290" s="3"/>
      <c r="J290" s="3"/>
      <c r="K290" s="3"/>
      <c r="L290" s="37"/>
      <c r="M290" s="3"/>
      <c r="N290" s="3"/>
      <c r="O290" s="3"/>
      <c r="P290" s="3"/>
      <c r="Q290" s="3"/>
      <c r="R290" s="3"/>
      <c r="S290" s="3"/>
      <c r="T290" s="3"/>
      <c r="U290" s="3"/>
      <c r="V290" s="4"/>
      <c r="W290" s="3"/>
      <c r="X290" s="3"/>
      <c r="Y290" s="3"/>
      <c r="Z290" s="3"/>
      <c r="AA290" s="4"/>
      <c r="AB290" s="3"/>
      <c r="AC290" s="3"/>
      <c r="AD290" s="4"/>
    </row>
    <row r="291" spans="1:30" ht="15.75" customHeight="1">
      <c r="A291" s="3"/>
      <c r="B291" s="3"/>
      <c r="C291" s="3"/>
      <c r="D291" s="3"/>
      <c r="E291" s="3"/>
      <c r="F291" s="3"/>
      <c r="G291" s="3"/>
      <c r="H291" s="3"/>
      <c r="I291" s="3"/>
      <c r="J291" s="3"/>
      <c r="K291" s="3"/>
      <c r="L291" s="37"/>
      <c r="M291" s="3"/>
      <c r="N291" s="3"/>
      <c r="O291" s="3"/>
      <c r="P291" s="3"/>
      <c r="Q291" s="3"/>
      <c r="R291" s="3"/>
      <c r="S291" s="3"/>
      <c r="T291" s="3"/>
      <c r="U291" s="3"/>
      <c r="V291" s="4"/>
      <c r="W291" s="3"/>
      <c r="X291" s="3"/>
      <c r="Y291" s="3"/>
      <c r="Z291" s="3"/>
      <c r="AA291" s="4"/>
      <c r="AB291" s="3"/>
      <c r="AC291" s="3"/>
      <c r="AD291" s="4"/>
    </row>
    <row r="292" spans="1:30" ht="15.75" customHeight="1">
      <c r="A292" s="3"/>
      <c r="B292" s="3"/>
      <c r="C292" s="3"/>
      <c r="D292" s="3"/>
      <c r="E292" s="3"/>
      <c r="F292" s="3"/>
      <c r="G292" s="3"/>
      <c r="H292" s="3"/>
      <c r="I292" s="3"/>
      <c r="J292" s="3"/>
      <c r="K292" s="3"/>
      <c r="L292" s="22"/>
      <c r="M292" s="3"/>
      <c r="N292" s="3"/>
      <c r="O292" s="3"/>
      <c r="P292" s="3"/>
      <c r="Q292" s="3"/>
      <c r="R292" s="3"/>
      <c r="S292" s="3"/>
      <c r="T292" s="3"/>
      <c r="U292" s="3"/>
      <c r="V292" s="4"/>
      <c r="W292" s="3"/>
      <c r="X292" s="12"/>
      <c r="Y292" s="3"/>
      <c r="Z292" s="3"/>
      <c r="AA292" s="3"/>
      <c r="AB292" s="3"/>
      <c r="AC292" s="3"/>
      <c r="AD292" s="3"/>
    </row>
    <row r="293" spans="1:30" ht="15.75" customHeight="1">
      <c r="A293" s="6"/>
      <c r="B293" s="6"/>
      <c r="C293" s="6"/>
      <c r="D293" s="6"/>
      <c r="E293" s="6"/>
      <c r="F293" s="6"/>
      <c r="G293" s="6"/>
      <c r="H293" s="3"/>
      <c r="I293" s="3"/>
      <c r="J293" s="3"/>
      <c r="K293" s="3"/>
      <c r="L293" s="3"/>
      <c r="M293" s="3"/>
      <c r="N293" s="3"/>
      <c r="O293" s="3"/>
      <c r="P293" s="3"/>
      <c r="Q293" s="3"/>
      <c r="R293" s="3"/>
      <c r="S293" s="3"/>
      <c r="T293" s="3"/>
      <c r="U293" s="3"/>
      <c r="V293" s="12"/>
      <c r="W293" s="9"/>
      <c r="X293" s="9"/>
      <c r="Y293" s="3"/>
      <c r="Z293" s="3"/>
      <c r="AA293" s="3"/>
      <c r="AB293" s="3"/>
      <c r="AC293" s="3"/>
      <c r="AD293" s="3"/>
    </row>
    <row r="294" spans="1:30" ht="15.75" customHeight="1">
      <c r="A294" s="3"/>
      <c r="B294" s="3"/>
      <c r="C294" s="3"/>
      <c r="D294" s="3"/>
      <c r="E294" s="3"/>
      <c r="F294" s="3"/>
      <c r="G294" s="3"/>
      <c r="H294" s="6"/>
      <c r="I294" s="6"/>
      <c r="J294" s="6"/>
      <c r="K294" s="6"/>
      <c r="L294" s="6"/>
      <c r="M294" s="6"/>
      <c r="N294" s="6"/>
      <c r="O294" s="6"/>
      <c r="P294" s="6"/>
      <c r="Q294" s="6"/>
      <c r="R294" s="6"/>
      <c r="S294" s="6"/>
      <c r="T294" s="6"/>
      <c r="U294" s="6"/>
      <c r="V294" s="7"/>
      <c r="W294" s="6"/>
      <c r="X294" s="41"/>
      <c r="Y294" s="6"/>
      <c r="Z294" s="6"/>
      <c r="AA294" s="6"/>
      <c r="AB294" s="6"/>
      <c r="AC294" s="6"/>
      <c r="AD294" s="6"/>
    </row>
    <row r="295" spans="1:30" ht="15.75" customHeight="1">
      <c r="A295" s="3"/>
      <c r="B295" s="3"/>
      <c r="C295" s="3"/>
      <c r="D295" s="3"/>
      <c r="E295" s="3"/>
      <c r="F295" s="3"/>
      <c r="G295" s="3"/>
      <c r="H295" s="3"/>
      <c r="I295" s="3"/>
      <c r="J295" s="3"/>
      <c r="K295" s="3"/>
      <c r="L295" s="3"/>
      <c r="M295" s="3"/>
      <c r="N295" s="3"/>
      <c r="O295" s="3"/>
      <c r="P295" s="3"/>
      <c r="Q295" s="3"/>
      <c r="R295" s="3"/>
      <c r="S295" s="3"/>
      <c r="T295" s="3"/>
      <c r="U295" s="3"/>
      <c r="V295" s="4"/>
      <c r="W295" s="3"/>
      <c r="X295" s="3"/>
      <c r="Y295" s="3"/>
      <c r="Z295" s="3"/>
      <c r="AA295" s="4"/>
      <c r="AB295" s="3"/>
      <c r="AC295" s="3"/>
      <c r="AD295" s="3"/>
    </row>
    <row r="296" spans="1:30" ht="15.75" customHeight="1">
      <c r="A296" s="3"/>
      <c r="B296" s="3"/>
      <c r="C296" s="3"/>
      <c r="D296" s="3"/>
      <c r="E296" s="3"/>
      <c r="F296" s="3"/>
      <c r="G296" s="3"/>
      <c r="H296" s="3"/>
      <c r="I296" s="3"/>
      <c r="J296" s="3"/>
      <c r="K296" s="3"/>
      <c r="L296" s="3"/>
      <c r="M296" s="3"/>
      <c r="N296" s="3"/>
      <c r="O296" s="3"/>
      <c r="P296" s="3"/>
      <c r="Q296" s="3"/>
      <c r="R296" s="3"/>
      <c r="S296" s="3"/>
      <c r="T296" s="3"/>
      <c r="U296" s="3"/>
      <c r="V296" s="4"/>
      <c r="W296" s="3"/>
      <c r="X296" s="3"/>
      <c r="Y296" s="3"/>
      <c r="Z296" s="3"/>
      <c r="AA296" s="4"/>
      <c r="AB296" s="3"/>
      <c r="AC296" s="3"/>
      <c r="AD296" s="3"/>
    </row>
    <row r="297" spans="1:30" ht="15.75" customHeight="1">
      <c r="A297" s="3"/>
      <c r="B297" s="3"/>
      <c r="C297" s="3"/>
      <c r="D297" s="3"/>
      <c r="E297" s="3"/>
      <c r="F297" s="3"/>
      <c r="G297" s="3"/>
      <c r="H297" s="3"/>
      <c r="I297" s="3"/>
      <c r="J297" s="3"/>
      <c r="K297" s="3"/>
      <c r="L297" s="3"/>
      <c r="M297" s="3"/>
      <c r="N297" s="3"/>
      <c r="O297" s="3"/>
      <c r="P297" s="3"/>
      <c r="Q297" s="3"/>
      <c r="R297" s="3"/>
      <c r="S297" s="3"/>
      <c r="T297" s="3"/>
      <c r="U297" s="3"/>
      <c r="V297" s="4"/>
      <c r="W297" s="3"/>
      <c r="X297" s="3"/>
      <c r="Y297" s="3"/>
      <c r="Z297" s="3"/>
      <c r="AA297" s="3"/>
      <c r="AB297" s="3"/>
      <c r="AC297" s="3"/>
      <c r="AD297" s="3"/>
    </row>
    <row r="298" spans="1:30" ht="15.75" customHeight="1">
      <c r="A298" s="3"/>
      <c r="B298" s="3"/>
      <c r="C298" s="3"/>
      <c r="D298" s="3"/>
      <c r="E298" s="3"/>
      <c r="F298" s="3"/>
      <c r="G298" s="3"/>
      <c r="H298" s="3"/>
      <c r="I298" s="3"/>
      <c r="J298" s="3"/>
      <c r="K298" s="3"/>
      <c r="L298" s="3"/>
      <c r="M298" s="3"/>
      <c r="N298" s="3"/>
      <c r="O298" s="3"/>
      <c r="P298" s="3"/>
      <c r="Q298" s="3"/>
      <c r="R298" s="3"/>
      <c r="S298" s="3"/>
      <c r="T298" s="3"/>
      <c r="U298" s="3"/>
      <c r="V298" s="4"/>
      <c r="W298" s="3"/>
      <c r="X298" s="12"/>
      <c r="Y298" s="3"/>
      <c r="Z298" s="3"/>
      <c r="AA298" s="3"/>
      <c r="AB298" s="3"/>
      <c r="AC298" s="3"/>
      <c r="AD298" s="3"/>
    </row>
    <row r="299" spans="1:30" ht="15.75" customHeight="1">
      <c r="A299" s="3"/>
      <c r="B299" s="3"/>
      <c r="C299" s="3"/>
      <c r="D299" s="3"/>
      <c r="E299" s="3"/>
      <c r="F299" s="3"/>
      <c r="G299" s="3"/>
      <c r="H299" s="3"/>
      <c r="I299" s="3"/>
      <c r="J299" s="3"/>
      <c r="K299" s="3"/>
      <c r="L299" s="3"/>
      <c r="M299" s="3"/>
      <c r="N299" s="3"/>
      <c r="O299" s="3"/>
      <c r="P299" s="3"/>
      <c r="Q299" s="3"/>
      <c r="R299" s="3"/>
      <c r="S299" s="3"/>
      <c r="T299" s="3"/>
      <c r="U299" s="3"/>
      <c r="V299" s="4"/>
      <c r="W299" s="3"/>
      <c r="X299" s="3"/>
      <c r="Y299" s="3"/>
      <c r="Z299" s="3"/>
      <c r="AA299" s="3"/>
      <c r="AB299" s="3"/>
      <c r="AC299" s="3"/>
      <c r="AD299" s="3"/>
    </row>
    <row r="300" spans="1:30" ht="15.75" customHeight="1">
      <c r="A300" s="3"/>
      <c r="B300" s="3"/>
      <c r="C300" s="3"/>
      <c r="D300" s="3"/>
      <c r="E300" s="3"/>
      <c r="F300" s="3"/>
      <c r="G300" s="3"/>
      <c r="H300" s="3"/>
      <c r="I300" s="3"/>
      <c r="J300" s="3"/>
      <c r="K300" s="3"/>
      <c r="L300" s="3"/>
      <c r="M300" s="3"/>
      <c r="N300" s="3"/>
      <c r="O300" s="3"/>
      <c r="P300" s="3"/>
      <c r="Q300" s="3"/>
      <c r="R300" s="3"/>
      <c r="S300" s="3"/>
      <c r="T300" s="3"/>
      <c r="U300" s="3"/>
      <c r="V300" s="4"/>
      <c r="W300" s="3"/>
      <c r="X300" s="3"/>
      <c r="Y300" s="3"/>
      <c r="Z300" s="3"/>
      <c r="AA300" s="4"/>
      <c r="AB300" s="3"/>
      <c r="AC300" s="3"/>
      <c r="AD300" s="4"/>
    </row>
    <row r="301" spans="1:30" ht="15.75" customHeight="1">
      <c r="A301" s="3"/>
      <c r="B301" s="3"/>
      <c r="C301" s="3"/>
      <c r="D301" s="3"/>
      <c r="E301" s="3"/>
      <c r="F301" s="3"/>
      <c r="G301" s="3"/>
      <c r="H301" s="3"/>
      <c r="I301" s="3"/>
      <c r="J301" s="3"/>
      <c r="K301" s="3"/>
      <c r="L301" s="3"/>
      <c r="M301" s="3"/>
      <c r="N301" s="3"/>
      <c r="O301" s="3"/>
      <c r="P301" s="3"/>
      <c r="Q301" s="3"/>
      <c r="R301" s="3"/>
      <c r="S301" s="3"/>
      <c r="T301" s="3"/>
      <c r="U301" s="3"/>
      <c r="V301" s="4"/>
      <c r="W301" s="3"/>
      <c r="X301" s="3"/>
      <c r="Y301" s="3"/>
      <c r="Z301" s="3"/>
      <c r="AA301" s="4"/>
      <c r="AB301" s="3"/>
      <c r="AC301" s="3"/>
      <c r="AD301" s="4"/>
    </row>
    <row r="302" spans="1:30" ht="15.75" customHeight="1">
      <c r="A302" s="3"/>
      <c r="B302" s="3"/>
      <c r="C302" s="3"/>
      <c r="D302" s="3"/>
      <c r="E302" s="3"/>
      <c r="F302" s="3"/>
      <c r="G302" s="3"/>
      <c r="H302" s="3"/>
      <c r="I302" s="3"/>
      <c r="J302" s="3"/>
      <c r="K302" s="3"/>
      <c r="L302" s="3"/>
      <c r="M302" s="3"/>
      <c r="N302" s="3"/>
      <c r="O302" s="3"/>
      <c r="P302" s="3"/>
      <c r="Q302" s="3"/>
      <c r="R302" s="3"/>
      <c r="S302" s="3"/>
      <c r="T302" s="3"/>
      <c r="U302" s="3"/>
      <c r="V302" s="4"/>
      <c r="W302" s="3"/>
      <c r="X302" s="3"/>
      <c r="Y302" s="3"/>
      <c r="Z302" s="3"/>
      <c r="AA302" s="3"/>
      <c r="AB302" s="3"/>
      <c r="AC302" s="3"/>
      <c r="AD302" s="3"/>
    </row>
    <row r="303" spans="1:30" ht="15.75" customHeight="1">
      <c r="A303" s="3"/>
      <c r="B303" s="3"/>
      <c r="C303" s="3"/>
      <c r="D303" s="3"/>
      <c r="E303" s="3"/>
      <c r="F303" s="3"/>
      <c r="G303" s="3"/>
      <c r="H303" s="3"/>
      <c r="I303" s="3"/>
      <c r="J303" s="3"/>
      <c r="K303" s="3"/>
      <c r="L303" s="3"/>
      <c r="M303" s="3"/>
      <c r="N303" s="3"/>
      <c r="O303" s="3"/>
      <c r="P303" s="3"/>
      <c r="Q303" s="3"/>
      <c r="R303" s="3"/>
      <c r="S303" s="3"/>
      <c r="T303" s="3"/>
      <c r="U303" s="3"/>
      <c r="V303" s="4"/>
      <c r="W303" s="3"/>
      <c r="X303" s="3"/>
      <c r="Y303" s="3"/>
      <c r="Z303" s="3"/>
      <c r="AA303" s="3"/>
      <c r="AB303" s="3"/>
      <c r="AC303" s="3"/>
      <c r="AD303" s="3"/>
    </row>
    <row r="304" spans="1:30" ht="15.75" customHeight="1">
      <c r="A304" s="3"/>
      <c r="B304" s="3"/>
      <c r="C304" s="3"/>
      <c r="D304" s="3"/>
      <c r="E304" s="3"/>
      <c r="F304" s="3"/>
      <c r="G304" s="3"/>
      <c r="H304" s="3"/>
      <c r="I304" s="3"/>
      <c r="J304" s="3"/>
      <c r="K304" s="3"/>
      <c r="L304" s="3"/>
      <c r="M304" s="3"/>
      <c r="N304" s="3"/>
      <c r="O304" s="3"/>
      <c r="P304" s="3"/>
      <c r="Q304" s="3"/>
      <c r="R304" s="3"/>
      <c r="S304" s="3"/>
      <c r="T304" s="3"/>
      <c r="U304" s="3"/>
      <c r="V304" s="4"/>
      <c r="W304" s="3"/>
      <c r="X304" s="3"/>
      <c r="Y304" s="3"/>
      <c r="Z304" s="3"/>
      <c r="AA304" s="3"/>
      <c r="AB304" s="3"/>
      <c r="AC304" s="3"/>
      <c r="AD304" s="3"/>
    </row>
    <row r="305" spans="1:30" ht="15.75" customHeight="1">
      <c r="A305" s="3"/>
      <c r="B305" s="3"/>
      <c r="C305" s="3"/>
      <c r="D305" s="3"/>
      <c r="E305" s="3"/>
      <c r="F305" s="3"/>
      <c r="G305" s="3"/>
      <c r="H305" s="3"/>
      <c r="I305" s="3"/>
      <c r="J305" s="3"/>
      <c r="K305" s="3"/>
      <c r="L305" s="3"/>
      <c r="M305" s="3"/>
      <c r="N305" s="3"/>
      <c r="O305" s="3"/>
      <c r="P305" s="3"/>
      <c r="Q305" s="3"/>
      <c r="R305" s="3"/>
      <c r="S305" s="3"/>
      <c r="T305" s="3"/>
      <c r="U305" s="3"/>
      <c r="V305" s="4"/>
      <c r="W305" s="3"/>
      <c r="X305" s="3"/>
      <c r="Y305" s="3"/>
      <c r="Z305" s="3"/>
      <c r="AA305" s="3"/>
      <c r="AB305" s="3"/>
      <c r="AC305" s="3"/>
      <c r="AD305" s="3"/>
    </row>
    <row r="306" spans="1:30" ht="15.75" customHeight="1">
      <c r="A306" s="3"/>
      <c r="B306" s="3"/>
      <c r="C306" s="3"/>
      <c r="D306" s="3"/>
      <c r="E306" s="3"/>
      <c r="F306" s="3"/>
      <c r="G306" s="3"/>
      <c r="H306" s="3"/>
      <c r="I306" s="3"/>
      <c r="J306" s="3"/>
      <c r="K306" s="3"/>
      <c r="L306" s="3"/>
      <c r="M306" s="3"/>
      <c r="N306" s="3"/>
      <c r="O306" s="3"/>
      <c r="P306" s="3"/>
      <c r="Q306" s="3"/>
      <c r="R306" s="3"/>
      <c r="S306" s="3"/>
      <c r="T306" s="3"/>
      <c r="U306" s="3"/>
      <c r="V306" s="4"/>
      <c r="W306" s="3"/>
      <c r="X306" s="3"/>
      <c r="Y306" s="3"/>
      <c r="Z306" s="3"/>
      <c r="AA306" s="4"/>
      <c r="AB306" s="3"/>
      <c r="AC306" s="3"/>
      <c r="AD306" s="3"/>
    </row>
    <row r="307" spans="1:30" ht="15.75" customHeight="1">
      <c r="A307" s="3"/>
      <c r="B307" s="3"/>
      <c r="C307" s="3"/>
      <c r="D307" s="3"/>
      <c r="E307" s="3"/>
      <c r="F307" s="3"/>
      <c r="G307" s="3"/>
      <c r="H307" s="3"/>
      <c r="I307" s="3"/>
      <c r="J307" s="3"/>
      <c r="K307" s="3"/>
      <c r="L307" s="3"/>
      <c r="M307" s="3"/>
      <c r="N307" s="3"/>
      <c r="O307" s="3"/>
      <c r="P307" s="3"/>
      <c r="Q307" s="3"/>
      <c r="R307" s="3"/>
      <c r="S307" s="3"/>
      <c r="T307" s="3"/>
      <c r="U307" s="3"/>
      <c r="V307" s="4"/>
      <c r="W307" s="3"/>
      <c r="X307" s="3"/>
      <c r="Y307" s="3"/>
      <c r="Z307" s="3"/>
      <c r="AA307" s="3"/>
      <c r="AB307" s="3"/>
      <c r="AC307" s="3"/>
      <c r="AD307" s="3"/>
    </row>
    <row r="308" spans="1:30" ht="15.75" customHeight="1">
      <c r="A308" s="3"/>
      <c r="B308" s="3"/>
      <c r="C308" s="3"/>
      <c r="D308" s="3"/>
      <c r="E308" s="3"/>
      <c r="F308" s="3"/>
      <c r="G308" s="3"/>
      <c r="H308" s="3"/>
      <c r="I308" s="3"/>
      <c r="J308" s="3"/>
      <c r="K308" s="3"/>
      <c r="L308" s="3"/>
      <c r="M308" s="3"/>
      <c r="N308" s="3"/>
      <c r="O308" s="3"/>
      <c r="P308" s="3"/>
      <c r="Q308" s="3"/>
      <c r="R308" s="3"/>
      <c r="S308" s="3"/>
      <c r="T308" s="3"/>
      <c r="U308" s="3"/>
      <c r="V308" s="4"/>
      <c r="W308" s="3"/>
      <c r="X308" s="3"/>
      <c r="Y308" s="3"/>
      <c r="Z308" s="3"/>
      <c r="AA308" s="4"/>
      <c r="AB308" s="3"/>
      <c r="AC308" s="3"/>
      <c r="AD308" s="3"/>
    </row>
    <row r="309" spans="1:30" ht="15.75" customHeight="1">
      <c r="A309" s="3"/>
      <c r="B309" s="3"/>
      <c r="C309" s="3"/>
      <c r="D309" s="3"/>
      <c r="E309" s="3"/>
      <c r="F309" s="3"/>
      <c r="G309" s="3"/>
      <c r="H309" s="3"/>
      <c r="I309" s="3"/>
      <c r="J309" s="3"/>
      <c r="K309" s="3"/>
      <c r="L309" s="3"/>
      <c r="M309" s="3"/>
      <c r="N309" s="3"/>
      <c r="O309" s="3"/>
      <c r="P309" s="3"/>
      <c r="Q309" s="3"/>
      <c r="R309" s="3"/>
      <c r="S309" s="3"/>
      <c r="T309" s="3"/>
      <c r="U309" s="3"/>
      <c r="V309" s="12"/>
      <c r="W309" s="3"/>
      <c r="X309" s="3"/>
      <c r="Y309" s="3"/>
      <c r="Z309" s="3"/>
      <c r="AA309" s="4"/>
      <c r="AB309" s="3"/>
      <c r="AC309" s="3"/>
      <c r="AD309" s="3"/>
    </row>
    <row r="310" spans="1:30" ht="15.75" customHeight="1">
      <c r="A310" s="3"/>
      <c r="B310" s="3"/>
      <c r="C310" s="3"/>
      <c r="D310" s="3"/>
      <c r="E310" s="3"/>
      <c r="F310" s="3"/>
      <c r="G310" s="3"/>
      <c r="H310" s="3"/>
      <c r="I310" s="3"/>
      <c r="J310" s="3"/>
      <c r="K310" s="3"/>
      <c r="L310" s="3"/>
      <c r="M310" s="3"/>
      <c r="N310" s="3"/>
      <c r="O310" s="3"/>
      <c r="P310" s="3"/>
      <c r="Q310" s="3"/>
      <c r="R310" s="3"/>
      <c r="S310" s="3"/>
      <c r="T310" s="3"/>
      <c r="U310" s="3"/>
      <c r="V310" s="4"/>
      <c r="W310" s="3"/>
      <c r="X310" s="3"/>
      <c r="Y310" s="3"/>
      <c r="Z310" s="3"/>
      <c r="AA310" s="4"/>
      <c r="AB310" s="3"/>
      <c r="AC310" s="3"/>
      <c r="AD310" s="3"/>
    </row>
    <row r="311" spans="1:30" ht="15.75" customHeight="1">
      <c r="A311" s="3"/>
      <c r="B311" s="3"/>
      <c r="C311" s="3"/>
      <c r="D311" s="3"/>
      <c r="E311" s="3"/>
      <c r="F311" s="3"/>
      <c r="G311" s="3"/>
      <c r="H311" s="3"/>
      <c r="I311" s="3"/>
      <c r="J311" s="3"/>
      <c r="K311" s="3"/>
      <c r="L311" s="3"/>
      <c r="M311" s="3"/>
      <c r="N311" s="3"/>
      <c r="O311" s="3"/>
      <c r="P311" s="3"/>
      <c r="Q311" s="3"/>
      <c r="R311" s="3"/>
      <c r="S311" s="3"/>
      <c r="T311" s="3"/>
      <c r="U311" s="3"/>
      <c r="V311" s="4"/>
      <c r="W311" s="3"/>
      <c r="X311" s="3"/>
      <c r="Y311" s="3"/>
      <c r="Z311" s="3"/>
      <c r="AA311" s="4"/>
      <c r="AB311" s="3"/>
      <c r="AC311" s="3"/>
      <c r="AD311" s="3"/>
    </row>
    <row r="312" spans="1:30" ht="15.75" customHeight="1">
      <c r="A312" s="3"/>
      <c r="B312" s="3"/>
      <c r="C312" s="3"/>
      <c r="D312" s="3"/>
      <c r="E312" s="3"/>
      <c r="F312" s="3"/>
      <c r="G312" s="3"/>
      <c r="H312" s="3"/>
      <c r="I312" s="3"/>
      <c r="J312" s="3"/>
      <c r="K312" s="3"/>
      <c r="L312" s="37"/>
      <c r="M312" s="3"/>
      <c r="N312" s="3"/>
      <c r="O312" s="3"/>
      <c r="P312" s="3"/>
      <c r="Q312" s="3"/>
      <c r="R312" s="3"/>
      <c r="S312" s="3"/>
      <c r="T312" s="3"/>
      <c r="U312" s="3"/>
      <c r="V312" s="4"/>
      <c r="W312" s="3"/>
      <c r="X312" s="4"/>
      <c r="Y312" s="3"/>
      <c r="Z312" s="3"/>
      <c r="AA312" s="4"/>
      <c r="AB312" s="3"/>
      <c r="AC312" s="3"/>
      <c r="AD312" s="3"/>
    </row>
    <row r="313" spans="1:30" ht="15.75" customHeight="1">
      <c r="A313" s="38"/>
      <c r="B313" s="38"/>
      <c r="C313" s="38"/>
      <c r="D313" s="38"/>
      <c r="E313" s="38"/>
      <c r="F313" s="38"/>
      <c r="G313" s="38"/>
      <c r="H313" s="3"/>
      <c r="I313" s="3"/>
      <c r="J313" s="3"/>
      <c r="K313" s="3"/>
      <c r="L313" s="37"/>
      <c r="M313" s="3"/>
      <c r="N313" s="3"/>
      <c r="O313" s="3"/>
      <c r="P313" s="3"/>
      <c r="Q313" s="3"/>
      <c r="R313" s="3"/>
      <c r="S313" s="3"/>
      <c r="T313" s="3"/>
      <c r="U313" s="3"/>
      <c r="V313" s="4"/>
      <c r="W313" s="3"/>
      <c r="X313" s="4"/>
      <c r="Y313" s="3"/>
      <c r="Z313" s="3"/>
      <c r="AA313" s="4"/>
      <c r="AB313" s="3"/>
      <c r="AC313" s="3"/>
      <c r="AD313" s="3"/>
    </row>
    <row r="314" spans="1:30" ht="15.75" customHeight="1">
      <c r="A314" s="38"/>
      <c r="B314" s="38"/>
      <c r="C314" s="38"/>
      <c r="D314" s="38"/>
      <c r="E314" s="38"/>
      <c r="F314" s="38"/>
      <c r="G314" s="38"/>
      <c r="H314" s="38"/>
      <c r="I314" s="38"/>
      <c r="J314" s="38"/>
      <c r="K314" s="38"/>
      <c r="L314" s="38"/>
      <c r="M314" s="38"/>
      <c r="N314" s="38"/>
      <c r="P314" s="38"/>
      <c r="Q314" s="38"/>
      <c r="R314" s="38"/>
      <c r="S314" s="38"/>
      <c r="T314" s="38"/>
      <c r="U314" s="38"/>
      <c r="V314" s="42"/>
      <c r="W314" s="38"/>
      <c r="X314" s="38"/>
      <c r="Y314" s="38"/>
      <c r="Z314" s="38"/>
      <c r="AA314" s="38"/>
      <c r="AB314" s="38"/>
      <c r="AC314" s="38"/>
      <c r="AD314" s="38"/>
    </row>
    <row r="315" spans="1:30" ht="15.75" customHeight="1">
      <c r="A315" s="38"/>
      <c r="B315" s="38"/>
      <c r="C315" s="38"/>
      <c r="D315" s="38"/>
      <c r="E315" s="38"/>
      <c r="F315" s="38"/>
      <c r="G315" s="38"/>
      <c r="H315" s="38"/>
      <c r="I315" s="38"/>
      <c r="J315" s="38"/>
      <c r="K315" s="38"/>
      <c r="L315" s="38"/>
      <c r="M315" s="38"/>
      <c r="N315" s="38"/>
      <c r="P315" s="38"/>
      <c r="Q315" s="38"/>
      <c r="R315" s="38"/>
      <c r="S315" s="38"/>
      <c r="T315" s="38"/>
      <c r="U315" s="38"/>
      <c r="V315" s="36"/>
      <c r="W315" s="38"/>
      <c r="X315" s="38"/>
      <c r="Y315" s="38"/>
      <c r="Z315" s="38"/>
      <c r="AA315" s="38"/>
      <c r="AB315" s="38"/>
      <c r="AC315" s="38"/>
      <c r="AD315" s="38"/>
    </row>
    <row r="316" spans="1:30" ht="15.75" customHeight="1">
      <c r="A316" s="38"/>
      <c r="B316" s="38"/>
      <c r="C316" s="38"/>
      <c r="D316" s="38"/>
      <c r="E316" s="38"/>
      <c r="F316" s="38"/>
      <c r="G316" s="38"/>
      <c r="H316" s="38"/>
      <c r="I316" s="38"/>
      <c r="J316" s="38"/>
      <c r="K316" s="38"/>
      <c r="L316" s="38"/>
      <c r="M316" s="38"/>
      <c r="N316" s="38"/>
      <c r="P316" s="38"/>
      <c r="Q316" s="38"/>
      <c r="R316" s="38"/>
      <c r="S316" s="38"/>
      <c r="T316" s="38"/>
      <c r="U316" s="38"/>
      <c r="V316" s="36"/>
      <c r="W316" s="38"/>
      <c r="X316" s="38"/>
      <c r="Y316" s="38"/>
      <c r="Z316" s="38"/>
      <c r="AA316" s="38"/>
      <c r="AB316" s="38"/>
      <c r="AC316" s="38"/>
      <c r="AD316" s="38"/>
    </row>
    <row r="317" spans="1:30" ht="15.75" customHeight="1">
      <c r="A317" s="38"/>
      <c r="B317" s="38"/>
      <c r="C317" s="38"/>
      <c r="D317" s="38"/>
      <c r="E317" s="38"/>
      <c r="F317" s="38"/>
      <c r="G317" s="38"/>
      <c r="H317" s="38"/>
      <c r="I317" s="38"/>
      <c r="J317" s="38"/>
      <c r="K317" s="38"/>
      <c r="L317" s="38"/>
      <c r="M317" s="38"/>
      <c r="N317" s="38"/>
      <c r="P317" s="38"/>
      <c r="Q317" s="38"/>
      <c r="R317" s="38"/>
      <c r="S317" s="38"/>
      <c r="T317" s="38"/>
      <c r="U317" s="38"/>
      <c r="V317" s="36"/>
      <c r="W317" s="38"/>
      <c r="X317" s="38"/>
      <c r="Y317" s="38"/>
      <c r="Z317" s="38"/>
      <c r="AA317" s="38"/>
      <c r="AB317" s="38"/>
      <c r="AC317" s="38"/>
      <c r="AD317" s="38"/>
    </row>
    <row r="318" spans="1:30" ht="15.75" customHeight="1">
      <c r="A318" s="44"/>
      <c r="B318" s="44"/>
      <c r="C318" s="44"/>
      <c r="D318" s="44"/>
      <c r="E318" s="44"/>
      <c r="F318" s="44"/>
      <c r="G318" s="44"/>
      <c r="H318" s="38"/>
      <c r="I318" s="38"/>
      <c r="J318" s="38"/>
      <c r="K318" s="38"/>
      <c r="L318" s="38"/>
      <c r="M318" s="38"/>
      <c r="N318" s="38"/>
      <c r="P318" s="38"/>
      <c r="Q318" s="38"/>
      <c r="R318" s="38"/>
      <c r="S318" s="38"/>
      <c r="T318" s="38"/>
      <c r="U318" s="38"/>
      <c r="V318" s="36"/>
      <c r="W318" s="43"/>
      <c r="X318" s="36"/>
      <c r="Y318" s="38"/>
      <c r="Z318" s="38"/>
      <c r="AA318" s="38"/>
      <c r="AB318" s="38"/>
      <c r="AC318" s="38"/>
      <c r="AD318" s="38"/>
    </row>
    <row r="319" spans="1:30"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row>
    <row r="320" spans="1:3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row>
    <row r="321" spans="1:30" ht="15.75" customHeight="1">
      <c r="A321" s="3"/>
      <c r="B321" s="3"/>
      <c r="C321" s="3"/>
      <c r="D321" s="3"/>
      <c r="E321" s="3"/>
      <c r="F321" s="3"/>
      <c r="G321" s="3"/>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row>
    <row r="322" spans="1:30"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ht="15.75" customHeight="1">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ht="15.75" customHeight="1"/>
    <row r="520" spans="1:30" ht="15.75" customHeight="1"/>
    <row r="521" spans="1:30" ht="15.75" customHeight="1"/>
    <row r="522" spans="1:30" ht="15.75" customHeight="1"/>
    <row r="523" spans="1:30" ht="15.75" customHeight="1"/>
    <row r="524" spans="1:30" ht="15.75" customHeight="1"/>
    <row r="525" spans="1:30" ht="15.75" customHeight="1"/>
    <row r="526" spans="1:30" ht="15.75" customHeight="1"/>
    <row r="527" spans="1:30" ht="15.75" customHeight="1"/>
    <row r="528" spans="1:30"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AD313" xr:uid="{00000000-0009-0000-0000-000000000000}"/>
  <conditionalFormatting sqref="L34">
    <cfRule type="containsBlanks" dxfId="0" priority="1">
      <formula>LEN(TRIM(L34))=0</formula>
    </cfRule>
  </conditionalFormatting>
  <hyperlinks>
    <hyperlink ref="V2" r:id="rId1" xr:uid="{00000000-0004-0000-0000-000000000000}"/>
    <hyperlink ref="AA2" r:id="rId2" xr:uid="{00000000-0004-0000-0000-000001000000}"/>
    <hyperlink ref="V3" r:id="rId3" xr:uid="{00000000-0004-0000-0000-000002000000}"/>
    <hyperlink ref="V4" r:id="rId4" xr:uid="{00000000-0004-0000-0000-000003000000}"/>
    <hyperlink ref="AA4" r:id="rId5" xr:uid="{00000000-0004-0000-0000-000004000000}"/>
    <hyperlink ref="V5" r:id="rId6" xr:uid="{00000000-0004-0000-0000-000005000000}"/>
    <hyperlink ref="X5" r:id="rId7" location="metadata_info_tab_contents" xr:uid="{00000000-0004-0000-0000-000006000000}"/>
    <hyperlink ref="V6" r:id="rId8" xr:uid="{00000000-0004-0000-0000-000007000000}"/>
    <hyperlink ref="V7" r:id="rId9" xr:uid="{00000000-0004-0000-0000-000008000000}"/>
  </hyperlinks>
  <pageMargins left="0.7" right="0.7" top="0.75" bottom="0.75" header="0" footer="0"/>
  <pageSetup orientation="landscape"/>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pane ySplit="1" topLeftCell="A2" activePane="bottomLeft" state="frozen"/>
      <selection pane="bottomLeft" activeCell="B3" sqref="B3"/>
    </sheetView>
  </sheetViews>
  <sheetFormatPr baseColWidth="10" defaultColWidth="12.6640625" defaultRowHeight="15" customHeight="1"/>
  <cols>
    <col min="1" max="1" width="34.33203125" customWidth="1"/>
    <col min="2" max="2" width="40.33203125" customWidth="1"/>
    <col min="3" max="4" width="34.33203125" customWidth="1"/>
    <col min="5" max="5" width="98" customWidth="1"/>
    <col min="6" max="6" width="50.1640625" customWidth="1"/>
    <col min="7" max="7" width="49.1640625" customWidth="1"/>
    <col min="8" max="8" width="35.33203125" customWidth="1"/>
    <col min="9" max="9" width="81.33203125" customWidth="1"/>
  </cols>
  <sheetData>
    <row r="1" spans="1:9" ht="18.75" customHeight="1">
      <c r="A1" s="45">
        <v>37</v>
      </c>
      <c r="B1" s="45" t="s">
        <v>635</v>
      </c>
      <c r="C1" s="46" t="s">
        <v>636</v>
      </c>
      <c r="D1" s="46" t="s">
        <v>637</v>
      </c>
      <c r="E1" s="45" t="s">
        <v>638</v>
      </c>
      <c r="F1" s="45" t="s">
        <v>639</v>
      </c>
      <c r="G1" s="45" t="s">
        <v>640</v>
      </c>
      <c r="H1" s="47" t="s">
        <v>641</v>
      </c>
      <c r="I1" s="47" t="s">
        <v>642</v>
      </c>
    </row>
    <row r="2" spans="1:9" ht="15.75" customHeight="1">
      <c r="A2" s="48" t="s">
        <v>180</v>
      </c>
      <c r="B2" s="48" t="s">
        <v>180</v>
      </c>
      <c r="C2" s="49" t="s">
        <v>643</v>
      </c>
      <c r="D2" s="49" t="s">
        <v>644</v>
      </c>
      <c r="E2" s="49" t="s">
        <v>645</v>
      </c>
      <c r="F2" s="49"/>
      <c r="G2" s="49"/>
      <c r="H2" s="49" t="s">
        <v>182</v>
      </c>
      <c r="I2" s="50" t="s">
        <v>183</v>
      </c>
    </row>
    <row r="3" spans="1:9" ht="15.75" customHeight="1">
      <c r="A3" s="48" t="s">
        <v>192</v>
      </c>
      <c r="B3" s="48" t="s">
        <v>192</v>
      </c>
      <c r="C3" s="49" t="s">
        <v>643</v>
      </c>
      <c r="D3" s="49" t="s">
        <v>646</v>
      </c>
      <c r="E3" s="49" t="s">
        <v>647</v>
      </c>
      <c r="F3" s="49"/>
      <c r="G3" s="49" t="s">
        <v>648</v>
      </c>
      <c r="H3" s="49" t="s">
        <v>649</v>
      </c>
      <c r="I3" s="50" t="s">
        <v>650</v>
      </c>
    </row>
    <row r="4" spans="1:9" ht="15.75" customHeight="1">
      <c r="A4" s="48" t="s">
        <v>192</v>
      </c>
      <c r="B4" s="48" t="s">
        <v>192</v>
      </c>
      <c r="C4" s="49" t="s">
        <v>643</v>
      </c>
      <c r="D4" s="49" t="s">
        <v>646</v>
      </c>
      <c r="E4" s="49"/>
      <c r="F4" s="49"/>
      <c r="G4" s="49"/>
      <c r="H4" s="49" t="s">
        <v>194</v>
      </c>
      <c r="I4" s="50" t="s">
        <v>651</v>
      </c>
    </row>
    <row r="5" spans="1:9" ht="15.75" customHeight="1">
      <c r="A5" s="48" t="s">
        <v>192</v>
      </c>
      <c r="B5" s="48" t="s">
        <v>192</v>
      </c>
      <c r="C5" s="49" t="s">
        <v>643</v>
      </c>
      <c r="D5" s="49" t="s">
        <v>652</v>
      </c>
      <c r="E5" s="49" t="s">
        <v>653</v>
      </c>
      <c r="F5" s="49"/>
      <c r="G5" s="49" t="s">
        <v>654</v>
      </c>
      <c r="H5" s="49" t="s">
        <v>655</v>
      </c>
      <c r="I5" s="50" t="s">
        <v>656</v>
      </c>
    </row>
    <row r="6" spans="1:9" ht="15.75" customHeight="1">
      <c r="A6" s="48" t="s">
        <v>192</v>
      </c>
      <c r="B6" s="48" t="s">
        <v>192</v>
      </c>
      <c r="C6" s="49" t="s">
        <v>643</v>
      </c>
      <c r="D6" s="49" t="s">
        <v>657</v>
      </c>
      <c r="E6" s="49" t="s">
        <v>658</v>
      </c>
      <c r="F6" s="49"/>
      <c r="G6" s="49" t="s">
        <v>659</v>
      </c>
      <c r="H6" s="49" t="s">
        <v>660</v>
      </c>
      <c r="I6" s="50" t="s">
        <v>661</v>
      </c>
    </row>
    <row r="7" spans="1:9" ht="15.75" customHeight="1">
      <c r="A7" s="48" t="s">
        <v>192</v>
      </c>
      <c r="B7" s="48" t="s">
        <v>192</v>
      </c>
      <c r="C7" s="49" t="s">
        <v>643</v>
      </c>
      <c r="D7" s="49" t="s">
        <v>662</v>
      </c>
      <c r="E7" s="49" t="s">
        <v>663</v>
      </c>
      <c r="F7" s="49"/>
      <c r="G7" s="49"/>
      <c r="H7" s="49" t="s">
        <v>660</v>
      </c>
      <c r="I7" s="50" t="s">
        <v>661</v>
      </c>
    </row>
    <row r="8" spans="1:9" ht="15.75" customHeight="1">
      <c r="A8" s="48" t="s">
        <v>192</v>
      </c>
      <c r="B8" s="48" t="s">
        <v>192</v>
      </c>
      <c r="C8" s="49" t="s">
        <v>643</v>
      </c>
      <c r="D8" s="49" t="s">
        <v>664</v>
      </c>
      <c r="E8" s="49" t="s">
        <v>665</v>
      </c>
      <c r="F8" s="49"/>
      <c r="G8" s="49"/>
      <c r="H8" s="49" t="s">
        <v>351</v>
      </c>
      <c r="I8" s="50" t="s">
        <v>666</v>
      </c>
    </row>
    <row r="9" spans="1:9" ht="15.75" customHeight="1">
      <c r="A9" s="48" t="s">
        <v>192</v>
      </c>
      <c r="B9" s="48" t="s">
        <v>192</v>
      </c>
      <c r="C9" s="49" t="s">
        <v>643</v>
      </c>
      <c r="D9" s="49" t="s">
        <v>667</v>
      </c>
      <c r="E9" s="49" t="s">
        <v>668</v>
      </c>
      <c r="F9" s="49"/>
      <c r="G9" s="49" t="s">
        <v>669</v>
      </c>
      <c r="H9" s="49" t="s">
        <v>670</v>
      </c>
      <c r="I9" s="50" t="s">
        <v>671</v>
      </c>
    </row>
    <row r="10" spans="1:9" ht="15.75" customHeight="1">
      <c r="A10" s="51" t="s">
        <v>672</v>
      </c>
      <c r="B10" s="51" t="s">
        <v>673</v>
      </c>
      <c r="C10" s="52" t="s">
        <v>674</v>
      </c>
      <c r="D10" s="52"/>
      <c r="E10" s="52" t="s">
        <v>675</v>
      </c>
      <c r="F10" s="52"/>
      <c r="G10" s="52"/>
      <c r="H10" s="52" t="s">
        <v>676</v>
      </c>
      <c r="I10" s="53" t="s">
        <v>677</v>
      </c>
    </row>
    <row r="11" spans="1:9" ht="18.75" customHeight="1">
      <c r="A11" s="51" t="s">
        <v>672</v>
      </c>
      <c r="B11" s="51" t="s">
        <v>673</v>
      </c>
      <c r="C11" s="52" t="s">
        <v>674</v>
      </c>
      <c r="D11" s="52" t="s">
        <v>678</v>
      </c>
      <c r="E11" s="52" t="s">
        <v>679</v>
      </c>
      <c r="F11" s="52"/>
      <c r="G11" s="52"/>
      <c r="H11" s="52" t="s">
        <v>676</v>
      </c>
      <c r="I11" s="53" t="s">
        <v>677</v>
      </c>
    </row>
    <row r="12" spans="1:9" ht="15.75" customHeight="1">
      <c r="A12" s="51" t="s">
        <v>672</v>
      </c>
      <c r="B12" s="51" t="s">
        <v>673</v>
      </c>
      <c r="C12" s="52" t="s">
        <v>674</v>
      </c>
      <c r="D12" s="54" t="s">
        <v>680</v>
      </c>
      <c r="E12" s="52" t="s">
        <v>681</v>
      </c>
      <c r="F12" s="52"/>
      <c r="G12" s="52"/>
      <c r="H12" s="52" t="s">
        <v>676</v>
      </c>
      <c r="I12" s="53" t="s">
        <v>677</v>
      </c>
    </row>
    <row r="13" spans="1:9" ht="18.75" customHeight="1">
      <c r="A13" s="51" t="s">
        <v>682</v>
      </c>
      <c r="B13" s="51" t="s">
        <v>331</v>
      </c>
      <c r="C13" s="52" t="s">
        <v>674</v>
      </c>
      <c r="D13" s="52" t="s">
        <v>683</v>
      </c>
      <c r="E13" s="52" t="s">
        <v>684</v>
      </c>
      <c r="F13" s="52"/>
      <c r="G13" s="52" t="s">
        <v>685</v>
      </c>
      <c r="H13" s="52" t="s">
        <v>337</v>
      </c>
      <c r="I13" s="53" t="s">
        <v>338</v>
      </c>
    </row>
    <row r="14" spans="1:9" ht="18.75" customHeight="1">
      <c r="A14" s="51" t="s">
        <v>682</v>
      </c>
      <c r="B14" s="51" t="s">
        <v>331</v>
      </c>
      <c r="C14" s="52" t="s">
        <v>674</v>
      </c>
      <c r="D14" s="52"/>
      <c r="E14" s="52" t="s">
        <v>686</v>
      </c>
      <c r="F14" s="52"/>
      <c r="G14" s="52" t="s">
        <v>687</v>
      </c>
      <c r="H14" s="52" t="s">
        <v>688</v>
      </c>
      <c r="I14" s="53" t="s">
        <v>689</v>
      </c>
    </row>
    <row r="15" spans="1:9" ht="15.75" customHeight="1">
      <c r="A15" s="51" t="s">
        <v>682</v>
      </c>
      <c r="B15" s="51" t="s">
        <v>331</v>
      </c>
      <c r="C15" s="52" t="s">
        <v>674</v>
      </c>
      <c r="D15" s="52" t="s">
        <v>690</v>
      </c>
      <c r="E15" s="52" t="s">
        <v>691</v>
      </c>
      <c r="F15" s="52"/>
      <c r="G15" s="52"/>
      <c r="H15" s="52" t="s">
        <v>692</v>
      </c>
      <c r="I15" s="53" t="s">
        <v>693</v>
      </c>
    </row>
    <row r="16" spans="1:9" ht="15.75" customHeight="1">
      <c r="A16" s="51" t="s">
        <v>682</v>
      </c>
      <c r="B16" s="51" t="s">
        <v>331</v>
      </c>
      <c r="C16" s="52" t="s">
        <v>674</v>
      </c>
      <c r="D16" s="52" t="s">
        <v>694</v>
      </c>
      <c r="E16" s="52" t="s">
        <v>695</v>
      </c>
      <c r="F16" s="52"/>
      <c r="G16" s="52"/>
      <c r="H16" s="52" t="s">
        <v>339</v>
      </c>
      <c r="I16" s="53" t="s">
        <v>340</v>
      </c>
    </row>
    <row r="17" spans="1:9" ht="18.75" customHeight="1">
      <c r="A17" s="51" t="s">
        <v>682</v>
      </c>
      <c r="B17" s="51" t="s">
        <v>323</v>
      </c>
      <c r="C17" s="52" t="s">
        <v>674</v>
      </c>
      <c r="D17" s="52" t="s">
        <v>696</v>
      </c>
      <c r="E17" s="52" t="s">
        <v>697</v>
      </c>
      <c r="F17" s="52"/>
      <c r="G17" s="52"/>
      <c r="H17" s="52" t="s">
        <v>333</v>
      </c>
      <c r="I17" s="53" t="s">
        <v>698</v>
      </c>
    </row>
    <row r="18" spans="1:9" ht="15.75" customHeight="1">
      <c r="A18" s="51" t="s">
        <v>682</v>
      </c>
      <c r="B18" s="51" t="s">
        <v>323</v>
      </c>
      <c r="C18" s="52" t="s">
        <v>674</v>
      </c>
      <c r="D18" s="52"/>
      <c r="E18" s="52" t="s">
        <v>699</v>
      </c>
      <c r="F18" s="52"/>
      <c r="G18" s="52"/>
      <c r="H18" s="52" t="s">
        <v>327</v>
      </c>
      <c r="I18" s="53" t="s">
        <v>328</v>
      </c>
    </row>
    <row r="19" spans="1:9" ht="15.75" customHeight="1">
      <c r="A19" s="51" t="s">
        <v>682</v>
      </c>
      <c r="B19" s="51" t="s">
        <v>323</v>
      </c>
      <c r="C19" s="52" t="s">
        <v>674</v>
      </c>
      <c r="D19" s="52" t="s">
        <v>700</v>
      </c>
      <c r="E19" s="52" t="s">
        <v>701</v>
      </c>
      <c r="F19" s="52"/>
      <c r="G19" s="52"/>
      <c r="H19" s="52" t="s">
        <v>327</v>
      </c>
      <c r="I19" s="53" t="s">
        <v>328</v>
      </c>
    </row>
    <row r="20" spans="1:9" ht="15.75" customHeight="1">
      <c r="A20" s="51" t="s">
        <v>682</v>
      </c>
      <c r="B20" s="51" t="s">
        <v>323</v>
      </c>
      <c r="C20" s="52" t="s">
        <v>674</v>
      </c>
      <c r="D20" s="52" t="s">
        <v>690</v>
      </c>
      <c r="E20" s="52" t="s">
        <v>702</v>
      </c>
      <c r="F20" s="52"/>
      <c r="G20" s="52"/>
      <c r="H20" s="52" t="s">
        <v>692</v>
      </c>
      <c r="I20" s="53" t="s">
        <v>693</v>
      </c>
    </row>
    <row r="21" spans="1:9" ht="18.75" customHeight="1">
      <c r="A21" s="51" t="s">
        <v>682</v>
      </c>
      <c r="B21" s="51" t="s">
        <v>332</v>
      </c>
      <c r="C21" s="52" t="s">
        <v>674</v>
      </c>
      <c r="D21" s="52" t="s">
        <v>703</v>
      </c>
      <c r="E21" s="52" t="s">
        <v>704</v>
      </c>
      <c r="F21" s="52"/>
      <c r="G21" s="52" t="s">
        <v>705</v>
      </c>
      <c r="H21" s="52" t="s">
        <v>339</v>
      </c>
      <c r="I21" s="53" t="s">
        <v>340</v>
      </c>
    </row>
    <row r="22" spans="1:9" ht="18.75" customHeight="1">
      <c r="A22" s="51" t="s">
        <v>629</v>
      </c>
      <c r="B22" s="51" t="s">
        <v>434</v>
      </c>
      <c r="C22" s="52" t="s">
        <v>674</v>
      </c>
      <c r="D22" s="52" t="s">
        <v>706</v>
      </c>
      <c r="E22" s="52" t="s">
        <v>707</v>
      </c>
      <c r="F22" s="52"/>
      <c r="G22" s="52"/>
      <c r="H22" s="52" t="s">
        <v>435</v>
      </c>
      <c r="I22" s="53" t="s">
        <v>708</v>
      </c>
    </row>
    <row r="23" spans="1:9" ht="15.75" customHeight="1">
      <c r="A23" s="51" t="s">
        <v>629</v>
      </c>
      <c r="B23" s="51" t="s">
        <v>709</v>
      </c>
      <c r="C23" s="52" t="s">
        <v>643</v>
      </c>
      <c r="D23" s="52" t="s">
        <v>710</v>
      </c>
      <c r="E23" s="52" t="s">
        <v>711</v>
      </c>
      <c r="F23" s="52"/>
      <c r="G23" s="52"/>
      <c r="H23" s="52" t="s">
        <v>712</v>
      </c>
      <c r="I23" s="53" t="s">
        <v>713</v>
      </c>
    </row>
    <row r="24" spans="1:9" ht="18.75" customHeight="1">
      <c r="A24" s="51" t="s">
        <v>629</v>
      </c>
      <c r="B24" s="55" t="s">
        <v>714</v>
      </c>
      <c r="C24" s="56" t="s">
        <v>674</v>
      </c>
      <c r="D24" s="56" t="s">
        <v>715</v>
      </c>
      <c r="E24" s="56" t="s">
        <v>716</v>
      </c>
      <c r="F24" s="56"/>
      <c r="G24" s="56"/>
      <c r="H24" s="56" t="s">
        <v>717</v>
      </c>
      <c r="I24" s="57" t="s">
        <v>718</v>
      </c>
    </row>
    <row r="25" spans="1:9" ht="18.75" customHeight="1">
      <c r="A25" s="51" t="s">
        <v>629</v>
      </c>
      <c r="B25" s="55" t="s">
        <v>714</v>
      </c>
      <c r="C25" s="56" t="s">
        <v>674</v>
      </c>
      <c r="D25" s="56" t="s">
        <v>719</v>
      </c>
      <c r="E25" s="56" t="s">
        <v>720</v>
      </c>
      <c r="F25" s="56"/>
      <c r="G25" s="56"/>
      <c r="H25" s="56" t="s">
        <v>717</v>
      </c>
      <c r="I25" s="57" t="s">
        <v>718</v>
      </c>
    </row>
    <row r="26" spans="1:9" ht="15.75" customHeight="1">
      <c r="A26" s="51" t="s">
        <v>629</v>
      </c>
      <c r="B26" s="51" t="s">
        <v>450</v>
      </c>
      <c r="C26" s="52" t="s">
        <v>643</v>
      </c>
      <c r="D26" s="52" t="s">
        <v>721</v>
      </c>
      <c r="E26" s="52" t="s">
        <v>722</v>
      </c>
      <c r="F26" s="52"/>
      <c r="G26" s="52"/>
      <c r="H26" s="52" t="s">
        <v>438</v>
      </c>
      <c r="I26" s="53" t="s">
        <v>440</v>
      </c>
    </row>
    <row r="27" spans="1:9" ht="76.5" customHeight="1">
      <c r="A27" s="58" t="s">
        <v>629</v>
      </c>
      <c r="B27" s="58" t="s">
        <v>709</v>
      </c>
      <c r="C27" s="59" t="s">
        <v>723</v>
      </c>
      <c r="D27" s="59" t="s">
        <v>724</v>
      </c>
      <c r="E27" s="59" t="s">
        <v>725</v>
      </c>
      <c r="F27" s="59"/>
      <c r="G27" s="59"/>
      <c r="H27" s="60" t="s">
        <v>726</v>
      </c>
      <c r="I27" s="61" t="s">
        <v>727</v>
      </c>
    </row>
    <row r="28" spans="1:9" ht="18.75" customHeight="1">
      <c r="A28" s="48" t="s">
        <v>453</v>
      </c>
      <c r="B28" s="48" t="s">
        <v>453</v>
      </c>
      <c r="C28" s="49" t="s">
        <v>643</v>
      </c>
      <c r="D28" s="49" t="s">
        <v>728</v>
      </c>
      <c r="E28" s="49" t="s">
        <v>729</v>
      </c>
      <c r="F28" s="49"/>
      <c r="G28" s="49"/>
      <c r="H28" s="49" t="s">
        <v>730</v>
      </c>
      <c r="I28" s="50" t="s">
        <v>731</v>
      </c>
    </row>
    <row r="29" spans="1:9" ht="15.75" customHeight="1">
      <c r="A29" s="48" t="s">
        <v>453</v>
      </c>
      <c r="B29" s="48" t="s">
        <v>453</v>
      </c>
      <c r="C29" s="49" t="s">
        <v>643</v>
      </c>
      <c r="D29" s="49" t="s">
        <v>732</v>
      </c>
      <c r="E29" s="49" t="s">
        <v>733</v>
      </c>
      <c r="F29" s="49"/>
      <c r="G29" s="49"/>
      <c r="H29" s="49" t="s">
        <v>730</v>
      </c>
      <c r="I29" s="50" t="s">
        <v>731</v>
      </c>
    </row>
    <row r="30" spans="1:9" ht="18.75" customHeight="1">
      <c r="A30" s="48" t="s">
        <v>453</v>
      </c>
      <c r="B30" s="48" t="s">
        <v>453</v>
      </c>
      <c r="C30" s="49" t="s">
        <v>643</v>
      </c>
      <c r="D30" s="49" t="s">
        <v>734</v>
      </c>
      <c r="E30" s="49" t="s">
        <v>735</v>
      </c>
      <c r="F30" s="49"/>
      <c r="G30" s="49"/>
      <c r="H30" s="49" t="s">
        <v>736</v>
      </c>
      <c r="I30" s="50" t="s">
        <v>737</v>
      </c>
    </row>
    <row r="31" spans="1:9" ht="18.75" customHeight="1">
      <c r="A31" s="48" t="s">
        <v>453</v>
      </c>
      <c r="B31" s="48" t="s">
        <v>453</v>
      </c>
      <c r="C31" s="49" t="s">
        <v>643</v>
      </c>
      <c r="D31" s="49" t="s">
        <v>738</v>
      </c>
      <c r="E31" s="49" t="s">
        <v>739</v>
      </c>
      <c r="F31" s="49"/>
      <c r="G31" s="49"/>
      <c r="H31" s="49" t="s">
        <v>740</v>
      </c>
      <c r="I31" s="50" t="s">
        <v>741</v>
      </c>
    </row>
    <row r="32" spans="1:9" ht="15.75" customHeight="1">
      <c r="A32" s="62" t="s">
        <v>533</v>
      </c>
      <c r="B32" s="62" t="s">
        <v>533</v>
      </c>
      <c r="C32" s="49" t="s">
        <v>643</v>
      </c>
      <c r="D32" s="63" t="s">
        <v>742</v>
      </c>
      <c r="E32" s="49" t="s">
        <v>743</v>
      </c>
      <c r="F32" s="49"/>
      <c r="G32" s="49" t="s">
        <v>744</v>
      </c>
      <c r="H32" s="49" t="s">
        <v>745</v>
      </c>
      <c r="I32" s="50" t="s">
        <v>746</v>
      </c>
    </row>
    <row r="33" spans="1:9" ht="15.75" customHeight="1">
      <c r="A33" s="62" t="s">
        <v>533</v>
      </c>
      <c r="B33" s="62" t="s">
        <v>533</v>
      </c>
      <c r="C33" s="49" t="s">
        <v>643</v>
      </c>
      <c r="D33" s="63" t="s">
        <v>742</v>
      </c>
      <c r="E33" s="49"/>
      <c r="F33" s="49"/>
      <c r="G33" s="49"/>
      <c r="H33" s="49" t="s">
        <v>747</v>
      </c>
      <c r="I33" s="50" t="s">
        <v>748</v>
      </c>
    </row>
    <row r="34" spans="1:9" ht="15.75" customHeight="1">
      <c r="A34" s="62" t="s">
        <v>533</v>
      </c>
      <c r="B34" s="62" t="s">
        <v>533</v>
      </c>
      <c r="C34" s="49" t="s">
        <v>643</v>
      </c>
      <c r="D34" s="49" t="s">
        <v>749</v>
      </c>
      <c r="E34" s="49" t="s">
        <v>750</v>
      </c>
      <c r="F34" s="49"/>
      <c r="G34" s="49" t="s">
        <v>744</v>
      </c>
      <c r="H34" s="49" t="s">
        <v>745</v>
      </c>
      <c r="I34" s="50" t="s">
        <v>746</v>
      </c>
    </row>
    <row r="35" spans="1:9" ht="15.75" customHeight="1">
      <c r="A35" s="62" t="s">
        <v>533</v>
      </c>
      <c r="B35" s="62" t="s">
        <v>533</v>
      </c>
      <c r="C35" s="49" t="s">
        <v>643</v>
      </c>
      <c r="D35" s="49" t="s">
        <v>749</v>
      </c>
      <c r="E35" s="49"/>
      <c r="F35" s="49"/>
      <c r="G35" s="49"/>
      <c r="H35" s="49" t="s">
        <v>747</v>
      </c>
      <c r="I35" s="50" t="s">
        <v>748</v>
      </c>
    </row>
    <row r="36" spans="1:9" ht="15.75" customHeight="1">
      <c r="A36" s="62" t="s">
        <v>533</v>
      </c>
      <c r="B36" s="62" t="s">
        <v>533</v>
      </c>
      <c r="C36" s="49" t="s">
        <v>643</v>
      </c>
      <c r="D36" s="49" t="s">
        <v>749</v>
      </c>
      <c r="E36" s="49"/>
      <c r="F36" s="49"/>
      <c r="G36" s="49"/>
      <c r="H36" s="49" t="s">
        <v>751</v>
      </c>
      <c r="I36" s="50" t="s">
        <v>752</v>
      </c>
    </row>
    <row r="37" spans="1:9" ht="15.75" customHeight="1">
      <c r="A37" s="62" t="s">
        <v>533</v>
      </c>
      <c r="B37" s="62" t="s">
        <v>533</v>
      </c>
      <c r="C37" s="49" t="s">
        <v>643</v>
      </c>
      <c r="D37" s="49" t="s">
        <v>753</v>
      </c>
      <c r="E37" s="49" t="s">
        <v>754</v>
      </c>
      <c r="F37" s="49"/>
      <c r="G37" s="49" t="s">
        <v>755</v>
      </c>
      <c r="H37" s="49" t="s">
        <v>745</v>
      </c>
      <c r="I37" s="50" t="s">
        <v>746</v>
      </c>
    </row>
    <row r="38" spans="1:9" ht="15.75" customHeight="1">
      <c r="A38" s="62" t="s">
        <v>533</v>
      </c>
      <c r="B38" s="62" t="s">
        <v>533</v>
      </c>
      <c r="C38" s="49" t="s">
        <v>643</v>
      </c>
      <c r="D38" s="49" t="s">
        <v>756</v>
      </c>
      <c r="E38" s="49" t="s">
        <v>757</v>
      </c>
      <c r="F38" s="49"/>
      <c r="G38" s="49" t="s">
        <v>758</v>
      </c>
      <c r="H38" s="49" t="s">
        <v>759</v>
      </c>
      <c r="I38" s="50" t="s">
        <v>760</v>
      </c>
    </row>
    <row r="39" spans="1:9" ht="15.75" customHeight="1">
      <c r="A39" s="62" t="s">
        <v>533</v>
      </c>
      <c r="B39" s="62" t="s">
        <v>533</v>
      </c>
      <c r="C39" s="49" t="s">
        <v>643</v>
      </c>
      <c r="D39" s="49" t="s">
        <v>756</v>
      </c>
      <c r="E39" s="49"/>
      <c r="F39" s="49"/>
      <c r="G39" s="49"/>
      <c r="H39" s="49" t="s">
        <v>761</v>
      </c>
      <c r="I39" s="50" t="s">
        <v>762</v>
      </c>
    </row>
    <row r="40" spans="1:9" ht="15.75" customHeight="1">
      <c r="A40" s="62" t="s">
        <v>533</v>
      </c>
      <c r="B40" s="62" t="s">
        <v>533</v>
      </c>
      <c r="C40" s="49" t="s">
        <v>643</v>
      </c>
      <c r="D40" s="49" t="s">
        <v>756</v>
      </c>
      <c r="E40" s="63" t="s">
        <v>763</v>
      </c>
      <c r="F40" s="49"/>
      <c r="G40" s="49"/>
      <c r="H40" s="49" t="s">
        <v>764</v>
      </c>
      <c r="I40" s="50" t="s">
        <v>765</v>
      </c>
    </row>
    <row r="41" spans="1:9" ht="15.75" customHeight="1">
      <c r="A41" s="62" t="s">
        <v>533</v>
      </c>
      <c r="B41" s="62" t="s">
        <v>533</v>
      </c>
      <c r="C41" s="49" t="s">
        <v>643</v>
      </c>
      <c r="D41" s="49" t="s">
        <v>766</v>
      </c>
      <c r="E41" s="49" t="s">
        <v>767</v>
      </c>
      <c r="F41" s="49"/>
      <c r="G41" s="49" t="s">
        <v>768</v>
      </c>
      <c r="H41" s="49" t="s">
        <v>769</v>
      </c>
      <c r="I41" s="50" t="s">
        <v>770</v>
      </c>
    </row>
    <row r="42" spans="1:9" ht="15.75" customHeight="1">
      <c r="A42" s="62" t="s">
        <v>533</v>
      </c>
      <c r="B42" s="62" t="s">
        <v>533</v>
      </c>
      <c r="C42" s="49" t="s">
        <v>643</v>
      </c>
      <c r="D42" s="49" t="s">
        <v>771</v>
      </c>
      <c r="E42" s="49" t="s">
        <v>772</v>
      </c>
      <c r="F42" s="49"/>
      <c r="G42" s="49"/>
      <c r="H42" s="49" t="s">
        <v>773</v>
      </c>
      <c r="I42" s="50" t="s">
        <v>774</v>
      </c>
    </row>
    <row r="43" spans="1:9" ht="15.75" customHeight="1">
      <c r="A43" s="62" t="s">
        <v>533</v>
      </c>
      <c r="B43" s="62" t="s">
        <v>533</v>
      </c>
      <c r="C43" s="49" t="s">
        <v>643</v>
      </c>
      <c r="D43" s="49" t="s">
        <v>775</v>
      </c>
      <c r="E43" s="49" t="s">
        <v>776</v>
      </c>
      <c r="F43" s="49"/>
      <c r="G43" s="49" t="s">
        <v>777</v>
      </c>
      <c r="H43" s="49" t="s">
        <v>769</v>
      </c>
      <c r="I43" s="50" t="s">
        <v>770</v>
      </c>
    </row>
    <row r="44" spans="1:9" ht="15.75" customHeight="1">
      <c r="A44" s="62" t="s">
        <v>533</v>
      </c>
      <c r="B44" s="62" t="s">
        <v>533</v>
      </c>
      <c r="C44" s="49" t="s">
        <v>643</v>
      </c>
      <c r="D44" s="63" t="s">
        <v>778</v>
      </c>
      <c r="E44" s="63" t="s">
        <v>779</v>
      </c>
      <c r="F44" s="49"/>
      <c r="G44" s="49"/>
      <c r="H44" s="49" t="s">
        <v>780</v>
      </c>
      <c r="I44" s="50" t="s">
        <v>781</v>
      </c>
    </row>
    <row r="45" spans="1:9" ht="15.75" customHeight="1">
      <c r="A45" s="62" t="s">
        <v>533</v>
      </c>
      <c r="B45" s="62" t="s">
        <v>533</v>
      </c>
      <c r="C45" s="49" t="s">
        <v>643</v>
      </c>
      <c r="D45" s="49" t="s">
        <v>782</v>
      </c>
      <c r="E45" s="49" t="s">
        <v>783</v>
      </c>
      <c r="F45" s="49"/>
      <c r="G45" s="49"/>
      <c r="H45" s="49" t="s">
        <v>784</v>
      </c>
      <c r="I45" s="50" t="s">
        <v>785</v>
      </c>
    </row>
    <row r="46" spans="1:9" ht="15.75" customHeight="1">
      <c r="A46" s="62" t="s">
        <v>533</v>
      </c>
      <c r="B46" s="62" t="s">
        <v>533</v>
      </c>
      <c r="C46" s="49" t="s">
        <v>643</v>
      </c>
      <c r="D46" s="63" t="s">
        <v>786</v>
      </c>
      <c r="E46" s="63" t="s">
        <v>787</v>
      </c>
      <c r="F46" s="49"/>
      <c r="G46" s="49" t="s">
        <v>788</v>
      </c>
      <c r="H46" s="49" t="s">
        <v>789</v>
      </c>
      <c r="I46" s="50" t="s">
        <v>790</v>
      </c>
    </row>
    <row r="47" spans="1:9" ht="15.75" customHeight="1">
      <c r="A47" s="62" t="s">
        <v>533</v>
      </c>
      <c r="B47" s="62" t="s">
        <v>533</v>
      </c>
      <c r="C47" s="49" t="s">
        <v>643</v>
      </c>
      <c r="D47" s="49" t="s">
        <v>738</v>
      </c>
      <c r="E47" s="49" t="s">
        <v>791</v>
      </c>
      <c r="F47" s="63"/>
      <c r="G47" s="63" t="s">
        <v>792</v>
      </c>
      <c r="H47" s="49" t="s">
        <v>793</v>
      </c>
      <c r="I47" s="50" t="s">
        <v>794</v>
      </c>
    </row>
    <row r="48" spans="1:9" ht="15.75" customHeight="1">
      <c r="A48" s="62" t="s">
        <v>533</v>
      </c>
      <c r="B48" s="48" t="s">
        <v>533</v>
      </c>
      <c r="C48" s="49" t="s">
        <v>795</v>
      </c>
      <c r="D48" s="49" t="s">
        <v>796</v>
      </c>
      <c r="E48" s="49" t="s">
        <v>797</v>
      </c>
      <c r="F48" s="49"/>
      <c r="G48" s="49"/>
      <c r="H48" s="49" t="s">
        <v>798</v>
      </c>
      <c r="I48" s="50" t="s">
        <v>799</v>
      </c>
    </row>
    <row r="49" spans="1:9" ht="15.75" customHeight="1">
      <c r="A49" s="48" t="s">
        <v>163</v>
      </c>
      <c r="B49" s="48" t="s">
        <v>163</v>
      </c>
      <c r="C49" s="49" t="s">
        <v>27</v>
      </c>
      <c r="D49" s="49"/>
      <c r="E49" s="49" t="s">
        <v>800</v>
      </c>
      <c r="F49" s="49"/>
      <c r="G49" s="49"/>
      <c r="H49" s="49" t="s">
        <v>801</v>
      </c>
      <c r="I49" s="64" t="s">
        <v>802</v>
      </c>
    </row>
    <row r="50" spans="1:9" ht="15.75" customHeight="1">
      <c r="A50" s="48" t="s">
        <v>163</v>
      </c>
      <c r="B50" s="48" t="s">
        <v>163</v>
      </c>
      <c r="C50" s="49" t="s">
        <v>27</v>
      </c>
      <c r="D50" s="49"/>
      <c r="E50" s="49" t="s">
        <v>803</v>
      </c>
      <c r="F50" s="49"/>
      <c r="G50" s="49"/>
      <c r="H50" s="49" t="s">
        <v>804</v>
      </c>
      <c r="I50" s="50" t="s">
        <v>805</v>
      </c>
    </row>
    <row r="51" spans="1:9" ht="15.75" customHeight="1">
      <c r="A51" s="48" t="s">
        <v>163</v>
      </c>
      <c r="B51" s="48" t="s">
        <v>163</v>
      </c>
      <c r="C51" s="49" t="s">
        <v>27</v>
      </c>
      <c r="D51" s="49"/>
      <c r="E51" s="49" t="s">
        <v>806</v>
      </c>
      <c r="F51" s="49"/>
      <c r="G51" s="49"/>
      <c r="H51" s="49" t="s">
        <v>807</v>
      </c>
      <c r="I51" s="50" t="s">
        <v>808</v>
      </c>
    </row>
    <row r="52" spans="1:9" ht="15.75" customHeight="1">
      <c r="A52" s="48" t="s">
        <v>163</v>
      </c>
      <c r="B52" s="48" t="s">
        <v>163</v>
      </c>
      <c r="C52" s="49" t="s">
        <v>27</v>
      </c>
      <c r="D52" s="49"/>
      <c r="E52" s="49" t="s">
        <v>809</v>
      </c>
      <c r="F52" s="49"/>
      <c r="G52" s="49"/>
      <c r="H52" s="49" t="s">
        <v>810</v>
      </c>
      <c r="I52" s="50" t="s">
        <v>811</v>
      </c>
    </row>
    <row r="53" spans="1:9" ht="15.75" customHeight="1">
      <c r="A53" s="48" t="s">
        <v>163</v>
      </c>
      <c r="B53" s="48" t="s">
        <v>163</v>
      </c>
      <c r="C53" s="49" t="s">
        <v>27</v>
      </c>
      <c r="D53" s="49"/>
      <c r="E53" s="49" t="s">
        <v>812</v>
      </c>
      <c r="F53" s="49"/>
      <c r="G53" s="49"/>
      <c r="H53" s="49" t="s">
        <v>813</v>
      </c>
      <c r="I53" s="50" t="s">
        <v>814</v>
      </c>
    </row>
    <row r="54" spans="1:9" ht="18.75" customHeight="1">
      <c r="A54" s="48" t="s">
        <v>163</v>
      </c>
      <c r="B54" s="48" t="s">
        <v>163</v>
      </c>
      <c r="C54" s="49" t="s">
        <v>27</v>
      </c>
      <c r="D54" s="49"/>
      <c r="E54" s="49" t="s">
        <v>815</v>
      </c>
      <c r="F54" s="49"/>
      <c r="G54" s="49"/>
      <c r="H54" s="49" t="s">
        <v>165</v>
      </c>
      <c r="I54" s="50" t="s">
        <v>166</v>
      </c>
    </row>
    <row r="55" spans="1:9" ht="15.75" customHeight="1">
      <c r="A55" s="48" t="s">
        <v>180</v>
      </c>
      <c r="B55" s="48" t="s">
        <v>180</v>
      </c>
      <c r="C55" s="49" t="s">
        <v>27</v>
      </c>
      <c r="D55" s="49"/>
      <c r="E55" s="49" t="s">
        <v>816</v>
      </c>
      <c r="F55" s="49"/>
      <c r="G55" s="49"/>
      <c r="H55" s="49" t="s">
        <v>817</v>
      </c>
      <c r="I55" s="50" t="s">
        <v>818</v>
      </c>
    </row>
    <row r="56" spans="1:9" ht="15.75" customHeight="1">
      <c r="A56" s="48" t="s">
        <v>180</v>
      </c>
      <c r="B56" s="48" t="s">
        <v>180</v>
      </c>
      <c r="C56" s="49" t="s">
        <v>27</v>
      </c>
      <c r="D56" s="49"/>
      <c r="E56" s="49" t="s">
        <v>819</v>
      </c>
      <c r="F56" s="49"/>
      <c r="G56" s="49"/>
      <c r="H56" s="49" t="s">
        <v>820</v>
      </c>
      <c r="I56" s="50" t="s">
        <v>821</v>
      </c>
    </row>
    <row r="57" spans="1:9" ht="18.75" customHeight="1">
      <c r="A57" s="48" t="s">
        <v>180</v>
      </c>
      <c r="B57" s="48" t="s">
        <v>180</v>
      </c>
      <c r="C57" s="49" t="s">
        <v>27</v>
      </c>
      <c r="D57" s="49"/>
      <c r="E57" s="49" t="s">
        <v>822</v>
      </c>
      <c r="F57" s="49"/>
      <c r="G57" s="49"/>
      <c r="H57" s="49" t="s">
        <v>823</v>
      </c>
      <c r="I57" s="50" t="s">
        <v>824</v>
      </c>
    </row>
    <row r="58" spans="1:9" ht="15.75" customHeight="1">
      <c r="A58" s="48" t="s">
        <v>180</v>
      </c>
      <c r="B58" s="48" t="s">
        <v>180</v>
      </c>
      <c r="C58" s="49" t="s">
        <v>27</v>
      </c>
      <c r="D58" s="49"/>
      <c r="E58" s="49" t="s">
        <v>825</v>
      </c>
      <c r="F58" s="49"/>
      <c r="G58" s="49"/>
      <c r="H58" s="49" t="s">
        <v>826</v>
      </c>
      <c r="I58" s="50" t="s">
        <v>827</v>
      </c>
    </row>
    <row r="59" spans="1:9" ht="15.75" customHeight="1">
      <c r="A59" s="51" t="s">
        <v>180</v>
      </c>
      <c r="B59" s="65" t="s">
        <v>180</v>
      </c>
      <c r="C59" s="66" t="s">
        <v>27</v>
      </c>
      <c r="D59" s="66"/>
      <c r="E59" s="67" t="s">
        <v>828</v>
      </c>
      <c r="F59" s="66"/>
      <c r="G59" s="66"/>
      <c r="H59" s="67" t="s">
        <v>829</v>
      </c>
      <c r="I59" s="53" t="s">
        <v>830</v>
      </c>
    </row>
    <row r="60" spans="1:9" ht="15.75" customHeight="1">
      <c r="A60" s="51" t="s">
        <v>180</v>
      </c>
      <c r="B60" s="65" t="s">
        <v>180</v>
      </c>
      <c r="C60" s="66" t="s">
        <v>27</v>
      </c>
      <c r="D60" s="66"/>
      <c r="E60" s="66" t="s">
        <v>831</v>
      </c>
      <c r="F60" s="66"/>
      <c r="G60" s="66"/>
      <c r="H60" s="67" t="s">
        <v>829</v>
      </c>
      <c r="I60" s="53" t="s">
        <v>830</v>
      </c>
    </row>
    <row r="61" spans="1:9" ht="15.75" customHeight="1">
      <c r="A61" s="51" t="s">
        <v>180</v>
      </c>
      <c r="B61" s="65" t="s">
        <v>180</v>
      </c>
      <c r="C61" s="66" t="s">
        <v>27</v>
      </c>
      <c r="D61" s="66"/>
      <c r="E61" s="66" t="s">
        <v>832</v>
      </c>
      <c r="F61" s="66"/>
      <c r="G61" s="66"/>
      <c r="H61" s="67" t="s">
        <v>829</v>
      </c>
      <c r="I61" s="53" t="s">
        <v>830</v>
      </c>
    </row>
    <row r="62" spans="1:9" ht="15.75" customHeight="1">
      <c r="A62" s="51" t="s">
        <v>180</v>
      </c>
      <c r="B62" s="65" t="s">
        <v>180</v>
      </c>
      <c r="C62" s="66" t="s">
        <v>27</v>
      </c>
      <c r="D62" s="66"/>
      <c r="E62" s="66" t="s">
        <v>833</v>
      </c>
      <c r="F62" s="66"/>
      <c r="G62" s="66"/>
      <c r="H62" s="67" t="s">
        <v>829</v>
      </c>
      <c r="I62" s="53" t="s">
        <v>830</v>
      </c>
    </row>
    <row r="63" spans="1:9" ht="15.75" customHeight="1">
      <c r="A63" s="51" t="s">
        <v>180</v>
      </c>
      <c r="B63" s="65" t="s">
        <v>180</v>
      </c>
      <c r="C63" s="66" t="s">
        <v>27</v>
      </c>
      <c r="D63" s="66"/>
      <c r="E63" s="66" t="s">
        <v>834</v>
      </c>
      <c r="F63" s="66"/>
      <c r="G63" s="66"/>
      <c r="H63" s="53" t="s">
        <v>835</v>
      </c>
      <c r="I63" s="53" t="s">
        <v>836</v>
      </c>
    </row>
    <row r="64" spans="1:9" ht="15.75" customHeight="1">
      <c r="A64" s="48" t="s">
        <v>192</v>
      </c>
      <c r="B64" s="48" t="s">
        <v>192</v>
      </c>
      <c r="C64" s="49" t="s">
        <v>27</v>
      </c>
      <c r="D64" s="49"/>
      <c r="E64" s="49" t="s">
        <v>837</v>
      </c>
      <c r="F64" s="49"/>
      <c r="G64" s="49"/>
      <c r="H64" s="49" t="s">
        <v>838</v>
      </c>
      <c r="I64" s="50" t="s">
        <v>193</v>
      </c>
    </row>
    <row r="65" spans="1:9" ht="18.75" customHeight="1">
      <c r="A65" s="48" t="s">
        <v>192</v>
      </c>
      <c r="B65" s="48" t="s">
        <v>192</v>
      </c>
      <c r="C65" s="49" t="s">
        <v>27</v>
      </c>
      <c r="D65" s="49"/>
      <c r="E65" s="49" t="s">
        <v>839</v>
      </c>
      <c r="F65" s="49"/>
      <c r="G65" s="49"/>
      <c r="H65" s="49" t="s">
        <v>840</v>
      </c>
      <c r="I65" s="50" t="s">
        <v>841</v>
      </c>
    </row>
    <row r="66" spans="1:9" ht="18.75" customHeight="1">
      <c r="A66" s="48" t="s">
        <v>192</v>
      </c>
      <c r="B66" s="48" t="s">
        <v>192</v>
      </c>
      <c r="C66" s="49" t="s">
        <v>27</v>
      </c>
      <c r="D66" s="49"/>
      <c r="E66" s="49" t="s">
        <v>842</v>
      </c>
      <c r="F66" s="49"/>
      <c r="G66" s="49"/>
      <c r="H66" s="49" t="s">
        <v>843</v>
      </c>
      <c r="I66" s="50" t="s">
        <v>844</v>
      </c>
    </row>
    <row r="67" spans="1:9" ht="18.75" customHeight="1">
      <c r="A67" s="48" t="s">
        <v>192</v>
      </c>
      <c r="B67" s="48" t="s">
        <v>192</v>
      </c>
      <c r="C67" s="49" t="s">
        <v>27</v>
      </c>
      <c r="D67" s="49"/>
      <c r="E67" s="49" t="s">
        <v>845</v>
      </c>
      <c r="F67" s="49"/>
      <c r="G67" s="49"/>
      <c r="H67" s="49" t="s">
        <v>846</v>
      </c>
      <c r="I67" s="50" t="s">
        <v>847</v>
      </c>
    </row>
    <row r="68" spans="1:9" ht="18.75" customHeight="1">
      <c r="A68" s="48" t="s">
        <v>192</v>
      </c>
      <c r="B68" s="48" t="s">
        <v>192</v>
      </c>
      <c r="C68" s="49" t="s">
        <v>27</v>
      </c>
      <c r="D68" s="49"/>
      <c r="E68" s="49" t="s">
        <v>848</v>
      </c>
      <c r="F68" s="49"/>
      <c r="G68" s="49"/>
      <c r="H68" s="49" t="s">
        <v>849</v>
      </c>
      <c r="I68" s="50" t="s">
        <v>850</v>
      </c>
    </row>
    <row r="69" spans="1:9" ht="18.75" customHeight="1">
      <c r="A69" s="51" t="s">
        <v>672</v>
      </c>
      <c r="B69" s="51" t="s">
        <v>851</v>
      </c>
      <c r="C69" s="52" t="s">
        <v>27</v>
      </c>
      <c r="D69" s="52"/>
      <c r="E69" s="52" t="s">
        <v>852</v>
      </c>
      <c r="F69" s="52" t="s">
        <v>853</v>
      </c>
      <c r="G69" s="52"/>
      <c r="H69" s="52" t="s">
        <v>854</v>
      </c>
      <c r="I69" s="53" t="s">
        <v>855</v>
      </c>
    </row>
    <row r="70" spans="1:9" ht="18.75" customHeight="1">
      <c r="A70" s="51" t="s">
        <v>672</v>
      </c>
      <c r="B70" s="51" t="s">
        <v>297</v>
      </c>
      <c r="C70" s="52" t="s">
        <v>27</v>
      </c>
      <c r="D70" s="52"/>
      <c r="E70" s="52" t="s">
        <v>856</v>
      </c>
      <c r="F70" s="52"/>
      <c r="G70" s="52"/>
      <c r="H70" s="52" t="s">
        <v>857</v>
      </c>
      <c r="I70" s="53" t="s">
        <v>858</v>
      </c>
    </row>
    <row r="71" spans="1:9" ht="18.75" customHeight="1">
      <c r="A71" s="51" t="s">
        <v>672</v>
      </c>
      <c r="B71" s="51" t="s">
        <v>297</v>
      </c>
      <c r="C71" s="52" t="s">
        <v>27</v>
      </c>
      <c r="D71" s="52"/>
      <c r="E71" s="52" t="s">
        <v>859</v>
      </c>
      <c r="F71" s="52"/>
      <c r="G71" s="52"/>
      <c r="H71" s="52" t="s">
        <v>857</v>
      </c>
      <c r="I71" s="53" t="s">
        <v>858</v>
      </c>
    </row>
    <row r="72" spans="1:9" ht="15.75" customHeight="1">
      <c r="A72" s="51" t="s">
        <v>672</v>
      </c>
      <c r="B72" s="51" t="s">
        <v>297</v>
      </c>
      <c r="C72" s="52" t="s">
        <v>27</v>
      </c>
      <c r="D72" s="52"/>
      <c r="E72" s="52" t="s">
        <v>860</v>
      </c>
      <c r="F72" s="52"/>
      <c r="G72" s="52"/>
      <c r="H72" s="52" t="s">
        <v>300</v>
      </c>
      <c r="I72" s="53" t="s">
        <v>301</v>
      </c>
    </row>
    <row r="73" spans="1:9" ht="18.75" customHeight="1">
      <c r="A73" s="51" t="s">
        <v>672</v>
      </c>
      <c r="B73" s="51" t="s">
        <v>297</v>
      </c>
      <c r="C73" s="52" t="s">
        <v>27</v>
      </c>
      <c r="D73" s="52"/>
      <c r="E73" s="52" t="s">
        <v>861</v>
      </c>
      <c r="F73" s="52"/>
      <c r="G73" s="52"/>
      <c r="H73" s="52" t="s">
        <v>300</v>
      </c>
      <c r="I73" s="53" t="s">
        <v>301</v>
      </c>
    </row>
    <row r="74" spans="1:9" ht="18.75" customHeight="1">
      <c r="A74" s="51" t="s">
        <v>672</v>
      </c>
      <c r="B74" s="51" t="s">
        <v>297</v>
      </c>
      <c r="C74" s="52" t="s">
        <v>27</v>
      </c>
      <c r="D74" s="52"/>
      <c r="E74" s="52" t="s">
        <v>862</v>
      </c>
      <c r="F74" s="52"/>
      <c r="G74" s="52"/>
      <c r="H74" s="52" t="s">
        <v>300</v>
      </c>
      <c r="I74" s="53" t="s">
        <v>301</v>
      </c>
    </row>
    <row r="75" spans="1:9" ht="18.75" customHeight="1">
      <c r="A75" s="51" t="s">
        <v>672</v>
      </c>
      <c r="B75" s="51" t="s">
        <v>673</v>
      </c>
      <c r="C75" s="52" t="s">
        <v>27</v>
      </c>
      <c r="D75" s="52"/>
      <c r="E75" s="52" t="s">
        <v>863</v>
      </c>
      <c r="F75" s="52"/>
      <c r="G75" s="52"/>
      <c r="H75" s="52" t="s">
        <v>676</v>
      </c>
      <c r="I75" s="53" t="s">
        <v>677</v>
      </c>
    </row>
    <row r="76" spans="1:9" ht="18.75" customHeight="1">
      <c r="A76" s="51" t="s">
        <v>672</v>
      </c>
      <c r="B76" s="51" t="s">
        <v>673</v>
      </c>
      <c r="C76" s="52" t="s">
        <v>27</v>
      </c>
      <c r="D76" s="52"/>
      <c r="E76" s="52" t="s">
        <v>864</v>
      </c>
      <c r="F76" s="52"/>
      <c r="G76" s="52"/>
      <c r="H76" s="52" t="s">
        <v>676</v>
      </c>
      <c r="I76" s="53" t="s">
        <v>677</v>
      </c>
    </row>
    <row r="77" spans="1:9" ht="18.75" customHeight="1">
      <c r="A77" s="51" t="s">
        <v>672</v>
      </c>
      <c r="B77" s="51" t="s">
        <v>673</v>
      </c>
      <c r="C77" s="52" t="s">
        <v>27</v>
      </c>
      <c r="D77" s="52"/>
      <c r="E77" s="52" t="s">
        <v>865</v>
      </c>
      <c r="F77" s="52"/>
      <c r="G77" s="52"/>
      <c r="H77" s="52" t="s">
        <v>866</v>
      </c>
      <c r="I77" s="53" t="str">
        <f>HYPERLINK("https://www.ncbi.nlm.nih.gov/pmc/articles/PMC4683647/"," https://doi.org/10.1534/g3.115.023358 ")</f>
        <v xml:space="preserve"> https://doi.org/10.1534/g3.115.023358 </v>
      </c>
    </row>
    <row r="78" spans="1:9" ht="18.75" customHeight="1">
      <c r="A78" s="51" t="s">
        <v>672</v>
      </c>
      <c r="B78" s="51" t="s">
        <v>305</v>
      </c>
      <c r="C78" s="52" t="s">
        <v>27</v>
      </c>
      <c r="D78" s="52"/>
      <c r="E78" s="52" t="s">
        <v>867</v>
      </c>
      <c r="F78" s="52"/>
      <c r="G78" s="52"/>
      <c r="H78" s="52" t="s">
        <v>868</v>
      </c>
      <c r="I78" s="53" t="s">
        <v>869</v>
      </c>
    </row>
    <row r="79" spans="1:9" ht="18.75" customHeight="1">
      <c r="A79" s="51" t="s">
        <v>672</v>
      </c>
      <c r="B79" s="51" t="s">
        <v>305</v>
      </c>
      <c r="C79" s="52" t="s">
        <v>27</v>
      </c>
      <c r="D79" s="52"/>
      <c r="E79" s="52" t="s">
        <v>870</v>
      </c>
      <c r="F79" s="52"/>
      <c r="G79" s="52"/>
      <c r="H79" s="52" t="s">
        <v>871</v>
      </c>
      <c r="I79" s="53" t="s">
        <v>872</v>
      </c>
    </row>
    <row r="80" spans="1:9" ht="18.75" customHeight="1">
      <c r="A80" s="51" t="s">
        <v>672</v>
      </c>
      <c r="B80" s="51" t="s">
        <v>305</v>
      </c>
      <c r="C80" s="52" t="s">
        <v>27</v>
      </c>
      <c r="D80" s="52"/>
      <c r="E80" s="52" t="s">
        <v>873</v>
      </c>
      <c r="F80" s="52"/>
      <c r="G80" s="52"/>
      <c r="H80" s="52" t="s">
        <v>306</v>
      </c>
      <c r="I80" s="53" t="s">
        <v>874</v>
      </c>
    </row>
    <row r="81" spans="1:9" ht="18.75" customHeight="1">
      <c r="A81" s="51" t="s">
        <v>672</v>
      </c>
      <c r="B81" s="51" t="s">
        <v>875</v>
      </c>
      <c r="C81" s="52" t="s">
        <v>27</v>
      </c>
      <c r="D81" s="52"/>
      <c r="E81" s="52" t="s">
        <v>876</v>
      </c>
      <c r="F81" s="52"/>
      <c r="G81" s="52"/>
      <c r="H81" s="52" t="s">
        <v>877</v>
      </c>
      <c r="I81" s="53" t="s">
        <v>878</v>
      </c>
    </row>
    <row r="82" spans="1:9" ht="18.75" customHeight="1">
      <c r="A82" s="51" t="s">
        <v>672</v>
      </c>
      <c r="B82" s="51" t="s">
        <v>875</v>
      </c>
      <c r="C82" s="52" t="s">
        <v>27</v>
      </c>
      <c r="D82" s="52"/>
      <c r="E82" s="52" t="s">
        <v>879</v>
      </c>
      <c r="F82" s="52"/>
      <c r="G82" s="52"/>
      <c r="H82" s="52" t="s">
        <v>877</v>
      </c>
      <c r="I82" s="53" t="s">
        <v>878</v>
      </c>
    </row>
    <row r="83" spans="1:9" ht="18.75" customHeight="1">
      <c r="A83" s="51" t="s">
        <v>672</v>
      </c>
      <c r="B83" s="51" t="s">
        <v>875</v>
      </c>
      <c r="C83" s="52" t="s">
        <v>27</v>
      </c>
      <c r="D83" s="52"/>
      <c r="E83" s="52" t="s">
        <v>880</v>
      </c>
      <c r="F83" s="52"/>
      <c r="G83" s="52"/>
      <c r="H83" s="52" t="s">
        <v>307</v>
      </c>
      <c r="I83" s="53" t="s">
        <v>881</v>
      </c>
    </row>
    <row r="84" spans="1:9" ht="18.75" customHeight="1">
      <c r="A84" s="51" t="s">
        <v>672</v>
      </c>
      <c r="B84" s="51" t="s">
        <v>882</v>
      </c>
      <c r="C84" s="52" t="s">
        <v>27</v>
      </c>
      <c r="D84" s="52"/>
      <c r="E84" s="52" t="s">
        <v>883</v>
      </c>
      <c r="F84" s="52"/>
      <c r="G84" s="52"/>
      <c r="H84" s="52" t="s">
        <v>877</v>
      </c>
      <c r="I84" s="53" t="s">
        <v>878</v>
      </c>
    </row>
    <row r="85" spans="1:9" ht="18.75" customHeight="1">
      <c r="A85" s="51" t="s">
        <v>672</v>
      </c>
      <c r="B85" s="51" t="s">
        <v>884</v>
      </c>
      <c r="C85" s="52" t="s">
        <v>27</v>
      </c>
      <c r="D85" s="52"/>
      <c r="E85" s="52" t="s">
        <v>885</v>
      </c>
      <c r="F85" s="52"/>
      <c r="G85" s="52"/>
      <c r="H85" s="52" t="s">
        <v>309</v>
      </c>
      <c r="I85" s="53" t="s">
        <v>310</v>
      </c>
    </row>
    <row r="86" spans="1:9" ht="18.75" customHeight="1">
      <c r="A86" s="51" t="s">
        <v>682</v>
      </c>
      <c r="B86" s="51" t="s">
        <v>331</v>
      </c>
      <c r="C86" s="52" t="s">
        <v>27</v>
      </c>
      <c r="D86" s="52"/>
      <c r="E86" s="52" t="s">
        <v>886</v>
      </c>
      <c r="F86" s="68"/>
      <c r="G86" s="52"/>
      <c r="H86" s="52" t="s">
        <v>887</v>
      </c>
      <c r="I86" s="53" t="s">
        <v>888</v>
      </c>
    </row>
    <row r="87" spans="1:9" ht="18.75" customHeight="1">
      <c r="A87" s="51" t="s">
        <v>682</v>
      </c>
      <c r="B87" s="51" t="s">
        <v>331</v>
      </c>
      <c r="C87" s="52" t="s">
        <v>27</v>
      </c>
      <c r="D87" s="52"/>
      <c r="E87" s="54" t="s">
        <v>889</v>
      </c>
      <c r="F87" s="52"/>
      <c r="G87" s="52"/>
      <c r="H87" s="52" t="s">
        <v>887</v>
      </c>
      <c r="I87" s="53" t="s">
        <v>888</v>
      </c>
    </row>
    <row r="88" spans="1:9" ht="18.75" customHeight="1">
      <c r="A88" s="51" t="s">
        <v>682</v>
      </c>
      <c r="B88" s="51" t="s">
        <v>331</v>
      </c>
      <c r="C88" s="52" t="s">
        <v>27</v>
      </c>
      <c r="D88" s="52"/>
      <c r="E88" s="54" t="s">
        <v>890</v>
      </c>
      <c r="F88" s="68"/>
      <c r="G88" s="52"/>
      <c r="H88" s="52" t="s">
        <v>887</v>
      </c>
      <c r="I88" s="53" t="s">
        <v>888</v>
      </c>
    </row>
    <row r="89" spans="1:9" ht="18.75" customHeight="1">
      <c r="A89" s="51" t="s">
        <v>682</v>
      </c>
      <c r="B89" s="51" t="s">
        <v>331</v>
      </c>
      <c r="C89" s="52" t="s">
        <v>27</v>
      </c>
      <c r="D89" s="52"/>
      <c r="E89" s="52" t="s">
        <v>891</v>
      </c>
      <c r="F89" s="68"/>
      <c r="G89" s="52"/>
      <c r="H89" s="52" t="s">
        <v>887</v>
      </c>
      <c r="I89" s="53" t="s">
        <v>888</v>
      </c>
    </row>
    <row r="90" spans="1:9" ht="18.75" customHeight="1">
      <c r="A90" s="51" t="s">
        <v>682</v>
      </c>
      <c r="B90" s="51" t="s">
        <v>331</v>
      </c>
      <c r="C90" s="52" t="s">
        <v>27</v>
      </c>
      <c r="D90" s="52"/>
      <c r="E90" s="52" t="s">
        <v>892</v>
      </c>
      <c r="F90" s="52"/>
      <c r="G90" s="52"/>
      <c r="H90" s="52" t="s">
        <v>688</v>
      </c>
      <c r="I90" s="53" t="s">
        <v>689</v>
      </c>
    </row>
    <row r="91" spans="1:9" ht="18.75" customHeight="1">
      <c r="A91" s="51" t="s">
        <v>682</v>
      </c>
      <c r="B91" s="51" t="s">
        <v>331</v>
      </c>
      <c r="C91" s="52" t="s">
        <v>27</v>
      </c>
      <c r="D91" s="52"/>
      <c r="E91" s="52" t="s">
        <v>893</v>
      </c>
      <c r="F91" s="52"/>
      <c r="G91" s="52"/>
      <c r="H91" s="52" t="s">
        <v>688</v>
      </c>
      <c r="I91" s="53" t="s">
        <v>689</v>
      </c>
    </row>
    <row r="92" spans="1:9" ht="18.75" customHeight="1">
      <c r="A92" s="51" t="s">
        <v>682</v>
      </c>
      <c r="B92" s="51" t="s">
        <v>323</v>
      </c>
      <c r="C92" s="52" t="s">
        <v>27</v>
      </c>
      <c r="D92" s="52"/>
      <c r="E92" s="52" t="s">
        <v>894</v>
      </c>
      <c r="F92" s="52"/>
      <c r="G92" s="52"/>
      <c r="H92" s="52" t="s">
        <v>895</v>
      </c>
      <c r="I92" s="53" t="s">
        <v>896</v>
      </c>
    </row>
    <row r="93" spans="1:9" ht="15.75" customHeight="1">
      <c r="A93" s="51" t="s">
        <v>682</v>
      </c>
      <c r="B93" s="51" t="s">
        <v>323</v>
      </c>
      <c r="C93" s="52" t="s">
        <v>27</v>
      </c>
      <c r="D93" s="52"/>
      <c r="E93" s="52" t="s">
        <v>897</v>
      </c>
      <c r="F93" s="52"/>
      <c r="G93" s="52"/>
      <c r="H93" s="52" t="s">
        <v>898</v>
      </c>
      <c r="I93" s="53" t="s">
        <v>899</v>
      </c>
    </row>
    <row r="94" spans="1:9" ht="15.75" customHeight="1">
      <c r="A94" s="51" t="s">
        <v>682</v>
      </c>
      <c r="B94" s="51" t="s">
        <v>323</v>
      </c>
      <c r="C94" s="52" t="s">
        <v>27</v>
      </c>
      <c r="D94" s="52"/>
      <c r="E94" s="52" t="s">
        <v>900</v>
      </c>
      <c r="F94" s="52"/>
      <c r="G94" s="52"/>
      <c r="H94" s="52" t="s">
        <v>898</v>
      </c>
      <c r="I94" s="53" t="s">
        <v>899</v>
      </c>
    </row>
    <row r="95" spans="1:9" ht="15.75" customHeight="1">
      <c r="A95" s="51" t="s">
        <v>682</v>
      </c>
      <c r="B95" s="51" t="s">
        <v>323</v>
      </c>
      <c r="C95" s="52" t="s">
        <v>27</v>
      </c>
      <c r="D95" s="52"/>
      <c r="E95" s="67" t="s">
        <v>901</v>
      </c>
      <c r="F95" s="67"/>
      <c r="G95" s="52"/>
      <c r="H95" s="52" t="s">
        <v>902</v>
      </c>
      <c r="I95" s="53" t="s">
        <v>903</v>
      </c>
    </row>
    <row r="96" spans="1:9" ht="15.75" customHeight="1">
      <c r="A96" s="51" t="s">
        <v>682</v>
      </c>
      <c r="B96" s="51" t="s">
        <v>323</v>
      </c>
      <c r="C96" s="52" t="s">
        <v>27</v>
      </c>
      <c r="D96" s="52"/>
      <c r="E96" s="52" t="s">
        <v>904</v>
      </c>
      <c r="F96" s="52"/>
      <c r="G96" s="52"/>
      <c r="H96" s="52" t="s">
        <v>333</v>
      </c>
      <c r="I96" s="53" t="s">
        <v>698</v>
      </c>
    </row>
    <row r="97" spans="1:9" ht="15.75" customHeight="1">
      <c r="A97" s="51" t="s">
        <v>356</v>
      </c>
      <c r="B97" s="51" t="s">
        <v>356</v>
      </c>
      <c r="C97" s="52" t="s">
        <v>27</v>
      </c>
      <c r="D97" s="52"/>
      <c r="E97" s="52" t="s">
        <v>905</v>
      </c>
      <c r="F97" s="52"/>
      <c r="G97" s="52"/>
      <c r="H97" s="52" t="s">
        <v>906</v>
      </c>
      <c r="I97" s="53" t="s">
        <v>907</v>
      </c>
    </row>
    <row r="98" spans="1:9" ht="18.75" customHeight="1">
      <c r="A98" s="51" t="s">
        <v>356</v>
      </c>
      <c r="B98" s="51" t="s">
        <v>356</v>
      </c>
      <c r="C98" s="52" t="s">
        <v>27</v>
      </c>
      <c r="D98" s="52"/>
      <c r="E98" s="52" t="s">
        <v>908</v>
      </c>
      <c r="F98" s="52"/>
      <c r="G98" s="52"/>
      <c r="H98" s="52" t="s">
        <v>909</v>
      </c>
      <c r="I98" s="53" t="s">
        <v>910</v>
      </c>
    </row>
    <row r="99" spans="1:9" ht="18.75" customHeight="1">
      <c r="A99" s="51" t="s">
        <v>356</v>
      </c>
      <c r="B99" s="51" t="s">
        <v>356</v>
      </c>
      <c r="C99" s="52" t="s">
        <v>27</v>
      </c>
      <c r="D99" s="52"/>
      <c r="E99" s="52" t="s">
        <v>911</v>
      </c>
      <c r="F99" s="52"/>
      <c r="G99" s="52"/>
      <c r="H99" s="52" t="s">
        <v>153</v>
      </c>
      <c r="I99" s="53" t="s">
        <v>912</v>
      </c>
    </row>
    <row r="100" spans="1:9" ht="18.75" customHeight="1">
      <c r="A100" s="51" t="s">
        <v>629</v>
      </c>
      <c r="B100" s="51" t="s">
        <v>434</v>
      </c>
      <c r="C100" s="52" t="s">
        <v>27</v>
      </c>
      <c r="D100" s="52"/>
      <c r="E100" s="52" t="s">
        <v>913</v>
      </c>
      <c r="F100" s="52"/>
      <c r="G100" s="52"/>
      <c r="H100" s="52" t="s">
        <v>435</v>
      </c>
      <c r="I100" s="53" t="s">
        <v>708</v>
      </c>
    </row>
    <row r="101" spans="1:9" ht="18.75" customHeight="1">
      <c r="A101" s="51" t="s">
        <v>629</v>
      </c>
      <c r="B101" s="51" t="s">
        <v>709</v>
      </c>
      <c r="C101" s="52" t="s">
        <v>27</v>
      </c>
      <c r="D101" s="52"/>
      <c r="E101" s="52" t="s">
        <v>914</v>
      </c>
      <c r="F101" s="52"/>
      <c r="G101" s="52"/>
      <c r="H101" s="52" t="s">
        <v>915</v>
      </c>
      <c r="I101" s="53" t="s">
        <v>916</v>
      </c>
    </row>
    <row r="102" spans="1:9" ht="18.75" customHeight="1">
      <c r="A102" s="51" t="s">
        <v>629</v>
      </c>
      <c r="B102" s="51" t="s">
        <v>709</v>
      </c>
      <c r="C102" s="52" t="s">
        <v>27</v>
      </c>
      <c r="D102" s="52"/>
      <c r="E102" s="52" t="s">
        <v>917</v>
      </c>
      <c r="F102" s="52"/>
      <c r="G102" s="52"/>
      <c r="H102" s="52" t="s">
        <v>712</v>
      </c>
      <c r="I102" s="53" t="s">
        <v>713</v>
      </c>
    </row>
    <row r="103" spans="1:9" ht="15.75" customHeight="1">
      <c r="A103" s="51" t="s">
        <v>629</v>
      </c>
      <c r="B103" s="51" t="s">
        <v>709</v>
      </c>
      <c r="C103" s="52" t="s">
        <v>27</v>
      </c>
      <c r="D103" s="52"/>
      <c r="E103" s="52" t="s">
        <v>918</v>
      </c>
      <c r="F103" s="52"/>
      <c r="G103" s="52"/>
      <c r="H103" s="52" t="s">
        <v>712</v>
      </c>
      <c r="I103" s="53" t="s">
        <v>713</v>
      </c>
    </row>
    <row r="104" spans="1:9" ht="15.75" customHeight="1">
      <c r="A104" s="51" t="s">
        <v>629</v>
      </c>
      <c r="B104" s="51" t="s">
        <v>709</v>
      </c>
      <c r="C104" s="52" t="s">
        <v>27</v>
      </c>
      <c r="D104" s="52"/>
      <c r="E104" s="52" t="s">
        <v>919</v>
      </c>
      <c r="F104" s="52"/>
      <c r="G104" s="52"/>
      <c r="H104" s="52" t="s">
        <v>436</v>
      </c>
      <c r="I104" s="53" t="s">
        <v>920</v>
      </c>
    </row>
    <row r="105" spans="1:9" ht="15.75" customHeight="1">
      <c r="A105" s="51" t="s">
        <v>629</v>
      </c>
      <c r="B105" s="51" t="s">
        <v>921</v>
      </c>
      <c r="C105" s="52" t="s">
        <v>27</v>
      </c>
      <c r="D105" s="52"/>
      <c r="E105" s="52" t="s">
        <v>922</v>
      </c>
      <c r="F105" s="52"/>
      <c r="G105" s="52"/>
      <c r="H105" s="52" t="s">
        <v>923</v>
      </c>
      <c r="I105" s="53" t="s">
        <v>924</v>
      </c>
    </row>
    <row r="106" spans="1:9" ht="15.75" customHeight="1">
      <c r="A106" s="51" t="s">
        <v>629</v>
      </c>
      <c r="B106" s="51" t="s">
        <v>921</v>
      </c>
      <c r="C106" s="52" t="s">
        <v>27</v>
      </c>
      <c r="D106" s="52"/>
      <c r="E106" s="52" t="s">
        <v>925</v>
      </c>
      <c r="F106" s="52"/>
      <c r="G106" s="52" t="s">
        <v>926</v>
      </c>
      <c r="H106" s="67" t="s">
        <v>717</v>
      </c>
      <c r="I106" s="53" t="s">
        <v>927</v>
      </c>
    </row>
    <row r="107" spans="1:9" ht="15.75" customHeight="1">
      <c r="A107" s="51" t="s">
        <v>629</v>
      </c>
      <c r="B107" s="51" t="s">
        <v>450</v>
      </c>
      <c r="C107" s="52" t="s">
        <v>27</v>
      </c>
      <c r="D107" s="52" t="s">
        <v>928</v>
      </c>
      <c r="E107" s="52" t="s">
        <v>929</v>
      </c>
      <c r="F107" s="52"/>
      <c r="G107" s="52"/>
      <c r="H107" s="52" t="s">
        <v>930</v>
      </c>
      <c r="I107" s="53" t="s">
        <v>931</v>
      </c>
    </row>
    <row r="108" spans="1:9" ht="15.75" customHeight="1">
      <c r="A108" s="51" t="s">
        <v>629</v>
      </c>
      <c r="B108" s="51" t="s">
        <v>450</v>
      </c>
      <c r="C108" s="52" t="s">
        <v>27</v>
      </c>
      <c r="D108" s="52" t="s">
        <v>932</v>
      </c>
      <c r="E108" s="52" t="s">
        <v>933</v>
      </c>
      <c r="F108" s="52"/>
      <c r="G108" s="52"/>
      <c r="H108" s="52" t="s">
        <v>438</v>
      </c>
      <c r="I108" s="53" t="s">
        <v>440</v>
      </c>
    </row>
    <row r="109" spans="1:9" ht="15.75" customHeight="1">
      <c r="A109" s="51" t="s">
        <v>629</v>
      </c>
      <c r="B109" s="51" t="s">
        <v>450</v>
      </c>
      <c r="C109" s="52" t="s">
        <v>27</v>
      </c>
      <c r="D109" s="52"/>
      <c r="E109" s="52" t="s">
        <v>934</v>
      </c>
      <c r="F109" s="52"/>
      <c r="G109" s="52"/>
      <c r="H109" s="52" t="s">
        <v>935</v>
      </c>
      <c r="I109" s="53" t="s">
        <v>936</v>
      </c>
    </row>
    <row r="110" spans="1:9" ht="15.75" customHeight="1">
      <c r="A110" s="51" t="s">
        <v>629</v>
      </c>
      <c r="B110" s="69" t="s">
        <v>450</v>
      </c>
      <c r="C110" s="52" t="s">
        <v>27</v>
      </c>
      <c r="D110" s="67"/>
      <c r="E110" s="67" t="s">
        <v>937</v>
      </c>
      <c r="F110" s="67"/>
      <c r="G110" s="67"/>
      <c r="H110" s="67" t="s">
        <v>938</v>
      </c>
      <c r="I110" s="53" t="s">
        <v>939</v>
      </c>
    </row>
    <row r="111" spans="1:9" ht="36.75" customHeight="1">
      <c r="A111" s="51" t="s">
        <v>629</v>
      </c>
      <c r="B111" s="51" t="s">
        <v>940</v>
      </c>
      <c r="C111" s="52" t="s">
        <v>27</v>
      </c>
      <c r="D111" s="52"/>
      <c r="E111" s="52" t="s">
        <v>941</v>
      </c>
      <c r="F111" s="52"/>
      <c r="G111" s="52"/>
      <c r="H111" s="52" t="s">
        <v>942</v>
      </c>
      <c r="I111" s="53" t="s">
        <v>943</v>
      </c>
    </row>
    <row r="112" spans="1:9" ht="18.75" customHeight="1">
      <c r="A112" s="62" t="s">
        <v>533</v>
      </c>
      <c r="B112" s="48" t="s">
        <v>533</v>
      </c>
      <c r="C112" s="49" t="s">
        <v>27</v>
      </c>
      <c r="D112" s="49"/>
      <c r="E112" s="49" t="s">
        <v>944</v>
      </c>
      <c r="F112" s="49"/>
      <c r="G112" s="49"/>
      <c r="H112" s="49" t="s">
        <v>945</v>
      </c>
      <c r="I112" s="50" t="s">
        <v>946</v>
      </c>
    </row>
    <row r="113" spans="1:9" ht="46.5" customHeight="1">
      <c r="A113" s="62" t="s">
        <v>533</v>
      </c>
      <c r="B113" s="48" t="s">
        <v>533</v>
      </c>
      <c r="C113" s="49" t="s">
        <v>27</v>
      </c>
      <c r="D113" s="49"/>
      <c r="E113" s="49" t="s">
        <v>947</v>
      </c>
      <c r="F113" s="49"/>
      <c r="G113" s="49"/>
      <c r="H113" s="49" t="s">
        <v>948</v>
      </c>
      <c r="I113" s="50" t="s">
        <v>949</v>
      </c>
    </row>
    <row r="114" spans="1:9" ht="45" customHeight="1">
      <c r="A114" s="62" t="s">
        <v>533</v>
      </c>
      <c r="B114" s="48" t="s">
        <v>533</v>
      </c>
      <c r="C114" s="49" t="s">
        <v>27</v>
      </c>
      <c r="D114" s="49"/>
      <c r="E114" s="49" t="s">
        <v>950</v>
      </c>
      <c r="F114" s="49"/>
      <c r="G114" s="49"/>
      <c r="H114" s="49" t="s">
        <v>747</v>
      </c>
      <c r="I114" s="50" t="s">
        <v>951</v>
      </c>
    </row>
    <row r="115" spans="1:9" ht="69.75" customHeight="1">
      <c r="A115" s="62" t="s">
        <v>533</v>
      </c>
      <c r="B115" s="48" t="s">
        <v>533</v>
      </c>
      <c r="C115" s="49" t="s">
        <v>27</v>
      </c>
      <c r="D115" s="49"/>
      <c r="E115" s="49" t="s">
        <v>952</v>
      </c>
      <c r="F115" s="49"/>
      <c r="G115" s="49"/>
      <c r="H115" s="49" t="s">
        <v>784</v>
      </c>
      <c r="I115" s="50" t="s">
        <v>785</v>
      </c>
    </row>
    <row r="116" spans="1:9" ht="69.75" customHeight="1">
      <c r="A116" s="62" t="s">
        <v>533</v>
      </c>
      <c r="B116" s="48" t="s">
        <v>533</v>
      </c>
      <c r="C116" s="49" t="s">
        <v>27</v>
      </c>
      <c r="D116" s="49"/>
      <c r="E116" s="49" t="s">
        <v>953</v>
      </c>
      <c r="F116" s="49"/>
      <c r="G116" s="49"/>
      <c r="H116" s="49" t="s">
        <v>954</v>
      </c>
      <c r="I116" s="50" t="s">
        <v>955</v>
      </c>
    </row>
    <row r="117" spans="1:9" ht="18.75" customHeight="1">
      <c r="A117" s="62" t="s">
        <v>533</v>
      </c>
      <c r="B117" s="48" t="s">
        <v>533</v>
      </c>
      <c r="C117" s="49" t="s">
        <v>27</v>
      </c>
      <c r="D117" s="49"/>
      <c r="E117" s="49" t="s">
        <v>956</v>
      </c>
      <c r="F117" s="49"/>
      <c r="G117" s="49"/>
      <c r="H117" s="49" t="s">
        <v>798</v>
      </c>
      <c r="I117" s="50" t="s">
        <v>799</v>
      </c>
    </row>
    <row r="118" spans="1:9" ht="18.75" customHeight="1">
      <c r="A118" s="62" t="s">
        <v>533</v>
      </c>
      <c r="B118" s="48" t="s">
        <v>533</v>
      </c>
      <c r="C118" s="49" t="s">
        <v>27</v>
      </c>
      <c r="D118" s="49"/>
      <c r="E118" s="49" t="s">
        <v>957</v>
      </c>
      <c r="F118" s="49"/>
      <c r="G118" s="49"/>
      <c r="H118" s="49" t="s">
        <v>958</v>
      </c>
      <c r="I118" s="50" t="s">
        <v>959</v>
      </c>
    </row>
    <row r="119" spans="1:9" ht="18.75" customHeight="1">
      <c r="A119" s="62" t="s">
        <v>533</v>
      </c>
      <c r="B119" s="48" t="s">
        <v>533</v>
      </c>
      <c r="C119" s="49" t="s">
        <v>27</v>
      </c>
      <c r="D119" s="49"/>
      <c r="E119" s="49" t="s">
        <v>960</v>
      </c>
      <c r="F119" s="49"/>
      <c r="G119" s="49"/>
      <c r="H119" s="49" t="s">
        <v>961</v>
      </c>
      <c r="I119" s="50" t="s">
        <v>962</v>
      </c>
    </row>
    <row r="120" spans="1:9" ht="18.75" customHeight="1">
      <c r="A120" s="62" t="s">
        <v>533</v>
      </c>
      <c r="B120" s="48" t="s">
        <v>533</v>
      </c>
      <c r="C120" s="49" t="s">
        <v>27</v>
      </c>
      <c r="D120" s="49"/>
      <c r="E120" s="49" t="s">
        <v>963</v>
      </c>
      <c r="F120" s="49"/>
      <c r="G120" s="49"/>
      <c r="H120" s="49" t="s">
        <v>964</v>
      </c>
      <c r="I120" s="50" t="s">
        <v>965</v>
      </c>
    </row>
    <row r="121" spans="1:9" ht="18.75" customHeight="1">
      <c r="A121" s="62" t="s">
        <v>533</v>
      </c>
      <c r="B121" s="48" t="s">
        <v>533</v>
      </c>
      <c r="C121" s="49" t="s">
        <v>27</v>
      </c>
      <c r="D121" s="49"/>
      <c r="E121" s="49" t="s">
        <v>966</v>
      </c>
      <c r="F121" s="49"/>
      <c r="G121" s="49"/>
      <c r="H121" s="49" t="s">
        <v>967</v>
      </c>
      <c r="I121" s="50" t="s">
        <v>968</v>
      </c>
    </row>
    <row r="122" spans="1:9" ht="18.75" customHeight="1">
      <c r="A122" s="62" t="s">
        <v>533</v>
      </c>
      <c r="B122" s="48" t="s">
        <v>533</v>
      </c>
      <c r="C122" s="49" t="s">
        <v>27</v>
      </c>
      <c r="D122" s="49"/>
      <c r="E122" s="49" t="s">
        <v>969</v>
      </c>
      <c r="F122" s="49"/>
      <c r="G122" s="49"/>
      <c r="H122" s="49" t="s">
        <v>970</v>
      </c>
      <c r="I122" s="50" t="s">
        <v>971</v>
      </c>
    </row>
    <row r="123" spans="1:9" ht="117.75" customHeight="1">
      <c r="A123" s="62" t="s">
        <v>533</v>
      </c>
      <c r="B123" s="48" t="s">
        <v>533</v>
      </c>
      <c r="C123" s="49" t="s">
        <v>27</v>
      </c>
      <c r="D123" s="49"/>
      <c r="E123" s="49" t="s">
        <v>972</v>
      </c>
      <c r="F123" s="49"/>
      <c r="G123" s="49"/>
      <c r="H123" s="49" t="s">
        <v>973</v>
      </c>
      <c r="I123" s="50" t="s">
        <v>974</v>
      </c>
    </row>
    <row r="124" spans="1:9" ht="18.75" customHeight="1">
      <c r="A124" s="62" t="s">
        <v>533</v>
      </c>
      <c r="B124" s="48" t="s">
        <v>533</v>
      </c>
      <c r="C124" s="49" t="s">
        <v>27</v>
      </c>
      <c r="D124" s="49"/>
      <c r="E124" s="49" t="s">
        <v>975</v>
      </c>
      <c r="F124" s="49"/>
      <c r="G124" s="49"/>
      <c r="H124" s="49" t="s">
        <v>976</v>
      </c>
      <c r="I124" s="50" t="s">
        <v>977</v>
      </c>
    </row>
    <row r="125" spans="1:9" ht="113.25" customHeight="1">
      <c r="A125" s="62" t="s">
        <v>533</v>
      </c>
      <c r="B125" s="48" t="s">
        <v>533</v>
      </c>
      <c r="C125" s="49" t="s">
        <v>27</v>
      </c>
      <c r="D125" s="49"/>
      <c r="E125" s="49" t="s">
        <v>978</v>
      </c>
      <c r="F125" s="49"/>
      <c r="G125" s="49"/>
      <c r="H125" s="49" t="s">
        <v>979</v>
      </c>
      <c r="I125" s="50" t="s">
        <v>980</v>
      </c>
    </row>
    <row r="126" spans="1:9" ht="68.25" customHeight="1">
      <c r="A126" s="51" t="s">
        <v>356</v>
      </c>
      <c r="B126" s="65" t="s">
        <v>356</v>
      </c>
      <c r="C126" s="66" t="s">
        <v>981</v>
      </c>
      <c r="D126" s="66" t="s">
        <v>982</v>
      </c>
      <c r="E126" s="66" t="s">
        <v>983</v>
      </c>
      <c r="F126" s="66"/>
      <c r="G126" s="66"/>
      <c r="H126" s="67" t="s">
        <v>984</v>
      </c>
      <c r="I126" s="70" t="s">
        <v>985</v>
      </c>
    </row>
    <row r="127" spans="1:9" ht="58.5" customHeight="1">
      <c r="A127" s="51" t="s">
        <v>356</v>
      </c>
      <c r="B127" s="65" t="s">
        <v>356</v>
      </c>
      <c r="C127" s="66" t="s">
        <v>981</v>
      </c>
      <c r="D127" s="66" t="s">
        <v>986</v>
      </c>
      <c r="E127" s="66" t="s">
        <v>987</v>
      </c>
      <c r="F127" s="66"/>
      <c r="G127" s="66"/>
      <c r="H127" s="67" t="s">
        <v>988</v>
      </c>
      <c r="I127" s="70" t="s">
        <v>989</v>
      </c>
    </row>
    <row r="128" spans="1:9" ht="18.75" customHeight="1">
      <c r="A128" s="51" t="s">
        <v>356</v>
      </c>
      <c r="B128" s="65" t="s">
        <v>356</v>
      </c>
      <c r="C128" s="66" t="s">
        <v>981</v>
      </c>
      <c r="D128" s="67"/>
      <c r="E128" s="66" t="s">
        <v>990</v>
      </c>
      <c r="F128" s="66"/>
      <c r="G128" s="66"/>
      <c r="H128" s="67" t="s">
        <v>991</v>
      </c>
      <c r="I128" s="70" t="s">
        <v>992</v>
      </c>
    </row>
    <row r="129" spans="1:9" ht="16.5" customHeight="1">
      <c r="A129" s="65" t="s">
        <v>365</v>
      </c>
      <c r="B129" s="65" t="s">
        <v>365</v>
      </c>
      <c r="C129" s="66" t="s">
        <v>981</v>
      </c>
      <c r="D129" s="66" t="s">
        <v>993</v>
      </c>
      <c r="E129" s="66" t="s">
        <v>994</v>
      </c>
      <c r="F129" s="66"/>
      <c r="G129" s="66" t="s">
        <v>995</v>
      </c>
      <c r="H129" s="67" t="s">
        <v>996</v>
      </c>
      <c r="I129" s="53" t="s">
        <v>997</v>
      </c>
    </row>
    <row r="130" spans="1:9" ht="63.75" customHeight="1">
      <c r="A130" s="65" t="s">
        <v>365</v>
      </c>
      <c r="B130" s="65" t="s">
        <v>365</v>
      </c>
      <c r="C130" s="66" t="s">
        <v>981</v>
      </c>
      <c r="D130" s="66" t="s">
        <v>998</v>
      </c>
      <c r="E130" s="66" t="s">
        <v>999</v>
      </c>
      <c r="F130" s="66"/>
      <c r="G130" s="66"/>
      <c r="H130" s="67" t="s">
        <v>1000</v>
      </c>
      <c r="I130" s="53" t="s">
        <v>1001</v>
      </c>
    </row>
    <row r="131" spans="1:9" ht="43.5" customHeight="1">
      <c r="A131" s="65" t="s">
        <v>365</v>
      </c>
      <c r="B131" s="65" t="s">
        <v>365</v>
      </c>
      <c r="C131" s="66" t="s">
        <v>981</v>
      </c>
      <c r="D131" s="66" t="s">
        <v>1002</v>
      </c>
      <c r="E131" s="66" t="s">
        <v>1003</v>
      </c>
      <c r="F131" s="66"/>
      <c r="G131" s="66"/>
      <c r="H131" s="67" t="s">
        <v>1004</v>
      </c>
      <c r="I131" s="53" t="s">
        <v>1005</v>
      </c>
    </row>
    <row r="132" spans="1:9" ht="63" customHeight="1">
      <c r="A132" s="65" t="s">
        <v>365</v>
      </c>
      <c r="B132" s="65" t="s">
        <v>365</v>
      </c>
      <c r="C132" s="66" t="s">
        <v>981</v>
      </c>
      <c r="D132" s="67"/>
      <c r="E132" s="66" t="s">
        <v>1006</v>
      </c>
      <c r="F132" s="66"/>
      <c r="G132" s="66"/>
      <c r="H132" s="67" t="s">
        <v>1007</v>
      </c>
      <c r="I132" s="53" t="s">
        <v>1008</v>
      </c>
    </row>
    <row r="133" spans="1:9" ht="15.75" customHeight="1">
      <c r="A133" s="65" t="s">
        <v>365</v>
      </c>
      <c r="B133" s="65" t="s">
        <v>365</v>
      </c>
      <c r="C133" s="66" t="s">
        <v>981</v>
      </c>
      <c r="D133" s="67"/>
      <c r="E133" s="66" t="s">
        <v>1009</v>
      </c>
      <c r="F133" s="66"/>
      <c r="G133" s="66"/>
      <c r="H133" s="53" t="s">
        <v>1010</v>
      </c>
      <c r="I133" s="53" t="s">
        <v>1011</v>
      </c>
    </row>
    <row r="134" spans="1:9" ht="62.25" customHeight="1">
      <c r="A134" s="65" t="s">
        <v>365</v>
      </c>
      <c r="B134" s="65" t="s">
        <v>365</v>
      </c>
      <c r="C134" s="66" t="s">
        <v>981</v>
      </c>
      <c r="D134" s="67"/>
      <c r="E134" s="66" t="s">
        <v>1012</v>
      </c>
      <c r="F134" s="66"/>
      <c r="G134" s="66"/>
      <c r="H134" s="67" t="s">
        <v>1013</v>
      </c>
      <c r="I134" s="53" t="s">
        <v>1014</v>
      </c>
    </row>
    <row r="135" spans="1:9" ht="18.75" customHeight="1">
      <c r="A135" s="65" t="s">
        <v>365</v>
      </c>
      <c r="B135" s="65" t="s">
        <v>365</v>
      </c>
      <c r="C135" s="66" t="s">
        <v>981</v>
      </c>
      <c r="D135" s="67"/>
      <c r="E135" s="66" t="s">
        <v>1015</v>
      </c>
      <c r="F135" s="66"/>
      <c r="G135" s="66"/>
      <c r="H135" s="67" t="s">
        <v>1016</v>
      </c>
      <c r="I135" s="53" t="s">
        <v>1017</v>
      </c>
    </row>
    <row r="136" spans="1:9" ht="18.75" customHeight="1">
      <c r="A136" s="65" t="s">
        <v>365</v>
      </c>
      <c r="B136" s="65" t="s">
        <v>365</v>
      </c>
      <c r="C136" s="66" t="s">
        <v>981</v>
      </c>
      <c r="D136" s="67"/>
      <c r="E136" s="66" t="s">
        <v>1018</v>
      </c>
      <c r="F136" s="66"/>
      <c r="G136" s="66"/>
      <c r="H136" s="67" t="s">
        <v>1007</v>
      </c>
      <c r="I136" s="53" t="s">
        <v>1008</v>
      </c>
    </row>
    <row r="137" spans="1:9" ht="51.75" customHeight="1">
      <c r="A137" s="51" t="s">
        <v>629</v>
      </c>
      <c r="B137" s="51" t="s">
        <v>434</v>
      </c>
      <c r="C137" s="52" t="s">
        <v>981</v>
      </c>
      <c r="D137" s="52" t="s">
        <v>1019</v>
      </c>
      <c r="E137" s="52" t="s">
        <v>1020</v>
      </c>
      <c r="F137" s="52"/>
      <c r="G137" s="52"/>
      <c r="H137" s="56" t="s">
        <v>1021</v>
      </c>
      <c r="I137" s="57" t="s">
        <v>1022</v>
      </c>
    </row>
    <row r="138" spans="1:9" ht="48.75" customHeight="1">
      <c r="A138" s="51" t="s">
        <v>629</v>
      </c>
      <c r="B138" s="51" t="s">
        <v>441</v>
      </c>
      <c r="C138" s="52" t="s">
        <v>981</v>
      </c>
      <c r="D138" s="52" t="s">
        <v>1019</v>
      </c>
      <c r="E138" s="52" t="s">
        <v>1023</v>
      </c>
      <c r="F138" s="52"/>
      <c r="G138" s="52"/>
      <c r="H138" s="52" t="s">
        <v>1024</v>
      </c>
      <c r="I138" s="57" t="s">
        <v>1025</v>
      </c>
    </row>
    <row r="139" spans="1:9" ht="18.75" customHeight="1">
      <c r="A139" s="51" t="s">
        <v>629</v>
      </c>
      <c r="B139" s="55" t="s">
        <v>630</v>
      </c>
      <c r="C139" s="56" t="s">
        <v>981</v>
      </c>
      <c r="D139" s="56" t="s">
        <v>1026</v>
      </c>
      <c r="E139" s="56" t="s">
        <v>1027</v>
      </c>
      <c r="F139" s="56"/>
      <c r="G139" s="56"/>
      <c r="H139" s="56" t="s">
        <v>1028</v>
      </c>
      <c r="I139" s="57" t="s">
        <v>1029</v>
      </c>
    </row>
    <row r="140" spans="1:9" ht="46.5" customHeight="1">
      <c r="A140" s="51" t="s">
        <v>629</v>
      </c>
      <c r="B140" s="55" t="s">
        <v>1030</v>
      </c>
      <c r="C140" s="71" t="s">
        <v>981</v>
      </c>
      <c r="D140" s="71"/>
      <c r="E140" s="71" t="s">
        <v>1031</v>
      </c>
      <c r="F140" s="71"/>
      <c r="G140" s="71"/>
      <c r="H140" s="56" t="s">
        <v>1032</v>
      </c>
      <c r="I140" s="57" t="s">
        <v>1033</v>
      </c>
    </row>
    <row r="141" spans="1:9" ht="50.25" customHeight="1">
      <c r="A141" s="51" t="s">
        <v>629</v>
      </c>
      <c r="B141" s="51" t="s">
        <v>442</v>
      </c>
      <c r="C141" s="52" t="s">
        <v>981</v>
      </c>
      <c r="D141" s="52" t="s">
        <v>1019</v>
      </c>
      <c r="E141" s="52" t="s">
        <v>1034</v>
      </c>
      <c r="F141" s="52"/>
      <c r="G141" s="52"/>
      <c r="H141" s="52" t="s">
        <v>1024</v>
      </c>
      <c r="I141" s="57" t="s">
        <v>1025</v>
      </c>
    </row>
    <row r="142" spans="1:9" ht="39.75" customHeight="1">
      <c r="A142" s="51" t="s">
        <v>629</v>
      </c>
      <c r="B142" s="55" t="s">
        <v>714</v>
      </c>
      <c r="C142" s="52" t="s">
        <v>981</v>
      </c>
      <c r="D142" s="56" t="s">
        <v>1019</v>
      </c>
      <c r="E142" s="52" t="s">
        <v>1035</v>
      </c>
      <c r="F142" s="56"/>
      <c r="G142" s="56"/>
      <c r="H142" s="56" t="s">
        <v>1036</v>
      </c>
      <c r="I142" s="57" t="s">
        <v>1022</v>
      </c>
    </row>
    <row r="143" spans="1:9" ht="18.75" customHeight="1">
      <c r="A143" s="51" t="s">
        <v>629</v>
      </c>
      <c r="B143" s="55" t="s">
        <v>714</v>
      </c>
      <c r="C143" s="56" t="s">
        <v>981</v>
      </c>
      <c r="D143" s="56" t="s">
        <v>1019</v>
      </c>
      <c r="E143" s="56" t="s">
        <v>1037</v>
      </c>
      <c r="F143" s="56"/>
      <c r="G143" s="56"/>
      <c r="H143" s="56" t="s">
        <v>1038</v>
      </c>
      <c r="I143" s="57" t="s">
        <v>1039</v>
      </c>
    </row>
    <row r="144" spans="1:9" ht="75" customHeight="1">
      <c r="A144" s="51" t="s">
        <v>629</v>
      </c>
      <c r="B144" s="55" t="s">
        <v>714</v>
      </c>
      <c r="C144" s="56" t="s">
        <v>981</v>
      </c>
      <c r="D144" s="56" t="s">
        <v>1040</v>
      </c>
      <c r="E144" s="56" t="s">
        <v>1041</v>
      </c>
      <c r="F144" s="56"/>
      <c r="G144" s="56"/>
      <c r="H144" s="56" t="s">
        <v>1042</v>
      </c>
      <c r="I144" s="70" t="s">
        <v>1043</v>
      </c>
    </row>
    <row r="145" spans="1:9" ht="18.75" customHeight="1">
      <c r="A145" s="51" t="s">
        <v>629</v>
      </c>
      <c r="B145" s="55" t="s">
        <v>445</v>
      </c>
      <c r="C145" s="56" t="s">
        <v>981</v>
      </c>
      <c r="D145" s="56" t="s">
        <v>1019</v>
      </c>
      <c r="E145" s="56" t="s">
        <v>1044</v>
      </c>
      <c r="F145" s="56"/>
      <c r="G145" s="56"/>
      <c r="H145" s="56" t="s">
        <v>446</v>
      </c>
      <c r="I145" s="57" t="s">
        <v>1045</v>
      </c>
    </row>
    <row r="146" spans="1:9" ht="18.75" customHeight="1">
      <c r="A146" s="51" t="s">
        <v>180</v>
      </c>
      <c r="B146" s="65" t="s">
        <v>180</v>
      </c>
      <c r="C146" s="66" t="s">
        <v>1046</v>
      </c>
      <c r="D146" s="66" t="s">
        <v>1047</v>
      </c>
      <c r="E146" s="67" t="s">
        <v>1048</v>
      </c>
      <c r="F146" s="66"/>
      <c r="G146" s="66"/>
      <c r="H146" s="67" t="s">
        <v>1049</v>
      </c>
      <c r="I146" s="53" t="s">
        <v>1050</v>
      </c>
    </row>
    <row r="147" spans="1:9" ht="18.75" customHeight="1">
      <c r="A147" s="51" t="s">
        <v>180</v>
      </c>
      <c r="B147" s="65" t="s">
        <v>180</v>
      </c>
      <c r="C147" s="66" t="s">
        <v>1046</v>
      </c>
      <c r="D147" s="66" t="s">
        <v>1051</v>
      </c>
      <c r="E147" s="67" t="s">
        <v>1052</v>
      </c>
      <c r="F147" s="66"/>
      <c r="G147" s="66"/>
      <c r="H147" s="67" t="s">
        <v>1049</v>
      </c>
      <c r="I147" s="53" t="s">
        <v>1050</v>
      </c>
    </row>
    <row r="148" spans="1:9" ht="18.75" customHeight="1">
      <c r="A148" s="51" t="s">
        <v>180</v>
      </c>
      <c r="B148" s="65" t="s">
        <v>180</v>
      </c>
      <c r="C148" s="66" t="s">
        <v>1046</v>
      </c>
      <c r="D148" s="66" t="s">
        <v>1053</v>
      </c>
      <c r="E148" s="66" t="s">
        <v>1054</v>
      </c>
      <c r="F148" s="66"/>
      <c r="G148" s="66"/>
      <c r="H148" s="67" t="s">
        <v>1055</v>
      </c>
      <c r="I148" s="53" t="s">
        <v>1056</v>
      </c>
    </row>
    <row r="149" spans="1:9" ht="18.75" customHeight="1">
      <c r="A149" s="51" t="s">
        <v>180</v>
      </c>
      <c r="B149" s="65" t="s">
        <v>180</v>
      </c>
      <c r="C149" s="66" t="s">
        <v>1046</v>
      </c>
      <c r="D149" s="66" t="s">
        <v>1057</v>
      </c>
      <c r="E149" s="66" t="s">
        <v>1058</v>
      </c>
      <c r="F149" s="66"/>
      <c r="G149" s="66"/>
      <c r="H149" s="67" t="s">
        <v>1059</v>
      </c>
      <c r="I149" s="53" t="s">
        <v>1060</v>
      </c>
    </row>
    <row r="150" spans="1:9" ht="18.75" customHeight="1">
      <c r="A150" s="51" t="s">
        <v>180</v>
      </c>
      <c r="B150" s="65" t="s">
        <v>180</v>
      </c>
      <c r="C150" s="66" t="s">
        <v>1046</v>
      </c>
      <c r="D150" s="66" t="s">
        <v>1061</v>
      </c>
      <c r="E150" s="67" t="s">
        <v>1062</v>
      </c>
      <c r="F150" s="66"/>
      <c r="G150" s="66"/>
      <c r="H150" s="67" t="s">
        <v>1063</v>
      </c>
      <c r="I150" s="53" t="s">
        <v>1064</v>
      </c>
    </row>
    <row r="151" spans="1:9" ht="18.75" customHeight="1">
      <c r="A151" s="51" t="s">
        <v>180</v>
      </c>
      <c r="B151" s="65" t="s">
        <v>180</v>
      </c>
      <c r="C151" s="66" t="s">
        <v>1046</v>
      </c>
      <c r="D151" s="66" t="s">
        <v>1053</v>
      </c>
      <c r="E151" s="67" t="s">
        <v>1065</v>
      </c>
      <c r="F151" s="66"/>
      <c r="G151" s="66"/>
      <c r="H151" s="67" t="s">
        <v>1066</v>
      </c>
      <c r="I151" s="53" t="s">
        <v>1067</v>
      </c>
    </row>
    <row r="152" spans="1:9" ht="18.75" customHeight="1">
      <c r="A152" s="51" t="s">
        <v>180</v>
      </c>
      <c r="B152" s="65" t="s">
        <v>180</v>
      </c>
      <c r="C152" s="66" t="s">
        <v>1046</v>
      </c>
      <c r="D152" s="66"/>
      <c r="E152" s="67" t="s">
        <v>1068</v>
      </c>
      <c r="F152" s="66"/>
      <c r="G152" s="66"/>
      <c r="H152" s="67" t="s">
        <v>185</v>
      </c>
      <c r="I152" s="53" t="s">
        <v>186</v>
      </c>
    </row>
    <row r="153" spans="1:9" ht="18.75" customHeight="1">
      <c r="A153" s="65" t="s">
        <v>365</v>
      </c>
      <c r="B153" s="65" t="s">
        <v>365</v>
      </c>
      <c r="C153" s="66" t="s">
        <v>1046</v>
      </c>
      <c r="D153" s="66" t="s">
        <v>1069</v>
      </c>
      <c r="E153" s="66" t="s">
        <v>1070</v>
      </c>
      <c r="F153" s="66"/>
      <c r="G153" s="66" t="s">
        <v>1071</v>
      </c>
      <c r="H153" s="67" t="s">
        <v>1072</v>
      </c>
      <c r="I153" s="53" t="s">
        <v>366</v>
      </c>
    </row>
    <row r="154" spans="1:9" ht="18.75" customHeight="1">
      <c r="A154" s="65" t="s">
        <v>365</v>
      </c>
      <c r="B154" s="65" t="s">
        <v>365</v>
      </c>
      <c r="C154" s="66" t="s">
        <v>1046</v>
      </c>
      <c r="D154" s="66" t="s">
        <v>1073</v>
      </c>
      <c r="E154" s="67" t="s">
        <v>1074</v>
      </c>
      <c r="F154" s="66"/>
      <c r="G154" s="66"/>
      <c r="H154" s="67" t="s">
        <v>1075</v>
      </c>
      <c r="I154" s="53" t="s">
        <v>372</v>
      </c>
    </row>
    <row r="155" spans="1:9" ht="18.75" customHeight="1">
      <c r="A155" s="65" t="s">
        <v>365</v>
      </c>
      <c r="B155" s="65" t="s">
        <v>365</v>
      </c>
      <c r="C155" s="66" t="s">
        <v>1046</v>
      </c>
      <c r="D155" s="67"/>
      <c r="E155" s="66" t="s">
        <v>1076</v>
      </c>
      <c r="F155" s="66"/>
      <c r="G155" s="66"/>
      <c r="H155" s="67" t="s">
        <v>1077</v>
      </c>
      <c r="I155" s="53" t="s">
        <v>1078</v>
      </c>
    </row>
    <row r="156" spans="1:9" ht="18.75" customHeight="1">
      <c r="A156" s="65" t="s">
        <v>365</v>
      </c>
      <c r="B156" s="65" t="s">
        <v>365</v>
      </c>
      <c r="C156" s="66" t="s">
        <v>1046</v>
      </c>
      <c r="D156" s="66" t="s">
        <v>1079</v>
      </c>
      <c r="E156" s="66" t="s">
        <v>1080</v>
      </c>
      <c r="F156" s="66"/>
      <c r="G156" s="66"/>
      <c r="H156" s="67" t="s">
        <v>1077</v>
      </c>
      <c r="I156" s="53" t="s">
        <v>1078</v>
      </c>
    </row>
    <row r="157" spans="1:9" ht="18.75" customHeight="1">
      <c r="A157" s="48" t="s">
        <v>163</v>
      </c>
      <c r="B157" s="48" t="s">
        <v>163</v>
      </c>
      <c r="C157" s="49" t="s">
        <v>1081</v>
      </c>
      <c r="D157" s="49" t="s">
        <v>1082</v>
      </c>
      <c r="E157" s="49" t="s">
        <v>1083</v>
      </c>
      <c r="F157" s="49"/>
      <c r="G157" s="49"/>
      <c r="H157" s="49" t="s">
        <v>813</v>
      </c>
      <c r="I157" s="50" t="s">
        <v>814</v>
      </c>
    </row>
    <row r="158" spans="1:9" ht="18.75" customHeight="1">
      <c r="A158" s="48" t="s">
        <v>163</v>
      </c>
      <c r="B158" s="48" t="s">
        <v>163</v>
      </c>
      <c r="C158" s="49" t="s">
        <v>1081</v>
      </c>
      <c r="D158" s="49" t="s">
        <v>1084</v>
      </c>
      <c r="E158" s="49" t="s">
        <v>1085</v>
      </c>
      <c r="F158" s="49"/>
      <c r="G158" s="49"/>
      <c r="H158" s="49" t="s">
        <v>1086</v>
      </c>
      <c r="I158" s="50" t="s">
        <v>1087</v>
      </c>
    </row>
    <row r="159" spans="1:9" ht="18.75" customHeight="1">
      <c r="A159" s="48" t="s">
        <v>163</v>
      </c>
      <c r="B159" s="48" t="s">
        <v>163</v>
      </c>
      <c r="C159" s="49" t="s">
        <v>1081</v>
      </c>
      <c r="D159" s="49" t="s">
        <v>1088</v>
      </c>
      <c r="E159" s="49" t="s">
        <v>1089</v>
      </c>
      <c r="F159" s="49"/>
      <c r="G159" s="49"/>
      <c r="H159" s="49" t="s">
        <v>1090</v>
      </c>
      <c r="I159" s="50" t="s">
        <v>1091</v>
      </c>
    </row>
    <row r="160" spans="1:9" ht="18.75" customHeight="1">
      <c r="A160" s="48" t="s">
        <v>163</v>
      </c>
      <c r="B160" s="48" t="s">
        <v>163</v>
      </c>
      <c r="C160" s="49" t="s">
        <v>1081</v>
      </c>
      <c r="D160" s="49" t="s">
        <v>1092</v>
      </c>
      <c r="E160" s="49" t="s">
        <v>1093</v>
      </c>
      <c r="F160" s="49"/>
      <c r="G160" s="49"/>
      <c r="H160" s="49" t="s">
        <v>1090</v>
      </c>
      <c r="I160" s="50" t="s">
        <v>1091</v>
      </c>
    </row>
    <row r="161" spans="1:9" ht="18.75" customHeight="1">
      <c r="A161" s="48" t="s">
        <v>163</v>
      </c>
      <c r="B161" s="48" t="s">
        <v>163</v>
      </c>
      <c r="C161" s="49" t="s">
        <v>1081</v>
      </c>
      <c r="D161" s="49" t="s">
        <v>1094</v>
      </c>
      <c r="E161" s="49" t="s">
        <v>1095</v>
      </c>
      <c r="F161" s="49"/>
      <c r="G161" s="49"/>
      <c r="H161" s="49" t="s">
        <v>813</v>
      </c>
      <c r="I161" s="50" t="s">
        <v>814</v>
      </c>
    </row>
    <row r="162" spans="1:9" ht="57" customHeight="1">
      <c r="A162" s="48" t="s">
        <v>163</v>
      </c>
      <c r="B162" s="48" t="s">
        <v>163</v>
      </c>
      <c r="C162" s="49" t="s">
        <v>1081</v>
      </c>
      <c r="D162" s="49" t="s">
        <v>1096</v>
      </c>
      <c r="E162" s="49" t="s">
        <v>1097</v>
      </c>
      <c r="F162" s="49"/>
      <c r="G162" s="49"/>
      <c r="H162" s="49" t="s">
        <v>813</v>
      </c>
      <c r="I162" s="50" t="s">
        <v>814</v>
      </c>
    </row>
    <row r="163" spans="1:9" ht="18.75" customHeight="1">
      <c r="A163" s="48" t="s">
        <v>163</v>
      </c>
      <c r="B163" s="48" t="s">
        <v>163</v>
      </c>
      <c r="C163" s="49" t="s">
        <v>1081</v>
      </c>
      <c r="D163" s="49" t="s">
        <v>1098</v>
      </c>
      <c r="E163" s="49" t="s">
        <v>1099</v>
      </c>
      <c r="F163" s="49"/>
      <c r="G163" s="49"/>
      <c r="H163" s="49" t="s">
        <v>813</v>
      </c>
      <c r="I163" s="50" t="s">
        <v>814</v>
      </c>
    </row>
    <row r="164" spans="1:9" ht="18.75" customHeight="1">
      <c r="A164" s="48" t="s">
        <v>163</v>
      </c>
      <c r="B164" s="48" t="s">
        <v>163</v>
      </c>
      <c r="C164" s="49" t="s">
        <v>1081</v>
      </c>
      <c r="D164" s="49" t="s">
        <v>1100</v>
      </c>
      <c r="E164" s="49" t="s">
        <v>1101</v>
      </c>
      <c r="F164" s="49"/>
      <c r="G164" s="49"/>
      <c r="H164" s="49" t="s">
        <v>813</v>
      </c>
      <c r="I164" s="50" t="s">
        <v>814</v>
      </c>
    </row>
    <row r="165" spans="1:9" ht="18.75" customHeight="1">
      <c r="A165" s="48" t="s">
        <v>163</v>
      </c>
      <c r="B165" s="48" t="s">
        <v>163</v>
      </c>
      <c r="C165" s="49" t="s">
        <v>1081</v>
      </c>
      <c r="D165" s="49" t="s">
        <v>1102</v>
      </c>
      <c r="E165" s="49" t="s">
        <v>1103</v>
      </c>
      <c r="F165" s="49"/>
      <c r="G165" s="49"/>
      <c r="H165" s="49" t="s">
        <v>813</v>
      </c>
      <c r="I165" s="50" t="s">
        <v>814</v>
      </c>
    </row>
    <row r="166" spans="1:9" ht="18.75" customHeight="1">
      <c r="A166" s="48" t="s">
        <v>163</v>
      </c>
      <c r="B166" s="48" t="s">
        <v>163</v>
      </c>
      <c r="C166" s="49" t="s">
        <v>1081</v>
      </c>
      <c r="D166" s="49" t="s">
        <v>1104</v>
      </c>
      <c r="E166" s="49" t="s">
        <v>1105</v>
      </c>
      <c r="F166" s="49"/>
      <c r="G166" s="49"/>
      <c r="H166" s="49" t="s">
        <v>165</v>
      </c>
      <c r="I166" s="50" t="s">
        <v>166</v>
      </c>
    </row>
    <row r="167" spans="1:9" ht="18.75" customHeight="1">
      <c r="A167" s="51" t="s">
        <v>180</v>
      </c>
      <c r="B167" s="65" t="s">
        <v>180</v>
      </c>
      <c r="C167" s="66" t="s">
        <v>1081</v>
      </c>
      <c r="D167" s="66"/>
      <c r="E167" s="67" t="s">
        <v>1106</v>
      </c>
      <c r="F167" s="66"/>
      <c r="G167" s="66"/>
      <c r="H167" s="67" t="s">
        <v>1107</v>
      </c>
      <c r="I167" s="53" t="s">
        <v>1108</v>
      </c>
    </row>
    <row r="168" spans="1:9" ht="18.75" customHeight="1">
      <c r="A168" s="51" t="s">
        <v>356</v>
      </c>
      <c r="B168" s="65" t="s">
        <v>356</v>
      </c>
      <c r="C168" s="66" t="s">
        <v>1081</v>
      </c>
      <c r="D168" s="66" t="s">
        <v>1109</v>
      </c>
      <c r="E168" s="66" t="s">
        <v>1110</v>
      </c>
      <c r="F168" s="66"/>
      <c r="G168" s="66"/>
      <c r="H168" s="67" t="s">
        <v>1111</v>
      </c>
      <c r="I168" s="70" t="s">
        <v>1112</v>
      </c>
    </row>
    <row r="169" spans="1:9" ht="18.75" customHeight="1">
      <c r="A169" s="51" t="s">
        <v>356</v>
      </c>
      <c r="B169" s="65" t="s">
        <v>356</v>
      </c>
      <c r="C169" s="66" t="s">
        <v>1081</v>
      </c>
      <c r="D169" s="66" t="s">
        <v>1113</v>
      </c>
      <c r="E169" s="66"/>
      <c r="F169" s="66"/>
      <c r="G169" s="66"/>
      <c r="H169" s="67" t="s">
        <v>1114</v>
      </c>
      <c r="I169" s="70" t="s">
        <v>1115</v>
      </c>
    </row>
    <row r="170" spans="1:9" ht="18.75" customHeight="1">
      <c r="A170" s="51" t="s">
        <v>356</v>
      </c>
      <c r="B170" s="65" t="s">
        <v>356</v>
      </c>
      <c r="C170" s="66" t="s">
        <v>1081</v>
      </c>
      <c r="D170" s="66" t="s">
        <v>1116</v>
      </c>
      <c r="E170" s="66"/>
      <c r="F170" s="66"/>
      <c r="G170" s="66"/>
      <c r="H170" s="67" t="s">
        <v>1114</v>
      </c>
      <c r="I170" s="70" t="s">
        <v>1115</v>
      </c>
    </row>
    <row r="171" spans="1:9" ht="18.75" customHeight="1">
      <c r="A171" s="51" t="s">
        <v>356</v>
      </c>
      <c r="B171" s="65" t="s">
        <v>356</v>
      </c>
      <c r="C171" s="66" t="s">
        <v>1081</v>
      </c>
      <c r="D171" s="66" t="s">
        <v>1117</v>
      </c>
      <c r="E171" s="66" t="s">
        <v>1118</v>
      </c>
      <c r="F171" s="66"/>
      <c r="G171" s="66"/>
      <c r="H171" s="67" t="s">
        <v>1119</v>
      </c>
      <c r="I171" s="70" t="s">
        <v>1120</v>
      </c>
    </row>
    <row r="172" spans="1:9" ht="15.75" customHeight="1">
      <c r="A172" s="51" t="s">
        <v>356</v>
      </c>
      <c r="B172" s="65" t="s">
        <v>356</v>
      </c>
      <c r="C172" s="66" t="s">
        <v>1081</v>
      </c>
      <c r="D172" s="66" t="s">
        <v>1121</v>
      </c>
      <c r="E172" s="66" t="s">
        <v>1122</v>
      </c>
      <c r="F172" s="66"/>
      <c r="G172" s="66"/>
      <c r="H172" s="67" t="s">
        <v>1123</v>
      </c>
      <c r="I172" s="70" t="s">
        <v>1124</v>
      </c>
    </row>
    <row r="173" spans="1:9" ht="15.75" customHeight="1">
      <c r="A173" s="51" t="s">
        <v>356</v>
      </c>
      <c r="B173" s="65" t="s">
        <v>356</v>
      </c>
      <c r="C173" s="66" t="s">
        <v>1081</v>
      </c>
      <c r="D173" s="66" t="s">
        <v>1125</v>
      </c>
      <c r="E173" s="66" t="s">
        <v>1126</v>
      </c>
      <c r="F173" s="66"/>
      <c r="G173" s="66"/>
      <c r="H173" s="67" t="s">
        <v>1127</v>
      </c>
      <c r="I173" s="70" t="s">
        <v>1128</v>
      </c>
    </row>
    <row r="174" spans="1:9" ht="15.75" customHeight="1">
      <c r="A174" s="65" t="s">
        <v>365</v>
      </c>
      <c r="B174" s="65" t="s">
        <v>365</v>
      </c>
      <c r="C174" s="66" t="s">
        <v>1081</v>
      </c>
      <c r="D174" s="66" t="s">
        <v>1129</v>
      </c>
      <c r="E174" s="66" t="s">
        <v>1130</v>
      </c>
      <c r="F174" s="66"/>
      <c r="G174" s="66" t="s">
        <v>1131</v>
      </c>
      <c r="H174" s="67" t="s">
        <v>1132</v>
      </c>
      <c r="I174" s="53" t="s">
        <v>1133</v>
      </c>
    </row>
    <row r="175" spans="1:9" ht="18.75" customHeight="1">
      <c r="A175" s="65" t="s">
        <v>365</v>
      </c>
      <c r="B175" s="65" t="s">
        <v>365</v>
      </c>
      <c r="C175" s="66" t="s">
        <v>1081</v>
      </c>
      <c r="D175" s="66" t="s">
        <v>1134</v>
      </c>
      <c r="E175" s="66" t="s">
        <v>1135</v>
      </c>
      <c r="F175" s="66"/>
      <c r="G175" s="66"/>
      <c r="H175" s="67" t="s">
        <v>1016</v>
      </c>
      <c r="I175" s="53" t="s">
        <v>1017</v>
      </c>
    </row>
    <row r="176" spans="1:9" ht="15.75" customHeight="1">
      <c r="A176" s="65" t="s">
        <v>365</v>
      </c>
      <c r="B176" s="65" t="s">
        <v>365</v>
      </c>
      <c r="C176" s="66" t="s">
        <v>1081</v>
      </c>
      <c r="D176" s="67" t="s">
        <v>1136</v>
      </c>
      <c r="E176" s="66" t="s">
        <v>1137</v>
      </c>
      <c r="F176" s="66"/>
      <c r="G176" s="66"/>
      <c r="H176" s="67" t="s">
        <v>1138</v>
      </c>
      <c r="I176" s="53" t="s">
        <v>1139</v>
      </c>
    </row>
    <row r="177" spans="1:9" ht="15.75" customHeight="1">
      <c r="A177" s="51" t="s">
        <v>629</v>
      </c>
      <c r="B177" s="51" t="s">
        <v>437</v>
      </c>
      <c r="C177" s="52" t="s">
        <v>1081</v>
      </c>
      <c r="D177" s="52" t="s">
        <v>1140</v>
      </c>
      <c r="E177" s="52" t="s">
        <v>1141</v>
      </c>
      <c r="F177" s="52"/>
      <c r="G177" s="52"/>
      <c r="H177" s="52" t="s">
        <v>1142</v>
      </c>
      <c r="I177" s="53" t="s">
        <v>1143</v>
      </c>
    </row>
    <row r="178" spans="1:9" ht="15.75" customHeight="1">
      <c r="A178" s="72" t="s">
        <v>629</v>
      </c>
      <c r="B178" s="72" t="s">
        <v>709</v>
      </c>
      <c r="C178" s="73" t="s">
        <v>1081</v>
      </c>
      <c r="D178" s="73" t="s">
        <v>1144</v>
      </c>
      <c r="E178" s="73" t="s">
        <v>1145</v>
      </c>
      <c r="F178" s="60" t="s">
        <v>1146</v>
      </c>
      <c r="G178" s="60"/>
      <c r="H178" s="60" t="s">
        <v>726</v>
      </c>
      <c r="I178" s="61" t="s">
        <v>727</v>
      </c>
    </row>
    <row r="179" spans="1:9" ht="15.75" customHeight="1">
      <c r="A179" s="48" t="s">
        <v>453</v>
      </c>
      <c r="B179" s="48" t="s">
        <v>453</v>
      </c>
      <c r="C179" s="49" t="s">
        <v>1081</v>
      </c>
      <c r="D179" s="49" t="s">
        <v>1147</v>
      </c>
      <c r="E179" s="49" t="s">
        <v>1148</v>
      </c>
      <c r="F179" s="49"/>
      <c r="G179" s="49"/>
      <c r="H179" s="49" t="s">
        <v>1149</v>
      </c>
      <c r="I179" s="50" t="s">
        <v>1150</v>
      </c>
    </row>
    <row r="180" spans="1:9" ht="15.75" customHeight="1">
      <c r="A180" s="48" t="s">
        <v>453</v>
      </c>
      <c r="B180" s="48" t="s">
        <v>453</v>
      </c>
      <c r="C180" s="49" t="s">
        <v>1081</v>
      </c>
      <c r="D180" s="49" t="s">
        <v>1151</v>
      </c>
      <c r="E180" s="49" t="s">
        <v>1152</v>
      </c>
      <c r="F180" s="49"/>
      <c r="G180" s="49"/>
      <c r="H180" s="49" t="s">
        <v>1149</v>
      </c>
      <c r="I180" s="50" t="s">
        <v>1150</v>
      </c>
    </row>
    <row r="181" spans="1:9" ht="15.75" customHeight="1">
      <c r="A181" s="48" t="s">
        <v>453</v>
      </c>
      <c r="B181" s="48" t="s">
        <v>453</v>
      </c>
      <c r="C181" s="49" t="s">
        <v>1081</v>
      </c>
      <c r="D181" s="49" t="s">
        <v>1153</v>
      </c>
      <c r="E181" s="49" t="s">
        <v>1154</v>
      </c>
      <c r="F181" s="49"/>
      <c r="G181" s="49"/>
      <c r="H181" s="49" t="s">
        <v>1155</v>
      </c>
      <c r="I181" s="50" t="s">
        <v>1156</v>
      </c>
    </row>
    <row r="182" spans="1:9" ht="15.75" customHeight="1">
      <c r="A182" s="62" t="s">
        <v>533</v>
      </c>
      <c r="B182" s="48" t="s">
        <v>533</v>
      </c>
      <c r="C182" s="49" t="s">
        <v>1081</v>
      </c>
      <c r="D182" s="63" t="s">
        <v>1157</v>
      </c>
      <c r="E182" s="63" t="s">
        <v>1158</v>
      </c>
      <c r="F182" s="49"/>
      <c r="G182" s="49"/>
      <c r="H182" s="49" t="s">
        <v>1159</v>
      </c>
      <c r="I182" s="50" t="s">
        <v>1160</v>
      </c>
    </row>
    <row r="183" spans="1:9" ht="15.75" customHeight="1">
      <c r="A183" s="62" t="s">
        <v>533</v>
      </c>
      <c r="B183" s="48" t="s">
        <v>533</v>
      </c>
      <c r="C183" s="49" t="s">
        <v>1081</v>
      </c>
      <c r="D183" s="63" t="s">
        <v>1161</v>
      </c>
      <c r="E183" s="63" t="s">
        <v>1162</v>
      </c>
      <c r="F183" s="49"/>
      <c r="G183" s="49"/>
      <c r="H183" s="49" t="s">
        <v>1163</v>
      </c>
      <c r="I183" s="50" t="s">
        <v>1164</v>
      </c>
    </row>
    <row r="184" spans="1:9" ht="15.75" customHeight="1">
      <c r="A184" s="62" t="s">
        <v>533</v>
      </c>
      <c r="B184" s="48" t="s">
        <v>533</v>
      </c>
      <c r="C184" s="49" t="s">
        <v>1081</v>
      </c>
      <c r="D184" s="49" t="s">
        <v>1165</v>
      </c>
      <c r="E184" s="63" t="s">
        <v>1166</v>
      </c>
      <c r="F184" s="49"/>
      <c r="G184" s="49"/>
      <c r="H184" s="49" t="s">
        <v>1167</v>
      </c>
      <c r="I184" s="50" t="s">
        <v>1168</v>
      </c>
    </row>
    <row r="185" spans="1:9" ht="15.75" customHeight="1">
      <c r="A185" s="62" t="s">
        <v>533</v>
      </c>
      <c r="B185" s="48" t="s">
        <v>533</v>
      </c>
      <c r="C185" s="49" t="s">
        <v>1081</v>
      </c>
      <c r="D185" s="63" t="s">
        <v>1169</v>
      </c>
      <c r="E185" s="49" t="s">
        <v>1170</v>
      </c>
      <c r="F185" s="49"/>
      <c r="G185" s="49"/>
      <c r="H185" s="49" t="s">
        <v>1171</v>
      </c>
      <c r="I185" s="50" t="s">
        <v>1172</v>
      </c>
    </row>
    <row r="186" spans="1:9" ht="15.75" customHeight="1">
      <c r="A186" s="62" t="s">
        <v>533</v>
      </c>
      <c r="B186" s="48" t="s">
        <v>533</v>
      </c>
      <c r="C186" s="49" t="s">
        <v>1081</v>
      </c>
      <c r="D186" s="63" t="s">
        <v>1173</v>
      </c>
      <c r="E186" s="63" t="s">
        <v>1174</v>
      </c>
      <c r="F186" s="49"/>
      <c r="G186" s="49"/>
      <c r="H186" s="49" t="s">
        <v>1175</v>
      </c>
      <c r="I186" s="50" t="s">
        <v>1176</v>
      </c>
    </row>
    <row r="187" spans="1:9" ht="15.75" customHeight="1">
      <c r="A187" s="62" t="s">
        <v>533</v>
      </c>
      <c r="B187" s="48" t="s">
        <v>533</v>
      </c>
      <c r="C187" s="49" t="s">
        <v>1081</v>
      </c>
      <c r="D187" s="63" t="s">
        <v>1177</v>
      </c>
      <c r="E187" s="49" t="s">
        <v>1178</v>
      </c>
      <c r="F187" s="49"/>
      <c r="G187" s="49"/>
      <c r="H187" s="49" t="s">
        <v>1179</v>
      </c>
      <c r="I187" s="50" t="s">
        <v>1180</v>
      </c>
    </row>
    <row r="188" spans="1:9" ht="15.75" customHeight="1">
      <c r="A188" s="62" t="s">
        <v>533</v>
      </c>
      <c r="B188" s="48" t="s">
        <v>533</v>
      </c>
      <c r="C188" s="49" t="s">
        <v>1081</v>
      </c>
      <c r="D188" s="63" t="s">
        <v>1181</v>
      </c>
      <c r="E188" s="49" t="s">
        <v>1182</v>
      </c>
      <c r="F188" s="49"/>
      <c r="G188" s="49"/>
      <c r="H188" s="49" t="s">
        <v>1183</v>
      </c>
      <c r="I188" s="50" t="s">
        <v>1184</v>
      </c>
    </row>
    <row r="189" spans="1:9" ht="15.75" customHeight="1">
      <c r="A189" s="62" t="s">
        <v>533</v>
      </c>
      <c r="B189" s="48" t="s">
        <v>533</v>
      </c>
      <c r="C189" s="49" t="s">
        <v>1081</v>
      </c>
      <c r="D189" s="63" t="s">
        <v>1181</v>
      </c>
      <c r="E189" s="63" t="s">
        <v>1185</v>
      </c>
      <c r="F189" s="49"/>
      <c r="G189" s="49"/>
      <c r="H189" s="49" t="s">
        <v>1186</v>
      </c>
      <c r="I189" s="50" t="s">
        <v>1187</v>
      </c>
    </row>
    <row r="190" spans="1:9" ht="15.75" customHeight="1">
      <c r="A190" s="62" t="s">
        <v>533</v>
      </c>
      <c r="B190" s="48" t="s">
        <v>533</v>
      </c>
      <c r="C190" s="49" t="s">
        <v>1081</v>
      </c>
      <c r="D190" s="49" t="s">
        <v>1188</v>
      </c>
      <c r="E190" s="49" t="s">
        <v>1189</v>
      </c>
      <c r="F190" s="49"/>
      <c r="G190" s="49"/>
      <c r="H190" s="49" t="s">
        <v>1190</v>
      </c>
      <c r="I190" s="50" t="s">
        <v>1191</v>
      </c>
    </row>
    <row r="191" spans="1:9" ht="18.75" customHeight="1">
      <c r="A191" s="62" t="s">
        <v>533</v>
      </c>
      <c r="B191" s="48" t="s">
        <v>533</v>
      </c>
      <c r="C191" s="49" t="s">
        <v>1081</v>
      </c>
      <c r="D191" s="49" t="s">
        <v>1192</v>
      </c>
      <c r="E191" s="49" t="s">
        <v>1193</v>
      </c>
      <c r="F191" s="49"/>
      <c r="G191" s="49"/>
      <c r="H191" s="49" t="s">
        <v>1190</v>
      </c>
      <c r="I191" s="50" t="s">
        <v>1191</v>
      </c>
    </row>
    <row r="192" spans="1:9" ht="18.75" customHeight="1">
      <c r="A192" s="62" t="s">
        <v>533</v>
      </c>
      <c r="B192" s="48" t="s">
        <v>533</v>
      </c>
      <c r="C192" s="49" t="s">
        <v>1081</v>
      </c>
      <c r="D192" s="49" t="s">
        <v>1194</v>
      </c>
      <c r="E192" s="49" t="s">
        <v>1195</v>
      </c>
      <c r="F192" s="49"/>
      <c r="G192" s="49"/>
      <c r="H192" s="49" t="s">
        <v>1190</v>
      </c>
      <c r="I192" s="50" t="s">
        <v>1191</v>
      </c>
    </row>
    <row r="193" spans="1:9" ht="18.75" customHeight="1">
      <c r="A193" s="62" t="s">
        <v>533</v>
      </c>
      <c r="B193" s="48" t="s">
        <v>533</v>
      </c>
      <c r="C193" s="49" t="s">
        <v>1081</v>
      </c>
      <c r="D193" s="49" t="s">
        <v>1196</v>
      </c>
      <c r="E193" s="49" t="s">
        <v>1197</v>
      </c>
      <c r="F193" s="49"/>
      <c r="G193" s="49"/>
      <c r="H193" s="49" t="s">
        <v>1198</v>
      </c>
      <c r="I193" s="50" t="s">
        <v>1199</v>
      </c>
    </row>
    <row r="194" spans="1:9" ht="15.75" customHeight="1">
      <c r="A194" s="62" t="s">
        <v>533</v>
      </c>
      <c r="B194" s="48" t="s">
        <v>533</v>
      </c>
      <c r="C194" s="49" t="s">
        <v>1081</v>
      </c>
      <c r="D194" s="63" t="s">
        <v>1200</v>
      </c>
      <c r="E194" s="63" t="s">
        <v>1201</v>
      </c>
      <c r="F194" s="49"/>
      <c r="G194" s="49"/>
      <c r="H194" s="49" t="s">
        <v>1202</v>
      </c>
      <c r="I194" s="50" t="s">
        <v>1203</v>
      </c>
    </row>
    <row r="195" spans="1:9" ht="15.75" customHeight="1">
      <c r="A195" s="62" t="s">
        <v>533</v>
      </c>
      <c r="B195" s="48" t="s">
        <v>533</v>
      </c>
      <c r="C195" s="49" t="s">
        <v>1081</v>
      </c>
      <c r="D195" s="49" t="s">
        <v>1204</v>
      </c>
      <c r="E195" s="49" t="s">
        <v>1205</v>
      </c>
      <c r="F195" s="49"/>
      <c r="G195" s="49"/>
      <c r="H195" s="49" t="s">
        <v>1206</v>
      </c>
      <c r="I195" s="50" t="s">
        <v>1207</v>
      </c>
    </row>
    <row r="196" spans="1:9" ht="18.75" customHeight="1">
      <c r="A196" s="62" t="s">
        <v>533</v>
      </c>
      <c r="B196" s="48" t="s">
        <v>533</v>
      </c>
      <c r="C196" s="49" t="s">
        <v>1081</v>
      </c>
      <c r="D196" s="63" t="s">
        <v>1208</v>
      </c>
      <c r="E196" s="63" t="s">
        <v>1209</v>
      </c>
      <c r="F196" s="49"/>
      <c r="G196" s="49"/>
      <c r="H196" s="49" t="s">
        <v>1210</v>
      </c>
      <c r="I196" s="50" t="s">
        <v>1211</v>
      </c>
    </row>
    <row r="197" spans="1:9" ht="18.75" customHeight="1">
      <c r="A197" s="48" t="s">
        <v>163</v>
      </c>
      <c r="B197" s="48" t="s">
        <v>163</v>
      </c>
      <c r="C197" s="63" t="s">
        <v>1212</v>
      </c>
      <c r="D197" s="49" t="s">
        <v>1213</v>
      </c>
      <c r="E197" s="49" t="s">
        <v>1214</v>
      </c>
      <c r="F197" s="49" t="s">
        <v>1215</v>
      </c>
      <c r="G197" s="49"/>
      <c r="H197" s="49" t="s">
        <v>1216</v>
      </c>
      <c r="I197" s="50" t="s">
        <v>1217</v>
      </c>
    </row>
    <row r="198" spans="1:9" ht="15.75" customHeight="1">
      <c r="A198" s="48" t="s">
        <v>163</v>
      </c>
      <c r="B198" s="48" t="s">
        <v>163</v>
      </c>
      <c r="C198" s="63" t="s">
        <v>1212</v>
      </c>
      <c r="D198" s="49" t="s">
        <v>1218</v>
      </c>
      <c r="E198" s="49" t="s">
        <v>1219</v>
      </c>
      <c r="F198" s="49" t="s">
        <v>1220</v>
      </c>
      <c r="G198" s="49"/>
      <c r="H198" s="49" t="s">
        <v>165</v>
      </c>
      <c r="I198" s="50" t="s">
        <v>166</v>
      </c>
    </row>
    <row r="199" spans="1:9" ht="15.75" customHeight="1">
      <c r="A199" s="48" t="s">
        <v>163</v>
      </c>
      <c r="B199" s="48" t="s">
        <v>163</v>
      </c>
      <c r="C199" s="63" t="s">
        <v>1212</v>
      </c>
      <c r="D199" s="49" t="s">
        <v>1221</v>
      </c>
      <c r="E199" s="49" t="s">
        <v>1222</v>
      </c>
      <c r="F199" s="49" t="s">
        <v>1223</v>
      </c>
      <c r="G199" s="49"/>
      <c r="H199" s="49" t="s">
        <v>165</v>
      </c>
      <c r="I199" s="50" t="s">
        <v>166</v>
      </c>
    </row>
    <row r="200" spans="1:9" ht="15.75" customHeight="1">
      <c r="A200" s="48" t="s">
        <v>163</v>
      </c>
      <c r="B200" s="48" t="s">
        <v>163</v>
      </c>
      <c r="C200" s="63" t="s">
        <v>1212</v>
      </c>
      <c r="D200" s="49" t="s">
        <v>1224</v>
      </c>
      <c r="E200" s="49" t="s">
        <v>1225</v>
      </c>
      <c r="F200" s="49"/>
      <c r="G200" s="49"/>
      <c r="H200" s="49" t="s">
        <v>165</v>
      </c>
      <c r="I200" s="50" t="s">
        <v>166</v>
      </c>
    </row>
    <row r="201" spans="1:9" ht="15.75" customHeight="1">
      <c r="A201" s="48" t="s">
        <v>163</v>
      </c>
      <c r="B201" s="48" t="s">
        <v>163</v>
      </c>
      <c r="C201" s="63" t="s">
        <v>1212</v>
      </c>
      <c r="D201" s="49" t="s">
        <v>1226</v>
      </c>
      <c r="E201" s="49" t="s">
        <v>1227</v>
      </c>
      <c r="F201" s="49"/>
      <c r="G201" s="49"/>
      <c r="H201" s="49" t="s">
        <v>165</v>
      </c>
      <c r="I201" s="50" t="s">
        <v>166</v>
      </c>
    </row>
    <row r="202" spans="1:9" ht="15.75" customHeight="1">
      <c r="A202" s="48" t="s">
        <v>180</v>
      </c>
      <c r="B202" s="48" t="s">
        <v>180</v>
      </c>
      <c r="C202" s="63" t="s">
        <v>1212</v>
      </c>
      <c r="D202" s="49" t="s">
        <v>1228</v>
      </c>
      <c r="E202" s="74" t="s">
        <v>1229</v>
      </c>
      <c r="F202" s="49" t="s">
        <v>1230</v>
      </c>
      <c r="G202" s="49"/>
      <c r="H202" s="49" t="s">
        <v>1231</v>
      </c>
      <c r="I202" s="50" t="s">
        <v>1232</v>
      </c>
    </row>
    <row r="203" spans="1:9" ht="15.75" customHeight="1">
      <c r="A203" s="48" t="s">
        <v>180</v>
      </c>
      <c r="B203" s="48" t="s">
        <v>180</v>
      </c>
      <c r="C203" s="63" t="s">
        <v>1212</v>
      </c>
      <c r="D203" s="49" t="s">
        <v>1233</v>
      </c>
      <c r="E203" s="74" t="s">
        <v>1234</v>
      </c>
      <c r="F203" s="49" t="s">
        <v>1235</v>
      </c>
      <c r="G203" s="49"/>
      <c r="H203" s="49" t="s">
        <v>1231</v>
      </c>
      <c r="I203" s="50" t="s">
        <v>1232</v>
      </c>
    </row>
    <row r="204" spans="1:9" ht="18.75" customHeight="1">
      <c r="A204" s="48" t="s">
        <v>180</v>
      </c>
      <c r="B204" s="48" t="s">
        <v>180</v>
      </c>
      <c r="C204" s="63" t="s">
        <v>1212</v>
      </c>
      <c r="D204" s="49" t="s">
        <v>1236</v>
      </c>
      <c r="E204" s="74" t="s">
        <v>1237</v>
      </c>
      <c r="F204" s="49" t="s">
        <v>1238</v>
      </c>
      <c r="G204" s="49" t="s">
        <v>1239</v>
      </c>
      <c r="H204" s="49" t="s">
        <v>1231</v>
      </c>
      <c r="I204" s="50" t="s">
        <v>1232</v>
      </c>
    </row>
    <row r="205" spans="1:9" ht="15.75" customHeight="1">
      <c r="A205" s="48" t="s">
        <v>180</v>
      </c>
      <c r="B205" s="48" t="s">
        <v>180</v>
      </c>
      <c r="C205" s="63" t="s">
        <v>1212</v>
      </c>
      <c r="D205" s="49" t="s">
        <v>1240</v>
      </c>
      <c r="E205" s="74" t="s">
        <v>1241</v>
      </c>
      <c r="F205" s="49" t="s">
        <v>1242</v>
      </c>
      <c r="G205" s="49"/>
      <c r="H205" s="49" t="s">
        <v>1231</v>
      </c>
      <c r="I205" s="50" t="s">
        <v>1232</v>
      </c>
    </row>
    <row r="206" spans="1:9" ht="15.75" customHeight="1">
      <c r="A206" s="48" t="s">
        <v>180</v>
      </c>
      <c r="B206" s="48" t="s">
        <v>180</v>
      </c>
      <c r="C206" s="63" t="s">
        <v>1212</v>
      </c>
      <c r="D206" s="49" t="s">
        <v>1243</v>
      </c>
      <c r="E206" s="74" t="s">
        <v>1244</v>
      </c>
      <c r="F206" s="49" t="s">
        <v>1245</v>
      </c>
      <c r="G206" s="49"/>
      <c r="H206" s="49" t="s">
        <v>1231</v>
      </c>
      <c r="I206" s="50" t="s">
        <v>1232</v>
      </c>
    </row>
    <row r="207" spans="1:9" ht="15.75" customHeight="1">
      <c r="A207" s="48" t="s">
        <v>180</v>
      </c>
      <c r="B207" s="48" t="s">
        <v>180</v>
      </c>
      <c r="C207" s="63" t="s">
        <v>1212</v>
      </c>
      <c r="D207" s="49" t="s">
        <v>1246</v>
      </c>
      <c r="E207" s="74" t="s">
        <v>1229</v>
      </c>
      <c r="F207" s="49" t="s">
        <v>1247</v>
      </c>
      <c r="G207" s="49"/>
      <c r="H207" s="49" t="s">
        <v>1231</v>
      </c>
      <c r="I207" s="50" t="s">
        <v>1232</v>
      </c>
    </row>
    <row r="208" spans="1:9" ht="18.75" customHeight="1">
      <c r="A208" s="48" t="s">
        <v>180</v>
      </c>
      <c r="B208" s="48" t="s">
        <v>180</v>
      </c>
      <c r="C208" s="63" t="s">
        <v>1212</v>
      </c>
      <c r="D208" s="49" t="s">
        <v>1248</v>
      </c>
      <c r="E208" s="75" t="s">
        <v>1249</v>
      </c>
      <c r="F208" s="49" t="s">
        <v>1250</v>
      </c>
      <c r="G208" s="49" t="s">
        <v>1251</v>
      </c>
      <c r="H208" s="49" t="s">
        <v>1231</v>
      </c>
      <c r="I208" s="50" t="s">
        <v>1232</v>
      </c>
    </row>
    <row r="209" spans="1:9" ht="18.75" customHeight="1">
      <c r="A209" s="48" t="s">
        <v>180</v>
      </c>
      <c r="B209" s="48" t="s">
        <v>180</v>
      </c>
      <c r="C209" s="63" t="s">
        <v>1212</v>
      </c>
      <c r="D209" s="49" t="s">
        <v>1252</v>
      </c>
      <c r="E209" s="74" t="s">
        <v>1253</v>
      </c>
      <c r="F209" s="49" t="s">
        <v>1254</v>
      </c>
      <c r="G209" s="49" t="s">
        <v>1255</v>
      </c>
      <c r="H209" s="49" t="s">
        <v>1231</v>
      </c>
      <c r="I209" s="50" t="s">
        <v>1232</v>
      </c>
    </row>
    <row r="210" spans="1:9" ht="18.75" customHeight="1">
      <c r="A210" s="48" t="s">
        <v>180</v>
      </c>
      <c r="B210" s="48" t="s">
        <v>180</v>
      </c>
      <c r="C210" s="63" t="s">
        <v>1212</v>
      </c>
      <c r="D210" s="49" t="s">
        <v>1256</v>
      </c>
      <c r="E210" s="74" t="s">
        <v>1257</v>
      </c>
      <c r="F210" s="49" t="s">
        <v>1258</v>
      </c>
      <c r="G210" s="49"/>
      <c r="H210" s="49" t="s">
        <v>1231</v>
      </c>
      <c r="I210" s="50" t="s">
        <v>1232</v>
      </c>
    </row>
    <row r="211" spans="1:9" ht="18.75" customHeight="1">
      <c r="A211" s="51" t="s">
        <v>180</v>
      </c>
      <c r="B211" s="65" t="s">
        <v>180</v>
      </c>
      <c r="C211" s="66" t="s">
        <v>1212</v>
      </c>
      <c r="D211" s="66"/>
      <c r="E211" s="67" t="s">
        <v>1259</v>
      </c>
      <c r="F211" s="66"/>
      <c r="G211" s="66"/>
      <c r="H211" s="67" t="s">
        <v>1107</v>
      </c>
      <c r="I211" s="53" t="s">
        <v>1108</v>
      </c>
    </row>
    <row r="212" spans="1:9" ht="18.75" customHeight="1">
      <c r="A212" s="48" t="s">
        <v>192</v>
      </c>
      <c r="B212" s="48" t="s">
        <v>192</v>
      </c>
      <c r="C212" s="63" t="s">
        <v>1212</v>
      </c>
      <c r="D212" s="49" t="s">
        <v>1260</v>
      </c>
      <c r="E212" s="49" t="s">
        <v>1261</v>
      </c>
      <c r="F212" s="76" t="s">
        <v>1262</v>
      </c>
      <c r="G212" s="49" t="s">
        <v>1263</v>
      </c>
      <c r="H212" s="49" t="s">
        <v>846</v>
      </c>
      <c r="I212" s="50" t="s">
        <v>1264</v>
      </c>
    </row>
    <row r="213" spans="1:9" ht="18.75" customHeight="1">
      <c r="A213" s="48" t="s">
        <v>192</v>
      </c>
      <c r="B213" s="48" t="s">
        <v>192</v>
      </c>
      <c r="C213" s="63" t="s">
        <v>1212</v>
      </c>
      <c r="D213" s="49" t="s">
        <v>1265</v>
      </c>
      <c r="E213" s="49" t="s">
        <v>1266</v>
      </c>
      <c r="F213" s="49" t="s">
        <v>1266</v>
      </c>
      <c r="G213" s="63" t="s">
        <v>1267</v>
      </c>
      <c r="H213" s="49" t="s">
        <v>846</v>
      </c>
      <c r="I213" s="50" t="s">
        <v>1264</v>
      </c>
    </row>
    <row r="214" spans="1:9" ht="18.75" customHeight="1">
      <c r="A214" s="48" t="s">
        <v>192</v>
      </c>
      <c r="B214" s="48" t="s">
        <v>192</v>
      </c>
      <c r="C214" s="63" t="s">
        <v>1212</v>
      </c>
      <c r="D214" s="49" t="s">
        <v>1265</v>
      </c>
      <c r="E214" s="49" t="s">
        <v>1266</v>
      </c>
      <c r="F214" s="49"/>
      <c r="G214" s="63"/>
      <c r="H214" s="49" t="s">
        <v>194</v>
      </c>
      <c r="I214" s="50" t="s">
        <v>651</v>
      </c>
    </row>
    <row r="215" spans="1:9" ht="18.75" customHeight="1">
      <c r="A215" s="48" t="s">
        <v>192</v>
      </c>
      <c r="B215" s="48" t="s">
        <v>192</v>
      </c>
      <c r="C215" s="63" t="s">
        <v>1212</v>
      </c>
      <c r="D215" s="49" t="s">
        <v>1268</v>
      </c>
      <c r="E215" s="49" t="s">
        <v>1269</v>
      </c>
      <c r="F215" s="49" t="s">
        <v>1270</v>
      </c>
      <c r="G215" s="63" t="s">
        <v>1271</v>
      </c>
      <c r="H215" s="49" t="s">
        <v>846</v>
      </c>
      <c r="I215" s="50" t="s">
        <v>1264</v>
      </c>
    </row>
    <row r="216" spans="1:9" ht="15.75" customHeight="1">
      <c r="A216" s="48" t="s">
        <v>192</v>
      </c>
      <c r="B216" s="48" t="s">
        <v>192</v>
      </c>
      <c r="C216" s="63" t="s">
        <v>1212</v>
      </c>
      <c r="D216" s="49" t="s">
        <v>1268</v>
      </c>
      <c r="E216" s="49" t="s">
        <v>1269</v>
      </c>
      <c r="F216" s="49"/>
      <c r="G216" s="63"/>
      <c r="H216" s="49" t="s">
        <v>194</v>
      </c>
      <c r="I216" s="50" t="s">
        <v>651</v>
      </c>
    </row>
    <row r="217" spans="1:9" ht="18.75" customHeight="1">
      <c r="A217" s="48" t="s">
        <v>192</v>
      </c>
      <c r="B217" s="48" t="s">
        <v>192</v>
      </c>
      <c r="C217" s="63" t="s">
        <v>1212</v>
      </c>
      <c r="D217" s="49" t="s">
        <v>1272</v>
      </c>
      <c r="E217" s="49"/>
      <c r="F217" s="49" t="s">
        <v>1273</v>
      </c>
      <c r="G217" s="49" t="s">
        <v>1274</v>
      </c>
      <c r="H217" s="49" t="s">
        <v>846</v>
      </c>
      <c r="I217" s="50" t="s">
        <v>1264</v>
      </c>
    </row>
    <row r="218" spans="1:9" ht="18.75" customHeight="1">
      <c r="A218" s="48" t="s">
        <v>192</v>
      </c>
      <c r="B218" s="48" t="s">
        <v>192</v>
      </c>
      <c r="C218" s="63" t="s">
        <v>1212</v>
      </c>
      <c r="D218" s="49" t="s">
        <v>1272</v>
      </c>
      <c r="E218" s="49"/>
      <c r="F218" s="49"/>
      <c r="G218" s="49"/>
      <c r="H218" s="49" t="s">
        <v>194</v>
      </c>
      <c r="I218" s="50" t="s">
        <v>651</v>
      </c>
    </row>
    <row r="219" spans="1:9" ht="18.75" customHeight="1">
      <c r="A219" s="48" t="s">
        <v>192</v>
      </c>
      <c r="B219" s="48" t="s">
        <v>192</v>
      </c>
      <c r="C219" s="63" t="s">
        <v>1212</v>
      </c>
      <c r="D219" s="49" t="s">
        <v>1275</v>
      </c>
      <c r="E219" s="49" t="s">
        <v>1276</v>
      </c>
      <c r="F219" s="49" t="s">
        <v>1277</v>
      </c>
      <c r="G219" s="49" t="s">
        <v>1278</v>
      </c>
      <c r="H219" s="49" t="s">
        <v>846</v>
      </c>
      <c r="I219" s="50" t="s">
        <v>1264</v>
      </c>
    </row>
    <row r="220" spans="1:9" ht="18.75" customHeight="1">
      <c r="A220" s="48" t="s">
        <v>192</v>
      </c>
      <c r="B220" s="48" t="s">
        <v>192</v>
      </c>
      <c r="C220" s="63" t="s">
        <v>1212</v>
      </c>
      <c r="D220" s="49" t="s">
        <v>1275</v>
      </c>
      <c r="E220" s="49" t="s">
        <v>1276</v>
      </c>
      <c r="F220" s="49"/>
      <c r="G220" s="49"/>
      <c r="H220" s="49" t="s">
        <v>194</v>
      </c>
      <c r="I220" s="50" t="s">
        <v>651</v>
      </c>
    </row>
    <row r="221" spans="1:9" ht="18.75" customHeight="1">
      <c r="A221" s="48" t="s">
        <v>192</v>
      </c>
      <c r="B221" s="48" t="s">
        <v>192</v>
      </c>
      <c r="C221" s="63" t="s">
        <v>1212</v>
      </c>
      <c r="D221" s="49" t="s">
        <v>1279</v>
      </c>
      <c r="E221" s="49"/>
      <c r="F221" s="49" t="s">
        <v>1280</v>
      </c>
      <c r="G221" s="49" t="s">
        <v>1281</v>
      </c>
      <c r="H221" s="49" t="s">
        <v>846</v>
      </c>
      <c r="I221" s="50" t="s">
        <v>1264</v>
      </c>
    </row>
    <row r="222" spans="1:9" ht="18.75" customHeight="1">
      <c r="A222" s="48" t="s">
        <v>192</v>
      </c>
      <c r="B222" s="48" t="s">
        <v>192</v>
      </c>
      <c r="C222" s="63" t="s">
        <v>1212</v>
      </c>
      <c r="D222" s="49" t="s">
        <v>1279</v>
      </c>
      <c r="E222" s="49"/>
      <c r="F222" s="49"/>
      <c r="G222" s="49"/>
      <c r="H222" s="49" t="s">
        <v>194</v>
      </c>
      <c r="I222" s="50" t="s">
        <v>651</v>
      </c>
    </row>
    <row r="223" spans="1:9" ht="18.75" customHeight="1">
      <c r="A223" s="48" t="s">
        <v>192</v>
      </c>
      <c r="B223" s="48" t="s">
        <v>192</v>
      </c>
      <c r="C223" s="63" t="s">
        <v>1212</v>
      </c>
      <c r="D223" s="49" t="s">
        <v>1282</v>
      </c>
      <c r="E223" s="49"/>
      <c r="F223" s="49" t="s">
        <v>1283</v>
      </c>
      <c r="G223" s="49"/>
      <c r="H223" s="49" t="s">
        <v>846</v>
      </c>
      <c r="I223" s="50" t="s">
        <v>1264</v>
      </c>
    </row>
    <row r="224" spans="1:9" ht="18.75" customHeight="1">
      <c r="A224" s="48" t="s">
        <v>192</v>
      </c>
      <c r="B224" s="48" t="s">
        <v>192</v>
      </c>
      <c r="C224" s="63" t="s">
        <v>1212</v>
      </c>
      <c r="D224" s="49" t="s">
        <v>1282</v>
      </c>
      <c r="E224" s="49"/>
      <c r="F224" s="49"/>
      <c r="G224" s="49"/>
      <c r="H224" s="49" t="s">
        <v>194</v>
      </c>
      <c r="I224" s="50" t="s">
        <v>651</v>
      </c>
    </row>
    <row r="225" spans="1:9" ht="18.75" customHeight="1">
      <c r="A225" s="48" t="s">
        <v>192</v>
      </c>
      <c r="B225" s="48" t="s">
        <v>192</v>
      </c>
      <c r="C225" s="63" t="s">
        <v>1212</v>
      </c>
      <c r="D225" s="49" t="s">
        <v>1284</v>
      </c>
      <c r="E225" s="49" t="s">
        <v>1285</v>
      </c>
      <c r="F225" s="49" t="s">
        <v>1286</v>
      </c>
      <c r="G225" s="49"/>
      <c r="H225" s="49" t="s">
        <v>1287</v>
      </c>
      <c r="I225" s="50" t="s">
        <v>1288</v>
      </c>
    </row>
    <row r="226" spans="1:9" ht="18.75" customHeight="1">
      <c r="A226" s="48" t="s">
        <v>192</v>
      </c>
      <c r="B226" s="48" t="s">
        <v>192</v>
      </c>
      <c r="C226" s="63" t="s">
        <v>1212</v>
      </c>
      <c r="D226" s="49" t="s">
        <v>1289</v>
      </c>
      <c r="E226" s="49"/>
      <c r="F226" s="49"/>
      <c r="G226" s="49"/>
      <c r="H226" s="49" t="s">
        <v>1287</v>
      </c>
      <c r="I226" s="50" t="s">
        <v>1288</v>
      </c>
    </row>
    <row r="227" spans="1:9" ht="18.75" customHeight="1">
      <c r="A227" s="48" t="s">
        <v>192</v>
      </c>
      <c r="B227" s="48" t="s">
        <v>192</v>
      </c>
      <c r="C227" s="63" t="s">
        <v>1212</v>
      </c>
      <c r="D227" s="49" t="s">
        <v>1290</v>
      </c>
      <c r="E227" s="49" t="s">
        <v>1276</v>
      </c>
      <c r="F227" s="49" t="s">
        <v>1291</v>
      </c>
      <c r="G227" s="49" t="s">
        <v>1292</v>
      </c>
      <c r="H227" s="49" t="s">
        <v>1293</v>
      </c>
      <c r="I227" s="50" t="s">
        <v>1294</v>
      </c>
    </row>
    <row r="228" spans="1:9" ht="15.75" customHeight="1">
      <c r="A228" s="48" t="s">
        <v>192</v>
      </c>
      <c r="B228" s="48" t="s">
        <v>192</v>
      </c>
      <c r="C228" s="63" t="s">
        <v>1212</v>
      </c>
      <c r="D228" s="49" t="s">
        <v>1290</v>
      </c>
      <c r="E228" s="49" t="s">
        <v>1276</v>
      </c>
      <c r="F228" s="49"/>
      <c r="G228" s="49"/>
      <c r="H228" s="49" t="s">
        <v>1287</v>
      </c>
      <c r="I228" s="50" t="s">
        <v>1288</v>
      </c>
    </row>
    <row r="229" spans="1:9" ht="18.75" customHeight="1">
      <c r="A229" s="48" t="s">
        <v>192</v>
      </c>
      <c r="B229" s="48" t="s">
        <v>192</v>
      </c>
      <c r="C229" s="63" t="s">
        <v>1212</v>
      </c>
      <c r="D229" s="49" t="s">
        <v>1295</v>
      </c>
      <c r="E229" s="49"/>
      <c r="F229" s="49" t="s">
        <v>1296</v>
      </c>
      <c r="G229" s="49"/>
      <c r="H229" s="49" t="s">
        <v>1287</v>
      </c>
      <c r="I229" s="50" t="s">
        <v>1288</v>
      </c>
    </row>
    <row r="230" spans="1:9" ht="18.75" customHeight="1">
      <c r="A230" s="48" t="s">
        <v>192</v>
      </c>
      <c r="B230" s="48" t="s">
        <v>192</v>
      </c>
      <c r="C230" s="63" t="s">
        <v>1212</v>
      </c>
      <c r="D230" s="49" t="s">
        <v>1297</v>
      </c>
      <c r="E230" s="49" t="s">
        <v>1298</v>
      </c>
      <c r="F230" s="49" t="s">
        <v>1299</v>
      </c>
      <c r="G230" s="49" t="s">
        <v>1300</v>
      </c>
      <c r="H230" s="49" t="s">
        <v>660</v>
      </c>
      <c r="I230" s="50" t="s">
        <v>661</v>
      </c>
    </row>
    <row r="231" spans="1:9" ht="15.75" customHeight="1">
      <c r="A231" s="48" t="s">
        <v>192</v>
      </c>
      <c r="B231" s="48" t="s">
        <v>192</v>
      </c>
      <c r="C231" s="63" t="s">
        <v>1212</v>
      </c>
      <c r="D231" s="49" t="s">
        <v>1301</v>
      </c>
      <c r="E231" s="49" t="s">
        <v>1302</v>
      </c>
      <c r="F231" s="49" t="s">
        <v>1303</v>
      </c>
      <c r="G231" s="49" t="s">
        <v>1304</v>
      </c>
      <c r="H231" s="49" t="s">
        <v>1293</v>
      </c>
      <c r="I231" s="50" t="s">
        <v>1294</v>
      </c>
    </row>
    <row r="232" spans="1:9" ht="15.75" customHeight="1">
      <c r="A232" s="48" t="s">
        <v>192</v>
      </c>
      <c r="B232" s="48" t="s">
        <v>192</v>
      </c>
      <c r="C232" s="63" t="s">
        <v>1212</v>
      </c>
      <c r="D232" s="49" t="s">
        <v>1305</v>
      </c>
      <c r="E232" s="49" t="s">
        <v>1306</v>
      </c>
      <c r="F232" s="49" t="s">
        <v>1307</v>
      </c>
      <c r="G232" s="49" t="s">
        <v>1308</v>
      </c>
      <c r="H232" s="49" t="s">
        <v>1293</v>
      </c>
      <c r="I232" s="50" t="s">
        <v>1294</v>
      </c>
    </row>
    <row r="233" spans="1:9" ht="15.75" customHeight="1">
      <c r="A233" s="51" t="s">
        <v>672</v>
      </c>
      <c r="B233" s="51" t="s">
        <v>297</v>
      </c>
      <c r="C233" s="52" t="s">
        <v>1212</v>
      </c>
      <c r="D233" s="52" t="s">
        <v>1309</v>
      </c>
      <c r="E233" s="52" t="s">
        <v>1310</v>
      </c>
      <c r="F233" s="52"/>
      <c r="G233" s="52"/>
      <c r="H233" s="52" t="s">
        <v>857</v>
      </c>
      <c r="I233" s="53" t="s">
        <v>858</v>
      </c>
    </row>
    <row r="234" spans="1:9" ht="15.75" customHeight="1">
      <c r="A234" s="51" t="s">
        <v>672</v>
      </c>
      <c r="B234" s="51" t="s">
        <v>875</v>
      </c>
      <c r="C234" s="52" t="s">
        <v>1212</v>
      </c>
      <c r="D234" s="52" t="s">
        <v>1311</v>
      </c>
      <c r="E234" s="52" t="s">
        <v>1312</v>
      </c>
      <c r="F234" s="52" t="s">
        <v>1313</v>
      </c>
      <c r="G234" s="52"/>
      <c r="H234" s="52" t="s">
        <v>307</v>
      </c>
      <c r="I234" s="53" t="s">
        <v>881</v>
      </c>
    </row>
    <row r="235" spans="1:9" ht="15.75" customHeight="1">
      <c r="A235" s="51" t="s">
        <v>672</v>
      </c>
      <c r="B235" s="51" t="s">
        <v>884</v>
      </c>
      <c r="C235" s="52" t="s">
        <v>1212</v>
      </c>
      <c r="D235" s="52" t="s">
        <v>1314</v>
      </c>
      <c r="E235" s="52" t="s">
        <v>1315</v>
      </c>
      <c r="F235" s="52"/>
      <c r="G235" s="52"/>
      <c r="H235" s="52" t="s">
        <v>309</v>
      </c>
      <c r="I235" s="53" t="s">
        <v>310</v>
      </c>
    </row>
    <row r="236" spans="1:9" ht="15.75" customHeight="1">
      <c r="A236" s="51" t="s">
        <v>356</v>
      </c>
      <c r="B236" s="51" t="s">
        <v>356</v>
      </c>
      <c r="C236" s="52" t="s">
        <v>1212</v>
      </c>
      <c r="D236" s="52"/>
      <c r="E236" s="52" t="s">
        <v>1316</v>
      </c>
      <c r="F236" s="52"/>
      <c r="G236" s="52"/>
      <c r="H236" s="52" t="s">
        <v>909</v>
      </c>
      <c r="I236" s="53" t="s">
        <v>910</v>
      </c>
    </row>
    <row r="237" spans="1:9" ht="15.75" customHeight="1">
      <c r="A237" s="51" t="s">
        <v>356</v>
      </c>
      <c r="B237" s="51" t="s">
        <v>356</v>
      </c>
      <c r="C237" s="52" t="s">
        <v>1212</v>
      </c>
      <c r="D237" s="52" t="s">
        <v>1317</v>
      </c>
      <c r="E237" s="52" t="s">
        <v>1318</v>
      </c>
      <c r="F237" s="52"/>
      <c r="G237" s="52"/>
      <c r="H237" s="52" t="s">
        <v>1319</v>
      </c>
      <c r="I237" s="53" t="s">
        <v>1320</v>
      </c>
    </row>
    <row r="238" spans="1:9" ht="15.75" customHeight="1">
      <c r="A238" s="51" t="s">
        <v>356</v>
      </c>
      <c r="B238" s="51" t="s">
        <v>356</v>
      </c>
      <c r="C238" s="52" t="s">
        <v>1212</v>
      </c>
      <c r="D238" s="52"/>
      <c r="E238" s="52" t="s">
        <v>1321</v>
      </c>
      <c r="F238" s="52"/>
      <c r="G238" s="52"/>
      <c r="H238" s="52" t="s">
        <v>1322</v>
      </c>
      <c r="I238" s="53" t="s">
        <v>1323</v>
      </c>
    </row>
    <row r="239" spans="1:9" ht="18.75" customHeight="1">
      <c r="A239" s="51" t="s">
        <v>356</v>
      </c>
      <c r="B239" s="51" t="s">
        <v>356</v>
      </c>
      <c r="C239" s="52" t="s">
        <v>1212</v>
      </c>
      <c r="D239" s="52" t="s">
        <v>1324</v>
      </c>
      <c r="E239" s="52" t="s">
        <v>1325</v>
      </c>
      <c r="F239" s="54" t="s">
        <v>1326</v>
      </c>
      <c r="G239" s="52"/>
      <c r="H239" s="52" t="s">
        <v>1327</v>
      </c>
      <c r="I239" s="53" t="s">
        <v>1328</v>
      </c>
    </row>
    <row r="240" spans="1:9" ht="18.75" customHeight="1">
      <c r="A240" s="51" t="s">
        <v>356</v>
      </c>
      <c r="B240" s="51" t="s">
        <v>356</v>
      </c>
      <c r="C240" s="52" t="s">
        <v>1212</v>
      </c>
      <c r="D240" s="52"/>
      <c r="E240" s="52" t="s">
        <v>1329</v>
      </c>
      <c r="F240" s="52"/>
      <c r="G240" s="52"/>
      <c r="H240" s="52" t="s">
        <v>1330</v>
      </c>
      <c r="I240" s="53" t="s">
        <v>1331</v>
      </c>
    </row>
    <row r="241" spans="1:9" ht="18.75" customHeight="1">
      <c r="A241" s="51" t="s">
        <v>356</v>
      </c>
      <c r="B241" s="51" t="s">
        <v>356</v>
      </c>
      <c r="C241" s="52" t="s">
        <v>1212</v>
      </c>
      <c r="D241" s="52"/>
      <c r="E241" s="52" t="s">
        <v>1332</v>
      </c>
      <c r="F241" s="52"/>
      <c r="G241" s="52"/>
      <c r="H241" s="52" t="s">
        <v>1330</v>
      </c>
      <c r="I241" s="53" t="s">
        <v>1331</v>
      </c>
    </row>
    <row r="242" spans="1:9" ht="18.75" customHeight="1">
      <c r="A242" s="51" t="s">
        <v>356</v>
      </c>
      <c r="B242" s="65" t="s">
        <v>356</v>
      </c>
      <c r="C242" s="66" t="s">
        <v>1212</v>
      </c>
      <c r="D242" s="67"/>
      <c r="E242" s="66" t="s">
        <v>1333</v>
      </c>
      <c r="F242" s="66" t="s">
        <v>1334</v>
      </c>
      <c r="G242" s="66"/>
      <c r="H242" s="67" t="s">
        <v>1114</v>
      </c>
      <c r="I242" s="70" t="s">
        <v>1115</v>
      </c>
    </row>
    <row r="243" spans="1:9" ht="18.75" customHeight="1">
      <c r="A243" s="51" t="s">
        <v>356</v>
      </c>
      <c r="B243" s="65" t="s">
        <v>356</v>
      </c>
      <c r="C243" s="66" t="s">
        <v>1212</v>
      </c>
      <c r="D243" s="66" t="s">
        <v>1335</v>
      </c>
      <c r="E243" s="66" t="s">
        <v>1336</v>
      </c>
      <c r="F243" s="66" t="s">
        <v>1337</v>
      </c>
      <c r="G243" s="66"/>
      <c r="H243" s="67" t="s">
        <v>1338</v>
      </c>
      <c r="I243" s="53" t="s">
        <v>1339</v>
      </c>
    </row>
    <row r="244" spans="1:9" ht="18.75" customHeight="1">
      <c r="A244" s="51" t="s">
        <v>356</v>
      </c>
      <c r="B244" s="65" t="s">
        <v>356</v>
      </c>
      <c r="C244" s="66" t="s">
        <v>1212</v>
      </c>
      <c r="D244" s="67" t="s">
        <v>1340</v>
      </c>
      <c r="E244" s="66" t="s">
        <v>1336</v>
      </c>
      <c r="F244" s="66" t="s">
        <v>1341</v>
      </c>
      <c r="G244" s="66"/>
      <c r="H244" s="67" t="s">
        <v>1338</v>
      </c>
      <c r="I244" s="53" t="s">
        <v>1339</v>
      </c>
    </row>
    <row r="245" spans="1:9" ht="18.75" customHeight="1">
      <c r="A245" s="65" t="s">
        <v>365</v>
      </c>
      <c r="B245" s="65" t="s">
        <v>365</v>
      </c>
      <c r="C245" s="66" t="s">
        <v>1212</v>
      </c>
      <c r="D245" s="67"/>
      <c r="E245" s="66" t="s">
        <v>1342</v>
      </c>
      <c r="F245" s="66"/>
      <c r="G245" s="66"/>
      <c r="H245" s="67" t="s">
        <v>1016</v>
      </c>
      <c r="I245" s="53" t="s">
        <v>1017</v>
      </c>
    </row>
    <row r="246" spans="1:9" ht="18.75" customHeight="1">
      <c r="A246" s="65" t="s">
        <v>365</v>
      </c>
      <c r="B246" s="65" t="s">
        <v>365</v>
      </c>
      <c r="C246" s="66" t="s">
        <v>1212</v>
      </c>
      <c r="D246" s="67" t="s">
        <v>1343</v>
      </c>
      <c r="E246" s="66" t="s">
        <v>1344</v>
      </c>
      <c r="F246" s="66"/>
      <c r="G246" s="66"/>
      <c r="H246" s="67" t="s">
        <v>1345</v>
      </c>
      <c r="I246" s="53" t="s">
        <v>1346</v>
      </c>
    </row>
    <row r="247" spans="1:9" ht="18.75" customHeight="1">
      <c r="A247" s="51" t="s">
        <v>629</v>
      </c>
      <c r="B247" s="51" t="s">
        <v>437</v>
      </c>
      <c r="C247" s="52" t="s">
        <v>1212</v>
      </c>
      <c r="D247" s="52" t="s">
        <v>1347</v>
      </c>
      <c r="E247" s="52" t="s">
        <v>1348</v>
      </c>
      <c r="F247" s="52" t="s">
        <v>1349</v>
      </c>
      <c r="G247" s="52" t="s">
        <v>1350</v>
      </c>
      <c r="H247" s="52" t="s">
        <v>1142</v>
      </c>
      <c r="I247" s="53" t="s">
        <v>1143</v>
      </c>
    </row>
    <row r="248" spans="1:9" ht="18.75" customHeight="1">
      <c r="A248" s="51" t="s">
        <v>629</v>
      </c>
      <c r="B248" s="51" t="s">
        <v>437</v>
      </c>
      <c r="C248" s="52" t="s">
        <v>1212</v>
      </c>
      <c r="D248" s="52" t="s">
        <v>1347</v>
      </c>
      <c r="E248" s="52" t="s">
        <v>1351</v>
      </c>
      <c r="F248" s="52"/>
      <c r="G248" s="52" t="s">
        <v>1352</v>
      </c>
      <c r="H248" s="52" t="s">
        <v>265</v>
      </c>
      <c r="I248" s="53" t="s">
        <v>1353</v>
      </c>
    </row>
    <row r="249" spans="1:9" ht="18.75" customHeight="1">
      <c r="A249" s="51" t="s">
        <v>629</v>
      </c>
      <c r="B249" s="51" t="s">
        <v>437</v>
      </c>
      <c r="C249" s="52" t="s">
        <v>1212</v>
      </c>
      <c r="D249" s="52" t="s">
        <v>1354</v>
      </c>
      <c r="E249" s="54" t="s">
        <v>1355</v>
      </c>
      <c r="F249" s="52" t="s">
        <v>1356</v>
      </c>
      <c r="G249" s="52" t="s">
        <v>1357</v>
      </c>
      <c r="H249" s="52" t="s">
        <v>1142</v>
      </c>
      <c r="I249" s="53" t="s">
        <v>1143</v>
      </c>
    </row>
    <row r="250" spans="1:9" ht="18.75" customHeight="1">
      <c r="A250" s="51" t="s">
        <v>629</v>
      </c>
      <c r="B250" s="51" t="s">
        <v>437</v>
      </c>
      <c r="C250" s="52" t="s">
        <v>1212</v>
      </c>
      <c r="D250" s="52" t="s">
        <v>1358</v>
      </c>
      <c r="E250" s="54" t="s">
        <v>1355</v>
      </c>
      <c r="F250" s="52" t="s">
        <v>1359</v>
      </c>
      <c r="G250" s="52" t="s">
        <v>1360</v>
      </c>
      <c r="H250" s="52" t="s">
        <v>1142</v>
      </c>
      <c r="I250" s="53" t="s">
        <v>1143</v>
      </c>
    </row>
    <row r="251" spans="1:9" ht="18.75" customHeight="1">
      <c r="A251" s="51" t="s">
        <v>629</v>
      </c>
      <c r="B251" s="55" t="s">
        <v>709</v>
      </c>
      <c r="C251" s="56" t="s">
        <v>1212</v>
      </c>
      <c r="D251" s="56" t="s">
        <v>1361</v>
      </c>
      <c r="E251" s="56" t="s">
        <v>1362</v>
      </c>
      <c r="F251" s="56"/>
      <c r="G251" s="56"/>
      <c r="H251" s="56" t="s">
        <v>1363</v>
      </c>
      <c r="I251" s="57" t="s">
        <v>1364</v>
      </c>
    </row>
    <row r="252" spans="1:9" ht="18.75" customHeight="1">
      <c r="A252" s="51" t="s">
        <v>629</v>
      </c>
      <c r="B252" s="55" t="s">
        <v>1030</v>
      </c>
      <c r="C252" s="56" t="s">
        <v>1212</v>
      </c>
      <c r="D252" s="56" t="s">
        <v>1365</v>
      </c>
      <c r="E252" s="56" t="s">
        <v>1366</v>
      </c>
      <c r="F252" s="56"/>
      <c r="G252" s="56"/>
      <c r="H252" s="56" t="s">
        <v>1032</v>
      </c>
      <c r="I252" s="57" t="s">
        <v>1033</v>
      </c>
    </row>
    <row r="253" spans="1:9" ht="18.75" customHeight="1">
      <c r="A253" s="51" t="s">
        <v>629</v>
      </c>
      <c r="B253" s="51" t="s">
        <v>442</v>
      </c>
      <c r="C253" s="52" t="s">
        <v>1212</v>
      </c>
      <c r="D253" s="52" t="s">
        <v>1367</v>
      </c>
      <c r="E253" s="52" t="s">
        <v>1368</v>
      </c>
      <c r="F253" s="52" t="s">
        <v>1369</v>
      </c>
      <c r="G253" s="52"/>
      <c r="H253" s="52" t="s">
        <v>1370</v>
      </c>
      <c r="I253" s="53" t="s">
        <v>1371</v>
      </c>
    </row>
    <row r="254" spans="1:9" ht="18.75" customHeight="1">
      <c r="A254" s="51" t="s">
        <v>629</v>
      </c>
      <c r="B254" s="55" t="s">
        <v>442</v>
      </c>
      <c r="C254" s="56" t="s">
        <v>1212</v>
      </c>
      <c r="D254" s="56" t="s">
        <v>1372</v>
      </c>
      <c r="E254" s="56" t="s">
        <v>1373</v>
      </c>
      <c r="F254" s="56"/>
      <c r="G254" s="56"/>
      <c r="H254" s="56" t="s">
        <v>1370</v>
      </c>
      <c r="I254" s="70" t="s">
        <v>1371</v>
      </c>
    </row>
    <row r="255" spans="1:9" ht="18.75" customHeight="1">
      <c r="A255" s="51" t="s">
        <v>629</v>
      </c>
      <c r="B255" s="51" t="s">
        <v>921</v>
      </c>
      <c r="C255" s="52" t="s">
        <v>1212</v>
      </c>
      <c r="D255" s="67" t="s">
        <v>1374</v>
      </c>
      <c r="E255" s="67" t="s">
        <v>1375</v>
      </c>
      <c r="F255" s="67"/>
      <c r="G255" s="67"/>
      <c r="H255" s="67" t="s">
        <v>717</v>
      </c>
      <c r="I255" s="53" t="s">
        <v>927</v>
      </c>
    </row>
    <row r="256" spans="1:9" ht="18.75" customHeight="1">
      <c r="A256" s="51" t="s">
        <v>629</v>
      </c>
      <c r="B256" s="51" t="s">
        <v>921</v>
      </c>
      <c r="C256" s="52" t="s">
        <v>1212</v>
      </c>
      <c r="D256" s="67" t="s">
        <v>1376</v>
      </c>
      <c r="E256" s="67" t="s">
        <v>1375</v>
      </c>
      <c r="F256" s="67"/>
      <c r="G256" s="67"/>
      <c r="H256" s="67" t="s">
        <v>717</v>
      </c>
      <c r="I256" s="53" t="s">
        <v>927</v>
      </c>
    </row>
    <row r="257" spans="1:9" ht="18.75" customHeight="1">
      <c r="A257" s="51" t="s">
        <v>629</v>
      </c>
      <c r="B257" s="51" t="s">
        <v>921</v>
      </c>
      <c r="C257" s="52" t="s">
        <v>1212</v>
      </c>
      <c r="D257" s="67" t="s">
        <v>1377</v>
      </c>
      <c r="E257" s="67" t="s">
        <v>1375</v>
      </c>
      <c r="F257" s="67"/>
      <c r="G257" s="67"/>
      <c r="H257" s="67" t="s">
        <v>717</v>
      </c>
      <c r="I257" s="53" t="s">
        <v>927</v>
      </c>
    </row>
    <row r="258" spans="1:9" ht="18.75" customHeight="1">
      <c r="A258" s="51" t="s">
        <v>629</v>
      </c>
      <c r="B258" s="55" t="s">
        <v>445</v>
      </c>
      <c r="C258" s="56" t="s">
        <v>1212</v>
      </c>
      <c r="D258" s="56" t="s">
        <v>1378</v>
      </c>
      <c r="E258" s="56" t="s">
        <v>1379</v>
      </c>
      <c r="F258" s="56"/>
      <c r="G258" s="56"/>
      <c r="H258" s="56" t="s">
        <v>446</v>
      </c>
      <c r="I258" s="57" t="s">
        <v>1045</v>
      </c>
    </row>
    <row r="259" spans="1:9" ht="18.75" customHeight="1">
      <c r="A259" s="51" t="s">
        <v>629</v>
      </c>
      <c r="B259" s="55" t="s">
        <v>1380</v>
      </c>
      <c r="C259" s="56" t="s">
        <v>1212</v>
      </c>
      <c r="D259" s="56" t="s">
        <v>1381</v>
      </c>
      <c r="E259" s="56" t="s">
        <v>1382</v>
      </c>
      <c r="F259" s="56"/>
      <c r="G259" s="56"/>
      <c r="H259" s="56" t="s">
        <v>1383</v>
      </c>
      <c r="I259" s="57" t="s">
        <v>1384</v>
      </c>
    </row>
    <row r="260" spans="1:9" ht="18.75" customHeight="1">
      <c r="A260" s="51" t="s">
        <v>629</v>
      </c>
      <c r="B260" s="55" t="s">
        <v>1380</v>
      </c>
      <c r="C260" s="56" t="s">
        <v>1212</v>
      </c>
      <c r="D260" s="56" t="s">
        <v>1385</v>
      </c>
      <c r="E260" s="56" t="s">
        <v>1386</v>
      </c>
      <c r="F260" s="56"/>
      <c r="G260" s="56"/>
      <c r="H260" s="56" t="s">
        <v>1383</v>
      </c>
      <c r="I260" s="57" t="s">
        <v>1384</v>
      </c>
    </row>
    <row r="261" spans="1:9" ht="18.75" customHeight="1">
      <c r="A261" s="62" t="s">
        <v>533</v>
      </c>
      <c r="B261" s="48" t="s">
        <v>533</v>
      </c>
      <c r="C261" s="63" t="s">
        <v>1212</v>
      </c>
      <c r="D261" s="63" t="s">
        <v>1387</v>
      </c>
      <c r="E261" s="49" t="s">
        <v>1388</v>
      </c>
      <c r="F261" s="49" t="s">
        <v>1389</v>
      </c>
      <c r="G261" s="49" t="s">
        <v>1390</v>
      </c>
      <c r="H261" s="49" t="s">
        <v>525</v>
      </c>
      <c r="I261" s="50" t="s">
        <v>526</v>
      </c>
    </row>
    <row r="262" spans="1:9" ht="18.75" customHeight="1">
      <c r="A262" s="62" t="s">
        <v>533</v>
      </c>
      <c r="B262" s="48" t="s">
        <v>533</v>
      </c>
      <c r="C262" s="63" t="s">
        <v>1212</v>
      </c>
      <c r="D262" s="63" t="s">
        <v>1387</v>
      </c>
      <c r="E262" s="49" t="s">
        <v>1388</v>
      </c>
      <c r="F262" s="49" t="s">
        <v>1389</v>
      </c>
      <c r="G262" s="49"/>
      <c r="H262" s="49" t="s">
        <v>1391</v>
      </c>
      <c r="I262" s="50" t="s">
        <v>1392</v>
      </c>
    </row>
    <row r="263" spans="1:9" ht="18.75" customHeight="1">
      <c r="A263" s="62" t="s">
        <v>533</v>
      </c>
      <c r="B263" s="48" t="s">
        <v>533</v>
      </c>
      <c r="C263" s="63" t="s">
        <v>1212</v>
      </c>
      <c r="D263" s="49" t="s">
        <v>1393</v>
      </c>
      <c r="E263" s="77" t="s">
        <v>1394</v>
      </c>
      <c r="F263" s="49" t="s">
        <v>1395</v>
      </c>
      <c r="G263" s="49"/>
      <c r="H263" s="49" t="s">
        <v>1396</v>
      </c>
      <c r="I263" s="50" t="s">
        <v>1397</v>
      </c>
    </row>
    <row r="264" spans="1:9" ht="18.75" customHeight="1">
      <c r="A264" s="62" t="s">
        <v>533</v>
      </c>
      <c r="B264" s="48" t="s">
        <v>533</v>
      </c>
      <c r="C264" s="63" t="s">
        <v>1212</v>
      </c>
      <c r="D264" s="63" t="s">
        <v>1398</v>
      </c>
      <c r="E264" s="49" t="s">
        <v>1399</v>
      </c>
      <c r="F264" s="63" t="s">
        <v>1400</v>
      </c>
      <c r="G264" s="49" t="s">
        <v>1401</v>
      </c>
      <c r="H264" s="49" t="s">
        <v>1402</v>
      </c>
      <c r="I264" s="50" t="s">
        <v>1403</v>
      </c>
    </row>
    <row r="265" spans="1:9" ht="18.75" customHeight="1">
      <c r="A265" s="62" t="s">
        <v>533</v>
      </c>
      <c r="B265" s="48" t="s">
        <v>533</v>
      </c>
      <c r="C265" s="63" t="s">
        <v>1212</v>
      </c>
      <c r="D265" s="63" t="s">
        <v>1398</v>
      </c>
      <c r="E265" s="49"/>
      <c r="F265" s="63" t="s">
        <v>1400</v>
      </c>
      <c r="G265" s="49"/>
      <c r="H265" s="49" t="s">
        <v>1404</v>
      </c>
      <c r="I265" s="50" t="s">
        <v>1405</v>
      </c>
    </row>
    <row r="266" spans="1:9" ht="18.75" customHeight="1">
      <c r="A266" s="62" t="s">
        <v>533</v>
      </c>
      <c r="B266" s="48" t="s">
        <v>533</v>
      </c>
      <c r="C266" s="63" t="s">
        <v>1212</v>
      </c>
      <c r="D266" s="63" t="s">
        <v>1398</v>
      </c>
      <c r="E266" s="49"/>
      <c r="F266" s="63" t="s">
        <v>1400</v>
      </c>
      <c r="G266" s="49"/>
      <c r="H266" s="49" t="s">
        <v>1406</v>
      </c>
      <c r="I266" s="50" t="s">
        <v>1407</v>
      </c>
    </row>
    <row r="267" spans="1:9" ht="18.75" customHeight="1">
      <c r="A267" s="62" t="s">
        <v>533</v>
      </c>
      <c r="B267" s="48" t="s">
        <v>533</v>
      </c>
      <c r="C267" s="63" t="s">
        <v>1212</v>
      </c>
      <c r="D267" s="63" t="s">
        <v>1408</v>
      </c>
      <c r="E267" s="63" t="s">
        <v>1409</v>
      </c>
      <c r="F267" s="63" t="s">
        <v>1410</v>
      </c>
      <c r="G267" s="49"/>
      <c r="H267" s="49" t="s">
        <v>773</v>
      </c>
      <c r="I267" s="50" t="s">
        <v>1411</v>
      </c>
    </row>
    <row r="268" spans="1:9" ht="18.75" customHeight="1">
      <c r="A268" s="62" t="s">
        <v>533</v>
      </c>
      <c r="B268" s="48" t="s">
        <v>533</v>
      </c>
      <c r="C268" s="63" t="s">
        <v>1212</v>
      </c>
      <c r="D268" s="63" t="s">
        <v>1412</v>
      </c>
      <c r="E268" s="49" t="s">
        <v>1413</v>
      </c>
      <c r="F268" s="49" t="s">
        <v>1414</v>
      </c>
      <c r="G268" s="49"/>
      <c r="H268" s="49" t="s">
        <v>1415</v>
      </c>
      <c r="I268" s="50" t="s">
        <v>1416</v>
      </c>
    </row>
    <row r="269" spans="1:9" ht="18.75" customHeight="1">
      <c r="A269" s="62" t="s">
        <v>533</v>
      </c>
      <c r="B269" s="48" t="s">
        <v>533</v>
      </c>
      <c r="C269" s="63" t="s">
        <v>1212</v>
      </c>
      <c r="D269" s="49" t="s">
        <v>1417</v>
      </c>
      <c r="E269" s="49"/>
      <c r="F269" s="49" t="s">
        <v>1418</v>
      </c>
      <c r="G269" s="49" t="s">
        <v>1419</v>
      </c>
      <c r="H269" s="49" t="s">
        <v>1420</v>
      </c>
      <c r="I269" s="50" t="s">
        <v>1421</v>
      </c>
    </row>
    <row r="270" spans="1:9" ht="18.75" customHeight="1">
      <c r="A270" s="62" t="s">
        <v>533</v>
      </c>
      <c r="B270" s="48" t="s">
        <v>533</v>
      </c>
      <c r="C270" s="63" t="s">
        <v>1212</v>
      </c>
      <c r="D270" s="49" t="s">
        <v>1422</v>
      </c>
      <c r="E270" s="49"/>
      <c r="F270" s="49" t="s">
        <v>1423</v>
      </c>
      <c r="G270" s="49"/>
      <c r="H270" s="49" t="s">
        <v>1420</v>
      </c>
      <c r="I270" s="50" t="s">
        <v>1421</v>
      </c>
    </row>
    <row r="271" spans="1:9" ht="18.75" customHeight="1">
      <c r="A271" s="62" t="s">
        <v>533</v>
      </c>
      <c r="B271" s="48" t="s">
        <v>533</v>
      </c>
      <c r="C271" s="63" t="s">
        <v>1212</v>
      </c>
      <c r="D271" s="49" t="s">
        <v>1424</v>
      </c>
      <c r="E271" s="49"/>
      <c r="F271" s="49" t="s">
        <v>1425</v>
      </c>
      <c r="G271" s="49" t="s">
        <v>1426</v>
      </c>
      <c r="H271" s="49" t="s">
        <v>520</v>
      </c>
      <c r="I271" s="50" t="s">
        <v>1427</v>
      </c>
    </row>
    <row r="272" spans="1:9" ht="18.75" customHeight="1">
      <c r="A272" s="62" t="s">
        <v>533</v>
      </c>
      <c r="B272" s="48" t="s">
        <v>533</v>
      </c>
      <c r="C272" s="63" t="s">
        <v>1212</v>
      </c>
      <c r="D272" s="63" t="s">
        <v>1428</v>
      </c>
      <c r="E272" s="49"/>
      <c r="F272" s="63" t="s">
        <v>1429</v>
      </c>
      <c r="G272" s="49"/>
      <c r="H272" s="49" t="s">
        <v>1420</v>
      </c>
      <c r="I272" s="50" t="s">
        <v>1421</v>
      </c>
    </row>
    <row r="273" spans="1:9" ht="18.75" customHeight="1">
      <c r="A273" s="62" t="s">
        <v>533</v>
      </c>
      <c r="B273" s="48" t="s">
        <v>533</v>
      </c>
      <c r="C273" s="63" t="s">
        <v>1212</v>
      </c>
      <c r="D273" s="49" t="s">
        <v>1430</v>
      </c>
      <c r="E273" s="49"/>
      <c r="F273" s="49" t="s">
        <v>1431</v>
      </c>
      <c r="G273" s="49" t="s">
        <v>1432</v>
      </c>
      <c r="H273" s="49" t="s">
        <v>1433</v>
      </c>
      <c r="I273" s="50" t="s">
        <v>1434</v>
      </c>
    </row>
    <row r="274" spans="1:9" ht="18.75" customHeight="1">
      <c r="A274" s="62" t="s">
        <v>533</v>
      </c>
      <c r="B274" s="48" t="s">
        <v>533</v>
      </c>
      <c r="C274" s="63" t="s">
        <v>1212</v>
      </c>
      <c r="D274" s="49" t="s">
        <v>1435</v>
      </c>
      <c r="E274" s="49" t="s">
        <v>1436</v>
      </c>
      <c r="F274" s="49" t="s">
        <v>1437</v>
      </c>
      <c r="G274" s="49" t="s">
        <v>1438</v>
      </c>
      <c r="H274" s="49" t="s">
        <v>1439</v>
      </c>
      <c r="I274" s="50" t="s">
        <v>1440</v>
      </c>
    </row>
    <row r="275" spans="1:9" ht="18.75" customHeight="1">
      <c r="A275" s="62" t="s">
        <v>533</v>
      </c>
      <c r="B275" s="48" t="s">
        <v>533</v>
      </c>
      <c r="C275" s="63" t="s">
        <v>1212</v>
      </c>
      <c r="D275" s="49" t="s">
        <v>1441</v>
      </c>
      <c r="E275" s="63" t="s">
        <v>1442</v>
      </c>
      <c r="F275" s="49" t="s">
        <v>1443</v>
      </c>
      <c r="G275" s="49" t="s">
        <v>1444</v>
      </c>
      <c r="H275" s="49" t="s">
        <v>1445</v>
      </c>
      <c r="I275" s="50" t="s">
        <v>1446</v>
      </c>
    </row>
    <row r="276" spans="1:9" ht="18.75" customHeight="1">
      <c r="A276" s="62" t="s">
        <v>533</v>
      </c>
      <c r="B276" s="48" t="s">
        <v>533</v>
      </c>
      <c r="C276" s="63" t="s">
        <v>1212</v>
      </c>
      <c r="D276" s="49" t="s">
        <v>1441</v>
      </c>
      <c r="E276" s="49"/>
      <c r="F276" s="49" t="s">
        <v>1443</v>
      </c>
      <c r="G276" s="49"/>
      <c r="H276" s="49" t="s">
        <v>1447</v>
      </c>
      <c r="I276" s="50" t="s">
        <v>1448</v>
      </c>
    </row>
    <row r="277" spans="1:9" ht="18.75" customHeight="1">
      <c r="A277" s="62" t="s">
        <v>533</v>
      </c>
      <c r="B277" s="48" t="s">
        <v>533</v>
      </c>
      <c r="C277" s="63" t="s">
        <v>1212</v>
      </c>
      <c r="D277" s="49" t="s">
        <v>1441</v>
      </c>
      <c r="E277" s="49"/>
      <c r="F277" s="49" t="s">
        <v>1443</v>
      </c>
      <c r="G277" s="49"/>
      <c r="H277" s="49" t="s">
        <v>1183</v>
      </c>
      <c r="I277" s="50" t="s">
        <v>1449</v>
      </c>
    </row>
    <row r="278" spans="1:9" ht="18.75" customHeight="1">
      <c r="A278" s="62" t="s">
        <v>533</v>
      </c>
      <c r="B278" s="48" t="s">
        <v>533</v>
      </c>
      <c r="C278" s="63" t="s">
        <v>1212</v>
      </c>
      <c r="D278" s="49" t="s">
        <v>1441</v>
      </c>
      <c r="E278" s="49"/>
      <c r="F278" s="49" t="s">
        <v>1443</v>
      </c>
      <c r="G278" s="49"/>
      <c r="H278" s="49" t="s">
        <v>1445</v>
      </c>
      <c r="I278" s="50" t="s">
        <v>1450</v>
      </c>
    </row>
    <row r="279" spans="1:9" ht="18.75" customHeight="1">
      <c r="A279" s="62" t="s">
        <v>533</v>
      </c>
      <c r="B279" s="48" t="s">
        <v>533</v>
      </c>
      <c r="C279" s="63" t="s">
        <v>1212</v>
      </c>
      <c r="D279" s="49" t="s">
        <v>1441</v>
      </c>
      <c r="E279" s="49"/>
      <c r="F279" s="49" t="s">
        <v>1443</v>
      </c>
      <c r="G279" s="49"/>
      <c r="H279" s="49" t="s">
        <v>1451</v>
      </c>
      <c r="I279" s="50" t="s">
        <v>1452</v>
      </c>
    </row>
    <row r="280" spans="1:9" ht="15.75" customHeight="1">
      <c r="A280" s="62" t="s">
        <v>533</v>
      </c>
      <c r="B280" s="48" t="s">
        <v>533</v>
      </c>
      <c r="C280" s="63" t="s">
        <v>1212</v>
      </c>
      <c r="D280" s="49" t="s">
        <v>1453</v>
      </c>
      <c r="E280" s="49"/>
      <c r="F280" s="49" t="s">
        <v>1454</v>
      </c>
      <c r="G280" s="49"/>
      <c r="H280" s="49" t="s">
        <v>1455</v>
      </c>
      <c r="I280" s="50" t="s">
        <v>1456</v>
      </c>
    </row>
    <row r="281" spans="1:9" ht="15.75" customHeight="1">
      <c r="A281" s="62" t="s">
        <v>533</v>
      </c>
      <c r="B281" s="48" t="s">
        <v>533</v>
      </c>
      <c r="C281" s="63" t="s">
        <v>1212</v>
      </c>
      <c r="D281" s="49" t="s">
        <v>1453</v>
      </c>
      <c r="E281" s="49"/>
      <c r="F281" s="49"/>
      <c r="G281" s="49" t="s">
        <v>1457</v>
      </c>
      <c r="H281" s="49" t="s">
        <v>1458</v>
      </c>
      <c r="I281" s="50" t="s">
        <v>1459</v>
      </c>
    </row>
    <row r="282" spans="1:9" ht="18.75" customHeight="1">
      <c r="A282" s="62" t="s">
        <v>533</v>
      </c>
      <c r="B282" s="48" t="s">
        <v>533</v>
      </c>
      <c r="C282" s="63" t="s">
        <v>1212</v>
      </c>
      <c r="D282" s="49" t="s">
        <v>1460</v>
      </c>
      <c r="E282" s="49" t="s">
        <v>1461</v>
      </c>
      <c r="F282" s="49" t="s">
        <v>1462</v>
      </c>
      <c r="G282" s="49"/>
      <c r="H282" s="49" t="s">
        <v>1179</v>
      </c>
      <c r="I282" s="50" t="s">
        <v>1180</v>
      </c>
    </row>
    <row r="283" spans="1:9" ht="18.75" customHeight="1">
      <c r="A283" s="62" t="s">
        <v>533</v>
      </c>
      <c r="B283" s="48" t="s">
        <v>533</v>
      </c>
      <c r="C283" s="63" t="s">
        <v>1212</v>
      </c>
      <c r="D283" s="49" t="s">
        <v>1460</v>
      </c>
      <c r="E283" s="49"/>
      <c r="F283" s="49"/>
      <c r="G283" s="63" t="s">
        <v>1463</v>
      </c>
      <c r="H283" s="49" t="s">
        <v>1464</v>
      </c>
      <c r="I283" s="50" t="s">
        <v>1465</v>
      </c>
    </row>
    <row r="284" spans="1:9" ht="18.75" customHeight="1">
      <c r="A284" s="62" t="s">
        <v>533</v>
      </c>
      <c r="B284" s="48" t="s">
        <v>533</v>
      </c>
      <c r="C284" s="63" t="s">
        <v>1212</v>
      </c>
      <c r="D284" s="49" t="s">
        <v>1460</v>
      </c>
      <c r="E284" s="49"/>
      <c r="F284" s="49"/>
      <c r="G284" s="49"/>
      <c r="H284" s="49" t="s">
        <v>1464</v>
      </c>
      <c r="I284" s="50" t="s">
        <v>1465</v>
      </c>
    </row>
    <row r="285" spans="1:9" ht="18.75" customHeight="1">
      <c r="A285" s="62" t="s">
        <v>533</v>
      </c>
      <c r="B285" s="48" t="s">
        <v>533</v>
      </c>
      <c r="C285" s="63" t="s">
        <v>1212</v>
      </c>
      <c r="D285" s="49" t="s">
        <v>1466</v>
      </c>
      <c r="E285" s="49" t="s">
        <v>1467</v>
      </c>
      <c r="F285" s="49" t="s">
        <v>1468</v>
      </c>
      <c r="G285" s="49" t="s">
        <v>1469</v>
      </c>
      <c r="H285" s="49" t="s">
        <v>1470</v>
      </c>
      <c r="I285" s="50" t="s">
        <v>1471</v>
      </c>
    </row>
    <row r="286" spans="1:9" ht="18.75" customHeight="1">
      <c r="A286" s="51" t="s">
        <v>682</v>
      </c>
      <c r="B286" s="51" t="s">
        <v>323</v>
      </c>
      <c r="C286" s="52" t="s">
        <v>1472</v>
      </c>
      <c r="D286" s="52" t="s">
        <v>1473</v>
      </c>
      <c r="E286" s="52" t="s">
        <v>1474</v>
      </c>
      <c r="F286" s="52"/>
      <c r="G286" s="52"/>
      <c r="H286" s="52" t="s">
        <v>895</v>
      </c>
      <c r="I286" s="53" t="s">
        <v>896</v>
      </c>
    </row>
    <row r="287" spans="1:9" ht="18.75" customHeight="1">
      <c r="A287" s="48" t="s">
        <v>180</v>
      </c>
      <c r="B287" s="48" t="s">
        <v>180</v>
      </c>
      <c r="C287" s="49" t="s">
        <v>1475</v>
      </c>
      <c r="D287" s="49" t="s">
        <v>1476</v>
      </c>
      <c r="E287" s="49" t="s">
        <v>1477</v>
      </c>
      <c r="F287" s="49"/>
      <c r="G287" s="49"/>
      <c r="H287" s="49" t="s">
        <v>182</v>
      </c>
      <c r="I287" s="50" t="s">
        <v>183</v>
      </c>
    </row>
    <row r="288" spans="1:9" ht="18.75" customHeight="1">
      <c r="A288" s="48" t="s">
        <v>192</v>
      </c>
      <c r="B288" s="48" t="s">
        <v>192</v>
      </c>
      <c r="C288" s="49" t="s">
        <v>1475</v>
      </c>
      <c r="D288" s="49" t="s">
        <v>1478</v>
      </c>
      <c r="E288" s="49" t="s">
        <v>1479</v>
      </c>
      <c r="F288" s="49"/>
      <c r="G288" s="49"/>
      <c r="H288" s="49" t="s">
        <v>1480</v>
      </c>
      <c r="I288" s="50" t="s">
        <v>1481</v>
      </c>
    </row>
    <row r="289" spans="1:9" ht="18.75" customHeight="1">
      <c r="A289" s="48" t="s">
        <v>192</v>
      </c>
      <c r="B289" s="48" t="s">
        <v>192</v>
      </c>
      <c r="C289" s="49" t="s">
        <v>1475</v>
      </c>
      <c r="D289" s="49" t="s">
        <v>1482</v>
      </c>
      <c r="E289" s="49" t="s">
        <v>1483</v>
      </c>
      <c r="F289" s="49"/>
      <c r="G289" s="49"/>
      <c r="H289" s="49" t="s">
        <v>1480</v>
      </c>
      <c r="I289" s="50" t="s">
        <v>1481</v>
      </c>
    </row>
    <row r="290" spans="1:9" ht="18.75" customHeight="1">
      <c r="A290" s="48" t="s">
        <v>192</v>
      </c>
      <c r="B290" s="48" t="s">
        <v>192</v>
      </c>
      <c r="C290" s="49" t="s">
        <v>1475</v>
      </c>
      <c r="D290" s="49" t="s">
        <v>1484</v>
      </c>
      <c r="E290" s="49" t="s">
        <v>1485</v>
      </c>
      <c r="F290" s="49"/>
      <c r="G290" s="49"/>
      <c r="H290" s="49" t="s">
        <v>1486</v>
      </c>
      <c r="I290" s="50" t="s">
        <v>1487</v>
      </c>
    </row>
    <row r="291" spans="1:9" ht="18.75" customHeight="1">
      <c r="A291" s="48" t="s">
        <v>192</v>
      </c>
      <c r="B291" s="48" t="s">
        <v>192</v>
      </c>
      <c r="C291" s="49" t="s">
        <v>1475</v>
      </c>
      <c r="D291" s="49" t="s">
        <v>1488</v>
      </c>
      <c r="E291" s="49" t="s">
        <v>1489</v>
      </c>
      <c r="F291" s="49"/>
      <c r="G291" s="49"/>
      <c r="H291" s="49" t="s">
        <v>1486</v>
      </c>
      <c r="I291" s="50" t="s">
        <v>1487</v>
      </c>
    </row>
    <row r="292" spans="1:9" ht="18.75" customHeight="1">
      <c r="A292" s="48" t="s">
        <v>192</v>
      </c>
      <c r="B292" s="48" t="s">
        <v>192</v>
      </c>
      <c r="C292" s="49" t="s">
        <v>1475</v>
      </c>
      <c r="D292" s="49" t="s">
        <v>1490</v>
      </c>
      <c r="E292" s="49" t="s">
        <v>1491</v>
      </c>
      <c r="F292" s="49"/>
      <c r="G292" s="49"/>
      <c r="H292" s="49" t="s">
        <v>1486</v>
      </c>
      <c r="I292" s="50" t="s">
        <v>1487</v>
      </c>
    </row>
    <row r="293" spans="1:9" ht="18.75" customHeight="1">
      <c r="A293" s="51" t="s">
        <v>672</v>
      </c>
      <c r="B293" s="51" t="s">
        <v>673</v>
      </c>
      <c r="C293" s="52" t="s">
        <v>1475</v>
      </c>
      <c r="D293" s="52" t="s">
        <v>1492</v>
      </c>
      <c r="E293" s="52" t="s">
        <v>1493</v>
      </c>
      <c r="F293" s="52"/>
      <c r="G293" s="52"/>
      <c r="H293" s="52" t="s">
        <v>676</v>
      </c>
      <c r="I293" s="53" t="s">
        <v>677</v>
      </c>
    </row>
    <row r="294" spans="1:9" ht="18.75" customHeight="1">
      <c r="A294" s="51" t="s">
        <v>682</v>
      </c>
      <c r="B294" s="51" t="s">
        <v>323</v>
      </c>
      <c r="C294" s="52" t="s">
        <v>1475</v>
      </c>
      <c r="D294" s="52"/>
      <c r="E294" s="52" t="s">
        <v>1494</v>
      </c>
      <c r="F294" s="52"/>
      <c r="G294" s="52"/>
      <c r="H294" s="52" t="s">
        <v>1495</v>
      </c>
      <c r="I294" s="53" t="s">
        <v>1496</v>
      </c>
    </row>
    <row r="295" spans="1:9" ht="15.75" customHeight="1">
      <c r="A295" s="51" t="s">
        <v>682</v>
      </c>
      <c r="B295" s="51" t="s">
        <v>323</v>
      </c>
      <c r="C295" s="52" t="s">
        <v>1475</v>
      </c>
      <c r="D295" s="52"/>
      <c r="E295" s="52" t="s">
        <v>1497</v>
      </c>
      <c r="F295" s="68"/>
      <c r="G295" s="52"/>
      <c r="H295" s="52" t="s">
        <v>902</v>
      </c>
      <c r="I295" s="53" t="s">
        <v>903</v>
      </c>
    </row>
    <row r="296" spans="1:9" ht="15.75" customHeight="1">
      <c r="A296" s="51" t="s">
        <v>682</v>
      </c>
      <c r="B296" s="51" t="s">
        <v>323</v>
      </c>
      <c r="C296" s="52" t="s">
        <v>1475</v>
      </c>
      <c r="D296" s="52" t="s">
        <v>1498</v>
      </c>
      <c r="E296" s="54" t="s">
        <v>1499</v>
      </c>
      <c r="F296" s="52"/>
      <c r="G296" s="52"/>
      <c r="H296" s="52" t="s">
        <v>325</v>
      </c>
      <c r="I296" s="53" t="s">
        <v>326</v>
      </c>
    </row>
    <row r="297" spans="1:9" ht="18.75" customHeight="1">
      <c r="A297" s="51" t="s">
        <v>356</v>
      </c>
      <c r="B297" s="51" t="s">
        <v>356</v>
      </c>
      <c r="C297" s="52" t="s">
        <v>1475</v>
      </c>
      <c r="D297" s="52"/>
      <c r="E297" s="52" t="s">
        <v>1500</v>
      </c>
      <c r="F297" s="52"/>
      <c r="G297" s="52"/>
      <c r="H297" s="52" t="s">
        <v>909</v>
      </c>
      <c r="I297" s="53" t="s">
        <v>910</v>
      </c>
    </row>
    <row r="298" spans="1:9" ht="18.75" customHeight="1">
      <c r="A298" s="51" t="s">
        <v>356</v>
      </c>
      <c r="B298" s="51" t="s">
        <v>356</v>
      </c>
      <c r="C298" s="52" t="s">
        <v>1475</v>
      </c>
      <c r="D298" s="52" t="s">
        <v>1501</v>
      </c>
      <c r="E298" s="52" t="s">
        <v>1502</v>
      </c>
      <c r="F298" s="52"/>
      <c r="G298" s="52"/>
      <c r="H298" s="52" t="s">
        <v>359</v>
      </c>
      <c r="I298" s="53" t="s">
        <v>1503</v>
      </c>
    </row>
    <row r="299" spans="1:9" ht="18.75" customHeight="1">
      <c r="A299" s="51" t="s">
        <v>356</v>
      </c>
      <c r="B299" s="51" t="s">
        <v>356</v>
      </c>
      <c r="C299" s="52" t="s">
        <v>1475</v>
      </c>
      <c r="D299" s="52" t="s">
        <v>1504</v>
      </c>
      <c r="E299" s="52" t="s">
        <v>1505</v>
      </c>
      <c r="F299" s="52"/>
      <c r="G299" s="52"/>
      <c r="H299" s="52" t="s">
        <v>361</v>
      </c>
      <c r="I299" s="53" t="s">
        <v>1506</v>
      </c>
    </row>
    <row r="300" spans="1:9" ht="18.75" customHeight="1">
      <c r="A300" s="51" t="s">
        <v>356</v>
      </c>
      <c r="B300" s="51" t="s">
        <v>356</v>
      </c>
      <c r="C300" s="52" t="s">
        <v>1475</v>
      </c>
      <c r="D300" s="52"/>
      <c r="E300" s="52" t="s">
        <v>1507</v>
      </c>
      <c r="F300" s="52"/>
      <c r="G300" s="52"/>
      <c r="H300" s="52" t="s">
        <v>470</v>
      </c>
      <c r="I300" s="53" t="s">
        <v>1508</v>
      </c>
    </row>
    <row r="301" spans="1:9" ht="18.75" customHeight="1">
      <c r="A301" s="51" t="s">
        <v>356</v>
      </c>
      <c r="B301" s="51" t="s">
        <v>356</v>
      </c>
      <c r="C301" s="52" t="s">
        <v>1475</v>
      </c>
      <c r="D301" s="52" t="s">
        <v>1509</v>
      </c>
      <c r="E301" s="52" t="s">
        <v>1510</v>
      </c>
      <c r="F301" s="52"/>
      <c r="G301" s="52"/>
      <c r="H301" s="52" t="s">
        <v>1511</v>
      </c>
      <c r="I301" s="53" t="s">
        <v>1512</v>
      </c>
    </row>
    <row r="302" spans="1:9" ht="18.75" customHeight="1">
      <c r="A302" s="51" t="s">
        <v>356</v>
      </c>
      <c r="B302" s="51" t="s">
        <v>356</v>
      </c>
      <c r="C302" s="52" t="s">
        <v>1475</v>
      </c>
      <c r="D302" s="52"/>
      <c r="E302" s="52" t="s">
        <v>1513</v>
      </c>
      <c r="F302" s="52"/>
      <c r="G302" s="52"/>
      <c r="H302" s="52" t="s">
        <v>1327</v>
      </c>
      <c r="I302" s="53" t="s">
        <v>1328</v>
      </c>
    </row>
    <row r="303" spans="1:9" ht="18.75" customHeight="1">
      <c r="A303" s="48" t="s">
        <v>453</v>
      </c>
      <c r="B303" s="48" t="s">
        <v>453</v>
      </c>
      <c r="C303" s="49" t="s">
        <v>1475</v>
      </c>
      <c r="D303" s="49" t="s">
        <v>1514</v>
      </c>
      <c r="E303" s="49" t="s">
        <v>1515</v>
      </c>
      <c r="F303" s="49"/>
      <c r="G303" s="49"/>
      <c r="H303" s="49" t="s">
        <v>1516</v>
      </c>
      <c r="I303" s="50" t="s">
        <v>1517</v>
      </c>
    </row>
    <row r="304" spans="1:9" ht="18.75" customHeight="1">
      <c r="A304" s="48" t="s">
        <v>453</v>
      </c>
      <c r="B304" s="48" t="s">
        <v>453</v>
      </c>
      <c r="C304" s="49" t="s">
        <v>1475</v>
      </c>
      <c r="D304" s="49" t="s">
        <v>1518</v>
      </c>
      <c r="E304" s="49" t="s">
        <v>1519</v>
      </c>
      <c r="F304" s="49"/>
      <c r="G304" s="49"/>
      <c r="H304" s="49" t="s">
        <v>1520</v>
      </c>
      <c r="I304" s="50" t="s">
        <v>1521</v>
      </c>
    </row>
    <row r="305" spans="1:9" ht="18.75" customHeight="1">
      <c r="A305" s="48" t="s">
        <v>453</v>
      </c>
      <c r="B305" s="48" t="s">
        <v>453</v>
      </c>
      <c r="C305" s="49" t="s">
        <v>1475</v>
      </c>
      <c r="D305" s="49" t="s">
        <v>1518</v>
      </c>
      <c r="E305" s="49"/>
      <c r="F305" s="49"/>
      <c r="G305" s="49"/>
      <c r="H305" s="49" t="s">
        <v>1522</v>
      </c>
      <c r="I305" s="50" t="s">
        <v>1523</v>
      </c>
    </row>
    <row r="306" spans="1:9" ht="18.75" customHeight="1">
      <c r="A306" s="48" t="s">
        <v>453</v>
      </c>
      <c r="B306" s="48" t="s">
        <v>453</v>
      </c>
      <c r="C306" s="49" t="s">
        <v>1475</v>
      </c>
      <c r="D306" s="49" t="s">
        <v>1518</v>
      </c>
      <c r="E306" s="49"/>
      <c r="F306" s="49"/>
      <c r="G306" s="49"/>
      <c r="H306" s="49" t="s">
        <v>1524</v>
      </c>
      <c r="I306" s="50" t="s">
        <v>1525</v>
      </c>
    </row>
    <row r="307" spans="1:9" ht="18.75" customHeight="1">
      <c r="A307" s="48" t="s">
        <v>453</v>
      </c>
      <c r="B307" s="48" t="s">
        <v>453</v>
      </c>
      <c r="C307" s="49" t="s">
        <v>1475</v>
      </c>
      <c r="D307" s="49" t="s">
        <v>1518</v>
      </c>
      <c r="E307" s="63" t="s">
        <v>1526</v>
      </c>
      <c r="F307" s="49"/>
      <c r="G307" s="49"/>
      <c r="H307" s="49" t="s">
        <v>469</v>
      </c>
      <c r="I307" s="50" t="s">
        <v>1527</v>
      </c>
    </row>
    <row r="308" spans="1:9" ht="18.75" customHeight="1">
      <c r="A308" s="48" t="s">
        <v>453</v>
      </c>
      <c r="B308" s="48" t="s">
        <v>453</v>
      </c>
      <c r="C308" s="49" t="s">
        <v>1475</v>
      </c>
      <c r="D308" s="49" t="s">
        <v>1528</v>
      </c>
      <c r="E308" s="49" t="s">
        <v>1529</v>
      </c>
      <c r="F308" s="49"/>
      <c r="G308" s="49"/>
      <c r="H308" s="49" t="s">
        <v>1522</v>
      </c>
      <c r="I308" s="50" t="s">
        <v>1523</v>
      </c>
    </row>
    <row r="309" spans="1:9" ht="18.75" customHeight="1">
      <c r="A309" s="48" t="s">
        <v>453</v>
      </c>
      <c r="B309" s="48" t="s">
        <v>453</v>
      </c>
      <c r="C309" s="49" t="s">
        <v>1475</v>
      </c>
      <c r="D309" s="49" t="s">
        <v>1528</v>
      </c>
      <c r="E309" s="49" t="s">
        <v>1529</v>
      </c>
      <c r="F309" s="49"/>
      <c r="G309" s="49"/>
      <c r="H309" s="49" t="s">
        <v>1530</v>
      </c>
      <c r="I309" s="50" t="s">
        <v>1531</v>
      </c>
    </row>
    <row r="310" spans="1:9" ht="18.75" customHeight="1">
      <c r="A310" s="48" t="s">
        <v>453</v>
      </c>
      <c r="B310" s="48" t="s">
        <v>453</v>
      </c>
      <c r="C310" s="49" t="s">
        <v>1475</v>
      </c>
      <c r="D310" s="49" t="s">
        <v>1532</v>
      </c>
      <c r="E310" s="49" t="s">
        <v>1533</v>
      </c>
      <c r="F310" s="49"/>
      <c r="G310" s="49"/>
      <c r="H310" s="49" t="s">
        <v>1522</v>
      </c>
      <c r="I310" s="50" t="s">
        <v>1523</v>
      </c>
    </row>
    <row r="311" spans="1:9" ht="18.75" customHeight="1">
      <c r="A311" s="48" t="s">
        <v>453</v>
      </c>
      <c r="B311" s="48" t="s">
        <v>453</v>
      </c>
      <c r="C311" s="49" t="s">
        <v>1475</v>
      </c>
      <c r="D311" s="49" t="s">
        <v>1532</v>
      </c>
      <c r="E311" s="49"/>
      <c r="F311" s="49"/>
      <c r="G311" s="49"/>
      <c r="H311" s="49" t="s">
        <v>1530</v>
      </c>
      <c r="I311" s="50" t="s">
        <v>1531</v>
      </c>
    </row>
    <row r="312" spans="1:9" ht="18.75" customHeight="1">
      <c r="A312" s="48" t="s">
        <v>453</v>
      </c>
      <c r="B312" s="48" t="s">
        <v>453</v>
      </c>
      <c r="C312" s="49" t="s">
        <v>1475</v>
      </c>
      <c r="D312" s="49" t="s">
        <v>1534</v>
      </c>
      <c r="E312" s="49" t="s">
        <v>1535</v>
      </c>
      <c r="F312" s="49"/>
      <c r="G312" s="49"/>
      <c r="H312" s="49" t="s">
        <v>1522</v>
      </c>
      <c r="I312" s="50" t="s">
        <v>1523</v>
      </c>
    </row>
    <row r="313" spans="1:9" ht="18.75" customHeight="1">
      <c r="A313" s="48" t="s">
        <v>453</v>
      </c>
      <c r="B313" s="48" t="s">
        <v>453</v>
      </c>
      <c r="C313" s="49" t="s">
        <v>1475</v>
      </c>
      <c r="D313" s="49" t="s">
        <v>1534</v>
      </c>
      <c r="E313" s="49"/>
      <c r="F313" s="49"/>
      <c r="G313" s="49"/>
      <c r="H313" s="49" t="s">
        <v>1536</v>
      </c>
      <c r="I313" s="50" t="s">
        <v>1537</v>
      </c>
    </row>
    <row r="314" spans="1:9" ht="18.75" customHeight="1">
      <c r="A314" s="48" t="s">
        <v>453</v>
      </c>
      <c r="B314" s="48" t="s">
        <v>453</v>
      </c>
      <c r="C314" s="49" t="s">
        <v>1475</v>
      </c>
      <c r="D314" s="49" t="s">
        <v>1534</v>
      </c>
      <c r="E314" s="49"/>
      <c r="F314" s="49"/>
      <c r="G314" s="49"/>
      <c r="H314" s="49" t="s">
        <v>1524</v>
      </c>
      <c r="I314" s="50" t="s">
        <v>1525</v>
      </c>
    </row>
    <row r="315" spans="1:9" ht="18.75" customHeight="1">
      <c r="A315" s="48" t="s">
        <v>453</v>
      </c>
      <c r="B315" s="48" t="s">
        <v>453</v>
      </c>
      <c r="C315" s="49" t="s">
        <v>1475</v>
      </c>
      <c r="D315" s="49" t="s">
        <v>1538</v>
      </c>
      <c r="E315" s="49" t="s">
        <v>1539</v>
      </c>
      <c r="F315" s="49"/>
      <c r="G315" s="49"/>
      <c r="H315" s="49" t="s">
        <v>1522</v>
      </c>
      <c r="I315" s="50" t="s">
        <v>1523</v>
      </c>
    </row>
    <row r="316" spans="1:9" ht="18.75" customHeight="1">
      <c r="A316" s="48" t="s">
        <v>453</v>
      </c>
      <c r="B316" s="48" t="s">
        <v>453</v>
      </c>
      <c r="C316" s="49" t="s">
        <v>1475</v>
      </c>
      <c r="D316" s="49" t="s">
        <v>1538</v>
      </c>
      <c r="E316" s="49"/>
      <c r="F316" s="49"/>
      <c r="G316" s="49"/>
      <c r="H316" s="49" t="s">
        <v>1536</v>
      </c>
      <c r="I316" s="50" t="s">
        <v>1537</v>
      </c>
    </row>
    <row r="317" spans="1:9" ht="18.75" customHeight="1">
      <c r="A317" s="48" t="s">
        <v>453</v>
      </c>
      <c r="B317" s="48" t="s">
        <v>453</v>
      </c>
      <c r="C317" s="49" t="s">
        <v>1475</v>
      </c>
      <c r="D317" s="49" t="s">
        <v>1538</v>
      </c>
      <c r="E317" s="49"/>
      <c r="F317" s="49"/>
      <c r="G317" s="49"/>
      <c r="H317" s="49" t="s">
        <v>1540</v>
      </c>
      <c r="I317" s="50" t="s">
        <v>1541</v>
      </c>
    </row>
    <row r="318" spans="1:9" ht="18.75" customHeight="1">
      <c r="A318" s="48" t="s">
        <v>453</v>
      </c>
      <c r="B318" s="48" t="s">
        <v>453</v>
      </c>
      <c r="C318" s="49" t="s">
        <v>1475</v>
      </c>
      <c r="D318" s="49" t="s">
        <v>1542</v>
      </c>
      <c r="E318" s="49" t="s">
        <v>1543</v>
      </c>
      <c r="F318" s="49"/>
      <c r="G318" s="49"/>
      <c r="H318" s="49" t="s">
        <v>1522</v>
      </c>
      <c r="I318" s="50" t="s">
        <v>1523</v>
      </c>
    </row>
    <row r="319" spans="1:9" ht="18.75" customHeight="1">
      <c r="A319" s="48" t="s">
        <v>453</v>
      </c>
      <c r="B319" s="48" t="s">
        <v>453</v>
      </c>
      <c r="C319" s="49" t="s">
        <v>1475</v>
      </c>
      <c r="D319" s="49" t="s">
        <v>1544</v>
      </c>
      <c r="E319" s="49" t="s">
        <v>1545</v>
      </c>
      <c r="F319" s="49"/>
      <c r="G319" s="49"/>
      <c r="H319" s="49" t="s">
        <v>1522</v>
      </c>
      <c r="I319" s="50" t="s">
        <v>1523</v>
      </c>
    </row>
    <row r="320" spans="1:9" ht="18.75" customHeight="1">
      <c r="A320" s="48" t="s">
        <v>453</v>
      </c>
      <c r="B320" s="48" t="s">
        <v>453</v>
      </c>
      <c r="C320" s="49" t="s">
        <v>1475</v>
      </c>
      <c r="D320" s="49" t="s">
        <v>1546</v>
      </c>
      <c r="E320" s="49" t="s">
        <v>1547</v>
      </c>
      <c r="F320" s="49"/>
      <c r="G320" s="49"/>
      <c r="H320" s="49" t="s">
        <v>1522</v>
      </c>
      <c r="I320" s="50" t="s">
        <v>1523</v>
      </c>
    </row>
    <row r="321" spans="1:9" ht="18.75" customHeight="1">
      <c r="A321" s="48" t="s">
        <v>453</v>
      </c>
      <c r="B321" s="48" t="s">
        <v>453</v>
      </c>
      <c r="C321" s="49" t="s">
        <v>1475</v>
      </c>
      <c r="D321" s="63" t="s">
        <v>1548</v>
      </c>
      <c r="E321" s="49" t="s">
        <v>1549</v>
      </c>
      <c r="F321" s="49"/>
      <c r="G321" s="49"/>
      <c r="H321" s="49" t="s">
        <v>1550</v>
      </c>
      <c r="I321" s="50" t="s">
        <v>1551</v>
      </c>
    </row>
    <row r="322" spans="1:9" ht="18.75" customHeight="1">
      <c r="A322" s="48" t="s">
        <v>453</v>
      </c>
      <c r="B322" s="48" t="s">
        <v>453</v>
      </c>
      <c r="C322" s="49" t="s">
        <v>1475</v>
      </c>
      <c r="D322" s="49" t="s">
        <v>1552</v>
      </c>
      <c r="E322" s="49" t="s">
        <v>1553</v>
      </c>
      <c r="F322" s="49"/>
      <c r="G322" s="49"/>
      <c r="H322" s="49" t="s">
        <v>1554</v>
      </c>
      <c r="I322" s="50" t="s">
        <v>1555</v>
      </c>
    </row>
    <row r="323" spans="1:9" ht="18.75" customHeight="1">
      <c r="A323" s="62" t="s">
        <v>533</v>
      </c>
      <c r="B323" s="48" t="s">
        <v>533</v>
      </c>
      <c r="C323" s="49" t="s">
        <v>1475</v>
      </c>
      <c r="D323" s="49" t="s">
        <v>1556</v>
      </c>
      <c r="E323" s="49" t="s">
        <v>1557</v>
      </c>
      <c r="F323" s="49"/>
      <c r="G323" s="49"/>
      <c r="H323" s="49" t="s">
        <v>1558</v>
      </c>
      <c r="I323" s="50" t="s">
        <v>1559</v>
      </c>
    </row>
    <row r="324" spans="1:9" ht="18.75" customHeight="1">
      <c r="A324" s="62" t="s">
        <v>533</v>
      </c>
      <c r="B324" s="48" t="s">
        <v>533</v>
      </c>
      <c r="C324" s="49" t="s">
        <v>1475</v>
      </c>
      <c r="D324" s="49" t="s">
        <v>1560</v>
      </c>
      <c r="E324" s="49" t="s">
        <v>1561</v>
      </c>
      <c r="F324" s="49"/>
      <c r="G324" s="49"/>
      <c r="H324" s="49" t="s">
        <v>1562</v>
      </c>
      <c r="I324" s="50" t="s">
        <v>1563</v>
      </c>
    </row>
    <row r="325" spans="1:9" ht="18.75" customHeight="1">
      <c r="A325" s="62" t="s">
        <v>533</v>
      </c>
      <c r="B325" s="48" t="s">
        <v>533</v>
      </c>
      <c r="C325" s="49" t="s">
        <v>1475</v>
      </c>
      <c r="D325" s="63" t="s">
        <v>1564</v>
      </c>
      <c r="E325" s="63" t="s">
        <v>1565</v>
      </c>
      <c r="F325" s="49"/>
      <c r="G325" s="49"/>
      <c r="H325" s="49" t="s">
        <v>1566</v>
      </c>
      <c r="I325" s="50" t="s">
        <v>1567</v>
      </c>
    </row>
    <row r="326" spans="1:9" ht="18.75" customHeight="1">
      <c r="A326" s="62" t="s">
        <v>533</v>
      </c>
      <c r="B326" s="48" t="s">
        <v>533</v>
      </c>
      <c r="C326" s="49" t="s">
        <v>1475</v>
      </c>
      <c r="D326" s="63" t="s">
        <v>1568</v>
      </c>
      <c r="E326" s="49" t="s">
        <v>1569</v>
      </c>
      <c r="F326" s="49"/>
      <c r="G326" s="49"/>
      <c r="H326" s="49" t="s">
        <v>1570</v>
      </c>
      <c r="I326" s="50" t="s">
        <v>1571</v>
      </c>
    </row>
    <row r="327" spans="1:9" ht="18.75" customHeight="1">
      <c r="A327" s="62" t="s">
        <v>533</v>
      </c>
      <c r="B327" s="48" t="s">
        <v>533</v>
      </c>
      <c r="C327" s="49" t="s">
        <v>1475</v>
      </c>
      <c r="D327" s="49" t="s">
        <v>1572</v>
      </c>
      <c r="E327" s="49" t="s">
        <v>1573</v>
      </c>
      <c r="F327" s="49"/>
      <c r="G327" s="49"/>
      <c r="H327" s="49" t="s">
        <v>1574</v>
      </c>
      <c r="I327" s="50" t="s">
        <v>1575</v>
      </c>
    </row>
    <row r="328" spans="1:9" ht="18.75" customHeight="1">
      <c r="A328" s="62" t="s">
        <v>533</v>
      </c>
      <c r="B328" s="48" t="s">
        <v>533</v>
      </c>
      <c r="C328" s="49" t="s">
        <v>1475</v>
      </c>
      <c r="D328" s="63" t="s">
        <v>1576</v>
      </c>
      <c r="E328" s="49" t="s">
        <v>1577</v>
      </c>
      <c r="F328" s="49"/>
      <c r="G328" s="49"/>
      <c r="H328" s="49" t="s">
        <v>1578</v>
      </c>
      <c r="I328" s="50" t="s">
        <v>1579</v>
      </c>
    </row>
    <row r="329" spans="1:9" ht="18.75" customHeight="1">
      <c r="A329" s="62" t="s">
        <v>533</v>
      </c>
      <c r="B329" s="48" t="s">
        <v>533</v>
      </c>
      <c r="C329" s="49" t="s">
        <v>1475</v>
      </c>
      <c r="D329" s="63" t="s">
        <v>1580</v>
      </c>
      <c r="E329" s="63" t="s">
        <v>1581</v>
      </c>
      <c r="F329" s="49"/>
      <c r="G329" s="49"/>
      <c r="H329" s="49" t="s">
        <v>1582</v>
      </c>
      <c r="I329" s="50" t="s">
        <v>1583</v>
      </c>
    </row>
    <row r="330" spans="1:9" ht="18.75" customHeight="1">
      <c r="A330" s="62" t="s">
        <v>533</v>
      </c>
      <c r="B330" s="48" t="s">
        <v>533</v>
      </c>
      <c r="C330" s="49" t="s">
        <v>1475</v>
      </c>
      <c r="D330" s="49" t="s">
        <v>1584</v>
      </c>
      <c r="E330" s="49" t="s">
        <v>1585</v>
      </c>
      <c r="F330" s="49"/>
      <c r="G330" s="49"/>
      <c r="H330" s="49" t="s">
        <v>1586</v>
      </c>
      <c r="I330" s="50" t="s">
        <v>1587</v>
      </c>
    </row>
    <row r="331" spans="1:9" ht="18.75" customHeight="1">
      <c r="A331" s="62" t="s">
        <v>533</v>
      </c>
      <c r="B331" s="48" t="s">
        <v>533</v>
      </c>
      <c r="C331" s="49" t="s">
        <v>1475</v>
      </c>
      <c r="D331" s="49" t="s">
        <v>1588</v>
      </c>
      <c r="E331" s="49" t="s">
        <v>1589</v>
      </c>
      <c r="F331" s="49"/>
      <c r="G331" s="49"/>
      <c r="H331" s="49" t="s">
        <v>1586</v>
      </c>
      <c r="I331" s="50" t="s">
        <v>1587</v>
      </c>
    </row>
    <row r="332" spans="1:9" ht="18.75" customHeight="1">
      <c r="A332" s="62" t="s">
        <v>533</v>
      </c>
      <c r="B332" s="48" t="s">
        <v>533</v>
      </c>
      <c r="C332" s="49" t="s">
        <v>1475</v>
      </c>
      <c r="D332" s="49" t="s">
        <v>1590</v>
      </c>
      <c r="E332" s="49" t="s">
        <v>1591</v>
      </c>
      <c r="F332" s="49"/>
      <c r="G332" s="49"/>
      <c r="H332" s="49" t="s">
        <v>1586</v>
      </c>
      <c r="I332" s="50" t="s">
        <v>1587</v>
      </c>
    </row>
    <row r="333" spans="1:9" ht="18.75" customHeight="1">
      <c r="A333" s="62" t="s">
        <v>533</v>
      </c>
      <c r="B333" s="48" t="s">
        <v>533</v>
      </c>
      <c r="C333" s="49" t="s">
        <v>1475</v>
      </c>
      <c r="D333" s="49" t="s">
        <v>1592</v>
      </c>
      <c r="E333" s="49" t="s">
        <v>1593</v>
      </c>
      <c r="F333" s="49"/>
      <c r="G333" s="49"/>
      <c r="H333" s="49" t="s">
        <v>1594</v>
      </c>
      <c r="I333" s="50" t="s">
        <v>1595</v>
      </c>
    </row>
    <row r="334" spans="1:9" ht="18.75" customHeight="1">
      <c r="A334" s="48" t="s">
        <v>163</v>
      </c>
      <c r="B334" s="48" t="s">
        <v>163</v>
      </c>
      <c r="C334" s="49" t="s">
        <v>1596</v>
      </c>
      <c r="D334" s="49" t="s">
        <v>1597</v>
      </c>
      <c r="E334" s="49" t="s">
        <v>1598</v>
      </c>
      <c r="F334" s="49"/>
      <c r="G334" s="49"/>
      <c r="H334" s="49" t="s">
        <v>1599</v>
      </c>
      <c r="I334" s="50" t="s">
        <v>1600</v>
      </c>
    </row>
    <row r="335" spans="1:9" ht="18.75" customHeight="1">
      <c r="A335" s="48" t="s">
        <v>163</v>
      </c>
      <c r="B335" s="48" t="s">
        <v>163</v>
      </c>
      <c r="C335" s="49" t="s">
        <v>1596</v>
      </c>
      <c r="D335" s="49" t="s">
        <v>1601</v>
      </c>
      <c r="E335" s="49" t="s">
        <v>1602</v>
      </c>
      <c r="F335" s="49"/>
      <c r="G335" s="49"/>
      <c r="H335" s="49" t="s">
        <v>1599</v>
      </c>
      <c r="I335" s="50" t="s">
        <v>1600</v>
      </c>
    </row>
    <row r="336" spans="1:9" ht="18.75" customHeight="1">
      <c r="A336" s="48" t="s">
        <v>163</v>
      </c>
      <c r="B336" s="48" t="s">
        <v>163</v>
      </c>
      <c r="C336" s="49" t="s">
        <v>1596</v>
      </c>
      <c r="D336" s="49" t="s">
        <v>1603</v>
      </c>
      <c r="E336" s="49" t="s">
        <v>1604</v>
      </c>
      <c r="F336" s="49"/>
      <c r="G336" s="49"/>
      <c r="H336" s="49" t="s">
        <v>1599</v>
      </c>
      <c r="I336" s="50" t="s">
        <v>1600</v>
      </c>
    </row>
    <row r="337" spans="1:9" ht="18.75" customHeight="1">
      <c r="A337" s="48" t="s">
        <v>163</v>
      </c>
      <c r="B337" s="48" t="s">
        <v>163</v>
      </c>
      <c r="C337" s="49" t="s">
        <v>1596</v>
      </c>
      <c r="D337" s="49" t="s">
        <v>1605</v>
      </c>
      <c r="E337" s="49" t="s">
        <v>1606</v>
      </c>
      <c r="F337" s="49"/>
      <c r="G337" s="49"/>
      <c r="H337" s="49" t="s">
        <v>1599</v>
      </c>
      <c r="I337" s="50" t="s">
        <v>1600</v>
      </c>
    </row>
    <row r="338" spans="1:9" ht="18.75" customHeight="1">
      <c r="A338" s="48" t="s">
        <v>163</v>
      </c>
      <c r="B338" s="48" t="s">
        <v>163</v>
      </c>
      <c r="C338" s="49" t="s">
        <v>1596</v>
      </c>
      <c r="D338" s="49" t="s">
        <v>1607</v>
      </c>
      <c r="E338" s="49" t="s">
        <v>1608</v>
      </c>
      <c r="F338" s="49"/>
      <c r="G338" s="49"/>
      <c r="H338" s="49" t="s">
        <v>1599</v>
      </c>
      <c r="I338" s="50" t="s">
        <v>1600</v>
      </c>
    </row>
    <row r="339" spans="1:9" ht="18.75" customHeight="1">
      <c r="A339" s="48" t="s">
        <v>180</v>
      </c>
      <c r="B339" s="48" t="s">
        <v>180</v>
      </c>
      <c r="C339" s="49" t="s">
        <v>1596</v>
      </c>
      <c r="D339" s="49" t="s">
        <v>1609</v>
      </c>
      <c r="E339" s="49" t="s">
        <v>1610</v>
      </c>
      <c r="F339" s="49"/>
      <c r="G339" s="49"/>
      <c r="H339" s="49" t="s">
        <v>1611</v>
      </c>
      <c r="I339" s="50" t="s">
        <v>1612</v>
      </c>
    </row>
    <row r="340" spans="1:9" ht="18.75" customHeight="1">
      <c r="A340" s="48" t="s">
        <v>180</v>
      </c>
      <c r="B340" s="48" t="s">
        <v>180</v>
      </c>
      <c r="C340" s="49" t="s">
        <v>1596</v>
      </c>
      <c r="D340" s="49" t="s">
        <v>1613</v>
      </c>
      <c r="E340" s="49" t="s">
        <v>1614</v>
      </c>
      <c r="F340" s="49"/>
      <c r="G340" s="49"/>
      <c r="H340" s="49" t="s">
        <v>1615</v>
      </c>
      <c r="I340" s="50" t="s">
        <v>1616</v>
      </c>
    </row>
    <row r="341" spans="1:9" ht="18.75" customHeight="1">
      <c r="A341" s="48" t="s">
        <v>192</v>
      </c>
      <c r="B341" s="48" t="s">
        <v>192</v>
      </c>
      <c r="C341" s="49" t="s">
        <v>1596</v>
      </c>
      <c r="D341" s="49" t="s">
        <v>1617</v>
      </c>
      <c r="E341" s="49" t="s">
        <v>1618</v>
      </c>
      <c r="F341" s="49"/>
      <c r="G341" s="49"/>
      <c r="H341" s="49" t="s">
        <v>1619</v>
      </c>
      <c r="I341" s="50" t="s">
        <v>1620</v>
      </c>
    </row>
    <row r="342" spans="1:9" ht="18.75" customHeight="1">
      <c r="A342" s="48" t="s">
        <v>192</v>
      </c>
      <c r="B342" s="48" t="s">
        <v>192</v>
      </c>
      <c r="C342" s="49" t="s">
        <v>1596</v>
      </c>
      <c r="D342" s="49" t="s">
        <v>1617</v>
      </c>
      <c r="E342" s="49"/>
      <c r="F342" s="49"/>
      <c r="G342" s="49"/>
      <c r="H342" s="49" t="s">
        <v>1480</v>
      </c>
      <c r="I342" s="50" t="s">
        <v>1481</v>
      </c>
    </row>
    <row r="343" spans="1:9" ht="18.75" customHeight="1">
      <c r="A343" s="48" t="s">
        <v>192</v>
      </c>
      <c r="B343" s="48" t="s">
        <v>192</v>
      </c>
      <c r="C343" s="49" t="s">
        <v>1596</v>
      </c>
      <c r="D343" s="49" t="s">
        <v>1621</v>
      </c>
      <c r="E343" s="49" t="s">
        <v>1622</v>
      </c>
      <c r="F343" s="49"/>
      <c r="G343" s="49"/>
      <c r="H343" s="49" t="s">
        <v>1619</v>
      </c>
      <c r="I343" s="50" t="s">
        <v>1620</v>
      </c>
    </row>
    <row r="344" spans="1:9" ht="18.75" customHeight="1">
      <c r="A344" s="48" t="s">
        <v>192</v>
      </c>
      <c r="B344" s="48" t="s">
        <v>192</v>
      </c>
      <c r="C344" s="49" t="s">
        <v>1596</v>
      </c>
      <c r="D344" s="49" t="s">
        <v>1621</v>
      </c>
      <c r="E344" s="49"/>
      <c r="F344" s="49"/>
      <c r="G344" s="49"/>
      <c r="H344" s="49" t="s">
        <v>1480</v>
      </c>
      <c r="I344" s="50" t="s">
        <v>1481</v>
      </c>
    </row>
    <row r="345" spans="1:9" ht="18.75" customHeight="1">
      <c r="A345" s="48" t="s">
        <v>192</v>
      </c>
      <c r="B345" s="48" t="s">
        <v>192</v>
      </c>
      <c r="C345" s="49" t="s">
        <v>1596</v>
      </c>
      <c r="D345" s="49" t="s">
        <v>1623</v>
      </c>
      <c r="E345" s="49" t="s">
        <v>1624</v>
      </c>
      <c r="F345" s="49"/>
      <c r="G345" s="49"/>
      <c r="H345" s="49" t="s">
        <v>840</v>
      </c>
      <c r="I345" s="50" t="s">
        <v>841</v>
      </c>
    </row>
    <row r="346" spans="1:9" ht="18.75" customHeight="1">
      <c r="A346" s="65" t="s">
        <v>365</v>
      </c>
      <c r="B346" s="65" t="s">
        <v>365</v>
      </c>
      <c r="C346" s="66" t="s">
        <v>1596</v>
      </c>
      <c r="D346" s="66" t="s">
        <v>1625</v>
      </c>
      <c r="E346" s="66" t="s">
        <v>1626</v>
      </c>
      <c r="F346" s="66"/>
      <c r="G346" s="66"/>
      <c r="H346" s="67" t="s">
        <v>1016</v>
      </c>
      <c r="I346" s="53" t="s">
        <v>1017</v>
      </c>
    </row>
    <row r="347" spans="1:9" ht="18.75" customHeight="1">
      <c r="A347" s="65" t="s">
        <v>365</v>
      </c>
      <c r="B347" s="65" t="s">
        <v>365</v>
      </c>
      <c r="C347" s="66" t="s">
        <v>1596</v>
      </c>
      <c r="D347" s="66" t="s">
        <v>1627</v>
      </c>
      <c r="E347" s="66" t="s">
        <v>1628</v>
      </c>
      <c r="F347" s="66"/>
      <c r="G347" s="66"/>
      <c r="H347" s="67" t="s">
        <v>1077</v>
      </c>
      <c r="I347" s="53" t="s">
        <v>1078</v>
      </c>
    </row>
    <row r="348" spans="1:9" ht="18.75" customHeight="1">
      <c r="A348" s="48" t="s">
        <v>453</v>
      </c>
      <c r="B348" s="48" t="s">
        <v>453</v>
      </c>
      <c r="C348" s="49" t="s">
        <v>1596</v>
      </c>
      <c r="D348" s="49" t="s">
        <v>1629</v>
      </c>
      <c r="E348" s="49" t="s">
        <v>1630</v>
      </c>
      <c r="F348" s="49"/>
      <c r="G348" s="49"/>
      <c r="H348" s="49" t="s">
        <v>1522</v>
      </c>
      <c r="I348" s="50" t="s">
        <v>1523</v>
      </c>
    </row>
    <row r="349" spans="1:9" ht="18.75" customHeight="1">
      <c r="A349" s="48" t="s">
        <v>453</v>
      </c>
      <c r="B349" s="48" t="s">
        <v>453</v>
      </c>
      <c r="C349" s="49" t="s">
        <v>1596</v>
      </c>
      <c r="D349" s="49" t="s">
        <v>1631</v>
      </c>
      <c r="E349" s="49" t="s">
        <v>1632</v>
      </c>
      <c r="F349" s="49"/>
      <c r="G349" s="49"/>
      <c r="H349" s="49" t="s">
        <v>1522</v>
      </c>
      <c r="I349" s="50" t="s">
        <v>1523</v>
      </c>
    </row>
    <row r="350" spans="1:9" ht="18.75" customHeight="1">
      <c r="A350" s="48" t="s">
        <v>453</v>
      </c>
      <c r="B350" s="48" t="s">
        <v>453</v>
      </c>
      <c r="C350" s="49" t="s">
        <v>1596</v>
      </c>
      <c r="D350" s="49" t="s">
        <v>1633</v>
      </c>
      <c r="E350" s="49" t="s">
        <v>1634</v>
      </c>
      <c r="F350" s="49"/>
      <c r="G350" s="49"/>
      <c r="H350" s="49" t="s">
        <v>1522</v>
      </c>
      <c r="I350" s="50" t="s">
        <v>1523</v>
      </c>
    </row>
    <row r="351" spans="1:9" ht="18.75" customHeight="1">
      <c r="A351" s="48" t="s">
        <v>453</v>
      </c>
      <c r="B351" s="48" t="s">
        <v>453</v>
      </c>
      <c r="C351" s="49" t="s">
        <v>1596</v>
      </c>
      <c r="D351" s="49" t="s">
        <v>1635</v>
      </c>
      <c r="E351" s="49" t="s">
        <v>1636</v>
      </c>
      <c r="F351" s="49"/>
      <c r="G351" s="49"/>
      <c r="H351" s="49" t="s">
        <v>1522</v>
      </c>
      <c r="I351" s="50" t="s">
        <v>1523</v>
      </c>
    </row>
    <row r="352" spans="1:9" ht="18.75" customHeight="1">
      <c r="A352" s="48" t="s">
        <v>453</v>
      </c>
      <c r="B352" s="48" t="s">
        <v>453</v>
      </c>
      <c r="C352" s="49" t="s">
        <v>1596</v>
      </c>
      <c r="D352" s="49" t="s">
        <v>1637</v>
      </c>
      <c r="E352" s="49" t="s">
        <v>1638</v>
      </c>
      <c r="F352" s="49"/>
      <c r="G352" s="49"/>
      <c r="H352" s="49" t="s">
        <v>1522</v>
      </c>
      <c r="I352" s="50" t="s">
        <v>1523</v>
      </c>
    </row>
    <row r="353" spans="1:9" ht="18.75" customHeight="1">
      <c r="A353" s="48" t="s">
        <v>453</v>
      </c>
      <c r="B353" s="48" t="s">
        <v>453</v>
      </c>
      <c r="C353" s="49" t="s">
        <v>1596</v>
      </c>
      <c r="D353" s="49" t="s">
        <v>1639</v>
      </c>
      <c r="E353" s="49" t="s">
        <v>1640</v>
      </c>
      <c r="F353" s="49"/>
      <c r="G353" s="49"/>
      <c r="H353" s="49" t="s">
        <v>1522</v>
      </c>
      <c r="I353" s="50" t="s">
        <v>1523</v>
      </c>
    </row>
    <row r="354" spans="1:9" ht="18.75" customHeight="1">
      <c r="A354" s="48" t="s">
        <v>453</v>
      </c>
      <c r="B354" s="48" t="s">
        <v>453</v>
      </c>
      <c r="C354" s="49" t="s">
        <v>1596</v>
      </c>
      <c r="D354" s="49" t="s">
        <v>1641</v>
      </c>
      <c r="E354" s="49" t="s">
        <v>1642</v>
      </c>
      <c r="F354" s="49"/>
      <c r="G354" s="49"/>
      <c r="H354" s="49" t="s">
        <v>1522</v>
      </c>
      <c r="I354" s="50" t="s">
        <v>1523</v>
      </c>
    </row>
    <row r="355" spans="1:9" ht="18.75" customHeight="1">
      <c r="A355" s="48" t="s">
        <v>453</v>
      </c>
      <c r="B355" s="48" t="s">
        <v>453</v>
      </c>
      <c r="C355" s="49" t="s">
        <v>1596</v>
      </c>
      <c r="D355" s="49" t="s">
        <v>1643</v>
      </c>
      <c r="E355" s="49" t="s">
        <v>1644</v>
      </c>
      <c r="F355" s="49"/>
      <c r="G355" s="49"/>
      <c r="H355" s="49" t="s">
        <v>1522</v>
      </c>
      <c r="I355" s="50" t="s">
        <v>1523</v>
      </c>
    </row>
    <row r="356" spans="1:9" ht="18.75" customHeight="1">
      <c r="A356" s="48" t="s">
        <v>453</v>
      </c>
      <c r="B356" s="48" t="s">
        <v>453</v>
      </c>
      <c r="C356" s="49" t="s">
        <v>1596</v>
      </c>
      <c r="D356" s="49" t="s">
        <v>1645</v>
      </c>
      <c r="E356" s="49" t="s">
        <v>1646</v>
      </c>
      <c r="F356" s="49"/>
      <c r="G356" s="49"/>
      <c r="H356" s="49" t="s">
        <v>1522</v>
      </c>
      <c r="I356" s="50" t="s">
        <v>1523</v>
      </c>
    </row>
    <row r="357" spans="1:9" ht="18.75" customHeight="1">
      <c r="A357" s="48" t="s">
        <v>453</v>
      </c>
      <c r="B357" s="48" t="s">
        <v>453</v>
      </c>
      <c r="C357" s="49" t="s">
        <v>1596</v>
      </c>
      <c r="D357" s="49" t="s">
        <v>1647</v>
      </c>
      <c r="E357" s="49" t="s">
        <v>1648</v>
      </c>
      <c r="F357" s="49"/>
      <c r="G357" s="49"/>
      <c r="H357" s="49" t="s">
        <v>1522</v>
      </c>
      <c r="I357" s="50" t="s">
        <v>1523</v>
      </c>
    </row>
    <row r="358" spans="1:9" ht="18.75" customHeight="1">
      <c r="A358" s="48" t="s">
        <v>453</v>
      </c>
      <c r="B358" s="48" t="s">
        <v>453</v>
      </c>
      <c r="C358" s="49" t="s">
        <v>1596</v>
      </c>
      <c r="D358" s="49" t="s">
        <v>1649</v>
      </c>
      <c r="E358" s="49" t="s">
        <v>1648</v>
      </c>
      <c r="F358" s="49"/>
      <c r="G358" s="49"/>
      <c r="H358" s="49" t="s">
        <v>1522</v>
      </c>
      <c r="I358" s="50" t="s">
        <v>1523</v>
      </c>
    </row>
    <row r="359" spans="1:9" ht="18.75" customHeight="1">
      <c r="A359" s="48" t="s">
        <v>453</v>
      </c>
      <c r="B359" s="48" t="s">
        <v>453</v>
      </c>
      <c r="C359" s="49" t="s">
        <v>1596</v>
      </c>
      <c r="D359" s="49" t="s">
        <v>1650</v>
      </c>
      <c r="E359" s="49" t="s">
        <v>1651</v>
      </c>
      <c r="F359" s="49"/>
      <c r="G359" s="49"/>
      <c r="H359" s="49" t="s">
        <v>1550</v>
      </c>
      <c r="I359" s="50" t="s">
        <v>1551</v>
      </c>
    </row>
    <row r="360" spans="1:9" ht="18.75" customHeight="1">
      <c r="A360" s="48" t="s">
        <v>453</v>
      </c>
      <c r="B360" s="48" t="s">
        <v>453</v>
      </c>
      <c r="C360" s="49" t="s">
        <v>1596</v>
      </c>
      <c r="D360" s="49" t="s">
        <v>1652</v>
      </c>
      <c r="E360" s="49" t="s">
        <v>1651</v>
      </c>
      <c r="F360" s="49"/>
      <c r="G360" s="49"/>
      <c r="H360" s="49" t="s">
        <v>1550</v>
      </c>
      <c r="I360" s="50" t="s">
        <v>1551</v>
      </c>
    </row>
    <row r="361" spans="1:9" ht="18.75" customHeight="1">
      <c r="A361" s="48" t="s">
        <v>453</v>
      </c>
      <c r="B361" s="48" t="s">
        <v>453</v>
      </c>
      <c r="C361" s="49" t="s">
        <v>1596</v>
      </c>
      <c r="D361" s="63" t="s">
        <v>1653</v>
      </c>
      <c r="E361" s="49" t="s">
        <v>1654</v>
      </c>
      <c r="F361" s="49"/>
      <c r="G361" s="49"/>
      <c r="H361" s="49" t="s">
        <v>1550</v>
      </c>
      <c r="I361" s="50" t="s">
        <v>1551</v>
      </c>
    </row>
    <row r="362" spans="1:9" ht="18.75" customHeight="1">
      <c r="A362" s="48" t="s">
        <v>453</v>
      </c>
      <c r="B362" s="48" t="s">
        <v>453</v>
      </c>
      <c r="C362" s="49" t="s">
        <v>1596</v>
      </c>
      <c r="D362" s="49" t="s">
        <v>1655</v>
      </c>
      <c r="E362" s="49" t="s">
        <v>1654</v>
      </c>
      <c r="F362" s="49"/>
      <c r="G362" s="49"/>
      <c r="H362" s="49" t="s">
        <v>1550</v>
      </c>
      <c r="I362" s="50" t="s">
        <v>1551</v>
      </c>
    </row>
    <row r="363" spans="1:9" ht="18.75" customHeight="1">
      <c r="A363" s="62" t="s">
        <v>533</v>
      </c>
      <c r="B363" s="48" t="s">
        <v>533</v>
      </c>
      <c r="C363" s="49" t="s">
        <v>1596</v>
      </c>
      <c r="D363" s="63" t="s">
        <v>1656</v>
      </c>
      <c r="E363" s="63" t="s">
        <v>1657</v>
      </c>
      <c r="F363" s="49"/>
      <c r="G363" s="49"/>
      <c r="H363" s="49" t="s">
        <v>1658</v>
      </c>
      <c r="I363" s="50" t="s">
        <v>1659</v>
      </c>
    </row>
    <row r="364" spans="1:9" ht="18.75" customHeight="1">
      <c r="A364" s="62" t="s">
        <v>533</v>
      </c>
      <c r="B364" s="48" t="s">
        <v>533</v>
      </c>
      <c r="C364" s="49" t="s">
        <v>1596</v>
      </c>
      <c r="D364" s="63" t="s">
        <v>1656</v>
      </c>
      <c r="E364" s="63" t="s">
        <v>1660</v>
      </c>
      <c r="F364" s="49"/>
      <c r="G364" s="49"/>
      <c r="H364" s="49" t="s">
        <v>1661</v>
      </c>
      <c r="I364" s="50" t="s">
        <v>1662</v>
      </c>
    </row>
    <row r="365" spans="1:9" ht="18.75" customHeight="1">
      <c r="A365" s="62" t="s">
        <v>533</v>
      </c>
      <c r="B365" s="48" t="s">
        <v>533</v>
      </c>
      <c r="C365" s="49" t="s">
        <v>1596</v>
      </c>
      <c r="D365" s="49" t="s">
        <v>1663</v>
      </c>
      <c r="E365" s="63" t="s">
        <v>1664</v>
      </c>
      <c r="F365" s="49"/>
      <c r="G365" s="49"/>
      <c r="H365" s="49" t="s">
        <v>793</v>
      </c>
      <c r="I365" s="50" t="s">
        <v>1665</v>
      </c>
    </row>
    <row r="366" spans="1:9" ht="18.75" customHeight="1">
      <c r="A366" s="62" t="s">
        <v>533</v>
      </c>
      <c r="B366" s="48" t="s">
        <v>533</v>
      </c>
      <c r="C366" s="49" t="s">
        <v>1596</v>
      </c>
      <c r="D366" s="49" t="s">
        <v>1666</v>
      </c>
      <c r="E366" s="49" t="s">
        <v>1667</v>
      </c>
      <c r="F366" s="49"/>
      <c r="G366" s="49"/>
      <c r="H366" s="49" t="s">
        <v>1668</v>
      </c>
      <c r="I366" s="50" t="s">
        <v>1669</v>
      </c>
    </row>
    <row r="367" spans="1:9" ht="18.75" customHeight="1">
      <c r="A367" s="62" t="s">
        <v>533</v>
      </c>
      <c r="B367" s="48" t="s">
        <v>533</v>
      </c>
      <c r="C367" s="49" t="s">
        <v>1596</v>
      </c>
      <c r="D367" s="49" t="s">
        <v>1635</v>
      </c>
      <c r="E367" s="49" t="s">
        <v>1670</v>
      </c>
      <c r="F367" s="49"/>
      <c r="G367" s="49"/>
      <c r="H367" s="49" t="s">
        <v>1671</v>
      </c>
      <c r="I367" s="50" t="s">
        <v>1672</v>
      </c>
    </row>
    <row r="368" spans="1:9" ht="18.75" customHeight="1">
      <c r="A368" s="62" t="s">
        <v>533</v>
      </c>
      <c r="B368" s="48" t="s">
        <v>533</v>
      </c>
      <c r="C368" s="49" t="s">
        <v>1596</v>
      </c>
      <c r="D368" s="49" t="s">
        <v>1673</v>
      </c>
      <c r="E368" s="49" t="s">
        <v>1674</v>
      </c>
      <c r="F368" s="49"/>
      <c r="G368" s="49"/>
      <c r="H368" s="49" t="s">
        <v>1675</v>
      </c>
      <c r="I368" s="50" t="s">
        <v>1676</v>
      </c>
    </row>
    <row r="369" spans="1:9" ht="18.75" customHeight="1">
      <c r="A369" s="62" t="s">
        <v>533</v>
      </c>
      <c r="B369" s="48" t="s">
        <v>533</v>
      </c>
      <c r="C369" s="49" t="s">
        <v>1596</v>
      </c>
      <c r="D369" s="49" t="s">
        <v>1677</v>
      </c>
      <c r="E369" s="49" t="s">
        <v>1678</v>
      </c>
      <c r="F369" s="49"/>
      <c r="G369" s="49"/>
      <c r="H369" s="49" t="s">
        <v>1679</v>
      </c>
      <c r="I369" s="50" t="s">
        <v>1680</v>
      </c>
    </row>
    <row r="370" spans="1:9" ht="18.75" customHeight="1">
      <c r="A370" s="62" t="s">
        <v>533</v>
      </c>
      <c r="B370" s="48" t="s">
        <v>533</v>
      </c>
      <c r="C370" s="49" t="s">
        <v>1596</v>
      </c>
      <c r="D370" s="63" t="s">
        <v>1681</v>
      </c>
      <c r="E370" s="63" t="s">
        <v>1682</v>
      </c>
      <c r="F370" s="49"/>
      <c r="G370" s="49"/>
      <c r="H370" s="49" t="s">
        <v>1658</v>
      </c>
      <c r="I370" s="50" t="s">
        <v>1659</v>
      </c>
    </row>
    <row r="371" spans="1:9" ht="18.75" customHeight="1">
      <c r="A371" s="62" t="s">
        <v>533</v>
      </c>
      <c r="B371" s="48" t="s">
        <v>533</v>
      </c>
      <c r="C371" s="49" t="s">
        <v>1596</v>
      </c>
      <c r="D371" s="49" t="s">
        <v>1645</v>
      </c>
      <c r="E371" s="49" t="s">
        <v>1683</v>
      </c>
      <c r="F371" s="49"/>
      <c r="G371" s="49"/>
      <c r="H371" s="49" t="s">
        <v>1679</v>
      </c>
      <c r="I371" s="50" t="s">
        <v>1680</v>
      </c>
    </row>
    <row r="372" spans="1:9" ht="18.75" customHeight="1">
      <c r="A372" s="62" t="s">
        <v>533</v>
      </c>
      <c r="B372" s="48" t="s">
        <v>533</v>
      </c>
      <c r="C372" s="49" t="s">
        <v>1596</v>
      </c>
      <c r="D372" s="63" t="s">
        <v>1684</v>
      </c>
      <c r="E372" s="63" t="s">
        <v>1685</v>
      </c>
      <c r="F372" s="49"/>
      <c r="G372" s="49"/>
      <c r="H372" s="49" t="s">
        <v>1686</v>
      </c>
      <c r="I372" s="50" t="s">
        <v>1687</v>
      </c>
    </row>
    <row r="373" spans="1:9" ht="18.75" customHeight="1">
      <c r="A373" s="62" t="s">
        <v>533</v>
      </c>
      <c r="B373" s="48" t="s">
        <v>533</v>
      </c>
      <c r="C373" s="49" t="s">
        <v>1596</v>
      </c>
      <c r="D373" s="49" t="s">
        <v>1688</v>
      </c>
      <c r="E373" s="63" t="s">
        <v>1689</v>
      </c>
      <c r="F373" s="49"/>
      <c r="G373" s="49"/>
      <c r="H373" s="49" t="s">
        <v>1686</v>
      </c>
      <c r="I373" s="50" t="s">
        <v>1687</v>
      </c>
    </row>
    <row r="374" spans="1:9" ht="18.75" customHeight="1">
      <c r="A374" s="62" t="s">
        <v>533</v>
      </c>
      <c r="B374" s="48" t="s">
        <v>533</v>
      </c>
      <c r="C374" s="49" t="s">
        <v>1596</v>
      </c>
      <c r="D374" s="49" t="s">
        <v>1690</v>
      </c>
      <c r="E374" s="63" t="s">
        <v>1691</v>
      </c>
      <c r="F374" s="49"/>
      <c r="G374" s="49"/>
      <c r="H374" s="49" t="s">
        <v>1686</v>
      </c>
      <c r="I374" s="50" t="s">
        <v>1687</v>
      </c>
    </row>
    <row r="375" spans="1:9" ht="15.75" customHeight="1">
      <c r="A375" s="62" t="s">
        <v>533</v>
      </c>
      <c r="B375" s="48" t="s">
        <v>533</v>
      </c>
      <c r="C375" s="49" t="s">
        <v>1596</v>
      </c>
      <c r="D375" s="49" t="s">
        <v>1603</v>
      </c>
      <c r="E375" s="49" t="s">
        <v>1692</v>
      </c>
      <c r="F375" s="49"/>
      <c r="G375" s="49"/>
      <c r="H375" s="49" t="s">
        <v>1693</v>
      </c>
      <c r="I375" s="50" t="s">
        <v>1694</v>
      </c>
    </row>
    <row r="376" spans="1:9" ht="18.75" customHeight="1">
      <c r="A376" s="48"/>
      <c r="B376" s="48"/>
      <c r="C376" s="49"/>
      <c r="D376" s="49"/>
      <c r="E376" s="49"/>
      <c r="F376" s="49"/>
      <c r="G376" s="49"/>
      <c r="H376" s="49"/>
      <c r="I376" s="78"/>
    </row>
    <row r="377" spans="1:9" ht="18.75" customHeight="1">
      <c r="A377" s="48"/>
      <c r="B377" s="48"/>
      <c r="C377" s="49"/>
      <c r="D377" s="49"/>
      <c r="E377" s="49"/>
      <c r="F377" s="49"/>
      <c r="G377" s="49"/>
      <c r="H377" s="49"/>
      <c r="I377" s="78"/>
    </row>
    <row r="378" spans="1:9" ht="18.75" customHeight="1">
      <c r="A378" s="48"/>
      <c r="B378" s="48"/>
      <c r="C378" s="49"/>
      <c r="D378" s="49"/>
      <c r="E378" s="49"/>
      <c r="F378" s="49"/>
      <c r="G378" s="49"/>
      <c r="H378" s="49"/>
      <c r="I378" s="78"/>
    </row>
    <row r="379" spans="1:9" ht="18.75" customHeight="1">
      <c r="A379" s="48"/>
      <c r="B379" s="48"/>
      <c r="C379" s="49"/>
      <c r="D379" s="49"/>
      <c r="E379" s="49"/>
      <c r="F379" s="49"/>
      <c r="G379" s="49"/>
      <c r="H379" s="49"/>
      <c r="I379" s="78"/>
    </row>
    <row r="380" spans="1:9" ht="18.75" customHeight="1">
      <c r="A380" s="48"/>
      <c r="B380" s="48"/>
      <c r="C380" s="49"/>
      <c r="D380" s="49"/>
      <c r="E380" s="49"/>
      <c r="F380" s="49"/>
      <c r="G380" s="49"/>
      <c r="H380" s="49"/>
      <c r="I380" s="78"/>
    </row>
    <row r="381" spans="1:9" ht="18.75" customHeight="1">
      <c r="A381" s="48"/>
      <c r="B381" s="48"/>
      <c r="C381" s="49"/>
      <c r="D381" s="49"/>
      <c r="E381" s="49"/>
      <c r="F381" s="49"/>
      <c r="G381" s="49"/>
      <c r="H381" s="49"/>
      <c r="I381" s="78"/>
    </row>
    <row r="382" spans="1:9" ht="18.75" customHeight="1">
      <c r="A382" s="48"/>
      <c r="B382" s="48"/>
      <c r="C382" s="49"/>
      <c r="D382" s="49"/>
      <c r="E382" s="49"/>
      <c r="F382" s="49"/>
      <c r="G382" s="49"/>
      <c r="H382" s="49"/>
      <c r="I382" s="78"/>
    </row>
    <row r="383" spans="1:9" ht="18.75" customHeight="1">
      <c r="A383" s="48"/>
      <c r="B383" s="48"/>
      <c r="C383" s="49"/>
      <c r="D383" s="49"/>
      <c r="E383" s="49"/>
      <c r="F383" s="49"/>
      <c r="G383" s="49"/>
      <c r="H383" s="49"/>
      <c r="I383" s="78"/>
    </row>
    <row r="384" spans="1:9" ht="18.75" customHeight="1">
      <c r="A384" s="48"/>
      <c r="B384" s="48"/>
      <c r="C384" s="49"/>
      <c r="D384" s="49"/>
      <c r="E384" s="49"/>
      <c r="F384" s="49"/>
      <c r="G384" s="49"/>
      <c r="H384" s="49"/>
      <c r="I384" s="78"/>
    </row>
    <row r="385" spans="1:9" ht="18.75" customHeight="1">
      <c r="A385" s="48"/>
      <c r="B385" s="48"/>
      <c r="C385" s="49"/>
      <c r="D385" s="49"/>
      <c r="E385" s="49"/>
      <c r="F385" s="49"/>
      <c r="G385" s="49"/>
      <c r="H385" s="49"/>
      <c r="I385" s="78"/>
    </row>
    <row r="386" spans="1:9" ht="18.75" customHeight="1">
      <c r="A386" s="48"/>
      <c r="B386" s="48"/>
      <c r="C386" s="49"/>
      <c r="D386" s="49"/>
      <c r="E386" s="49"/>
      <c r="F386" s="49"/>
      <c r="G386" s="49"/>
      <c r="H386" s="49"/>
      <c r="I386" s="78"/>
    </row>
    <row r="387" spans="1:9" ht="18.75" customHeight="1">
      <c r="A387" s="48"/>
      <c r="B387" s="48"/>
      <c r="C387" s="49"/>
      <c r="D387" s="49"/>
      <c r="E387" s="49"/>
      <c r="F387" s="49"/>
      <c r="G387" s="49"/>
      <c r="H387" s="49"/>
      <c r="I387" s="78"/>
    </row>
    <row r="388" spans="1:9" ht="18.75" customHeight="1">
      <c r="A388" s="48"/>
      <c r="B388" s="48"/>
      <c r="C388" s="49"/>
      <c r="D388" s="49"/>
      <c r="E388" s="49"/>
      <c r="F388" s="49"/>
      <c r="G388" s="49"/>
      <c r="H388" s="49"/>
      <c r="I388" s="78"/>
    </row>
    <row r="389" spans="1:9" ht="18.75" customHeight="1">
      <c r="A389" s="48"/>
      <c r="B389" s="48"/>
      <c r="C389" s="49"/>
      <c r="D389" s="49"/>
      <c r="E389" s="49"/>
      <c r="F389" s="49"/>
      <c r="G389" s="49"/>
      <c r="H389" s="49"/>
      <c r="I389" s="78"/>
    </row>
    <row r="390" spans="1:9" ht="18.75" customHeight="1">
      <c r="A390" s="48"/>
      <c r="B390" s="48"/>
      <c r="C390" s="49"/>
      <c r="D390" s="49"/>
      <c r="E390" s="49"/>
      <c r="F390" s="49"/>
      <c r="G390" s="49"/>
      <c r="H390" s="49"/>
      <c r="I390" s="78"/>
    </row>
    <row r="391" spans="1:9" ht="18.75" customHeight="1">
      <c r="A391" s="48"/>
      <c r="B391" s="48"/>
      <c r="C391" s="49"/>
      <c r="D391" s="49"/>
      <c r="E391" s="49"/>
      <c r="F391" s="49"/>
      <c r="G391" s="49"/>
      <c r="H391" s="49"/>
      <c r="I391" s="78"/>
    </row>
    <row r="392" spans="1:9" ht="18.75" customHeight="1">
      <c r="A392" s="48"/>
      <c r="B392" s="48"/>
      <c r="C392" s="49"/>
      <c r="D392" s="49"/>
      <c r="E392" s="49"/>
      <c r="F392" s="49"/>
      <c r="G392" s="49"/>
      <c r="H392" s="49"/>
      <c r="I392" s="78"/>
    </row>
    <row r="393" spans="1:9" ht="18.75" customHeight="1">
      <c r="A393" s="48"/>
      <c r="B393" s="48"/>
      <c r="C393" s="49"/>
      <c r="D393" s="49"/>
      <c r="E393" s="49"/>
      <c r="F393" s="49"/>
      <c r="G393" s="49"/>
      <c r="H393" s="49"/>
      <c r="I393" s="78"/>
    </row>
    <row r="394" spans="1:9" ht="18.75" customHeight="1">
      <c r="A394" s="48"/>
      <c r="B394" s="48"/>
      <c r="C394" s="49"/>
      <c r="D394" s="49"/>
      <c r="E394" s="49"/>
      <c r="F394" s="49"/>
      <c r="G394" s="49"/>
      <c r="H394" s="49"/>
      <c r="I394" s="78"/>
    </row>
    <row r="395" spans="1:9" ht="18.75" customHeight="1">
      <c r="A395" s="48"/>
      <c r="B395" s="48"/>
      <c r="C395" s="49"/>
      <c r="D395" s="49"/>
      <c r="E395" s="49"/>
      <c r="F395" s="49"/>
      <c r="G395" s="49"/>
      <c r="H395" s="49"/>
      <c r="I395" s="78"/>
    </row>
    <row r="396" spans="1:9" ht="18.75" customHeight="1">
      <c r="A396" s="48"/>
      <c r="B396" s="48"/>
      <c r="C396" s="49"/>
      <c r="D396" s="49"/>
      <c r="E396" s="49"/>
      <c r="F396" s="49"/>
      <c r="G396" s="49"/>
      <c r="H396" s="49"/>
      <c r="I396" s="78"/>
    </row>
    <row r="397" spans="1:9" ht="18.75" customHeight="1">
      <c r="A397" s="48"/>
      <c r="B397" s="48"/>
      <c r="C397" s="49"/>
      <c r="D397" s="49"/>
      <c r="E397" s="49"/>
      <c r="F397" s="49"/>
      <c r="G397" s="49"/>
      <c r="H397" s="49"/>
      <c r="I397" s="78"/>
    </row>
    <row r="398" spans="1:9" ht="18.75" customHeight="1">
      <c r="A398" s="48"/>
      <c r="B398" s="48"/>
      <c r="C398" s="49"/>
      <c r="D398" s="49"/>
      <c r="E398" s="49"/>
      <c r="F398" s="49"/>
      <c r="G398" s="49"/>
      <c r="H398" s="49"/>
      <c r="I398" s="78"/>
    </row>
    <row r="399" spans="1:9" ht="18.75" customHeight="1">
      <c r="A399" s="48"/>
      <c r="B399" s="48"/>
      <c r="C399" s="49"/>
      <c r="D399" s="49"/>
      <c r="E399" s="49"/>
      <c r="F399" s="49"/>
      <c r="G399" s="49"/>
      <c r="H399" s="49"/>
      <c r="I399" s="78"/>
    </row>
    <row r="400" spans="1:9" ht="18.75" customHeight="1">
      <c r="A400" s="48"/>
      <c r="B400" s="48"/>
      <c r="C400" s="49"/>
      <c r="D400" s="49"/>
      <c r="E400" s="49"/>
      <c r="F400" s="49"/>
      <c r="G400" s="49"/>
      <c r="H400" s="49"/>
      <c r="I400" s="78"/>
    </row>
    <row r="401" spans="1:9" ht="18.75" customHeight="1">
      <c r="A401" s="48"/>
      <c r="B401" s="48"/>
      <c r="C401" s="49"/>
      <c r="D401" s="49"/>
      <c r="E401" s="49"/>
      <c r="F401" s="49"/>
      <c r="G401" s="49"/>
      <c r="H401" s="49"/>
      <c r="I401" s="78"/>
    </row>
    <row r="402" spans="1:9" ht="18.75" customHeight="1">
      <c r="A402" s="48"/>
      <c r="B402" s="48"/>
      <c r="C402" s="49"/>
      <c r="D402" s="49"/>
      <c r="E402" s="49"/>
      <c r="F402" s="49"/>
      <c r="G402" s="49"/>
      <c r="H402" s="49"/>
      <c r="I402" s="78"/>
    </row>
    <row r="403" spans="1:9" ht="18.75" customHeight="1">
      <c r="A403" s="48"/>
      <c r="B403" s="48"/>
      <c r="C403" s="49"/>
      <c r="D403" s="49"/>
      <c r="E403" s="49"/>
      <c r="F403" s="49"/>
      <c r="G403" s="49"/>
      <c r="H403" s="49"/>
      <c r="I403" s="78"/>
    </row>
    <row r="404" spans="1:9" ht="18.75" customHeight="1">
      <c r="A404" s="48"/>
      <c r="B404" s="48"/>
      <c r="C404" s="49"/>
      <c r="D404" s="49"/>
      <c r="E404" s="49"/>
      <c r="F404" s="49"/>
      <c r="G404" s="49"/>
      <c r="H404" s="49"/>
      <c r="I404" s="78"/>
    </row>
    <row r="405" spans="1:9" ht="18.75" customHeight="1">
      <c r="A405" s="48"/>
      <c r="B405" s="48"/>
      <c r="C405" s="49"/>
      <c r="D405" s="49"/>
      <c r="E405" s="49"/>
      <c r="F405" s="49"/>
      <c r="G405" s="49"/>
      <c r="H405" s="49"/>
      <c r="I405" s="78"/>
    </row>
    <row r="406" spans="1:9" ht="18.75" customHeight="1">
      <c r="A406" s="48"/>
      <c r="B406" s="48"/>
      <c r="C406" s="49"/>
      <c r="D406" s="49"/>
      <c r="E406" s="49"/>
      <c r="F406" s="49"/>
      <c r="G406" s="49"/>
      <c r="H406" s="49"/>
      <c r="I406" s="78"/>
    </row>
    <row r="407" spans="1:9" ht="18.75" customHeight="1">
      <c r="A407" s="48"/>
      <c r="B407" s="48"/>
      <c r="C407" s="49"/>
      <c r="D407" s="49"/>
      <c r="E407" s="49"/>
      <c r="F407" s="49"/>
      <c r="G407" s="49"/>
      <c r="H407" s="49"/>
      <c r="I407" s="78"/>
    </row>
    <row r="408" spans="1:9" ht="18.75" customHeight="1">
      <c r="A408" s="48"/>
      <c r="B408" s="48"/>
      <c r="C408" s="49"/>
      <c r="D408" s="49"/>
      <c r="E408" s="49"/>
      <c r="F408" s="49"/>
      <c r="G408" s="49"/>
      <c r="H408" s="49"/>
      <c r="I408" s="78"/>
    </row>
    <row r="409" spans="1:9" ht="18.75" customHeight="1">
      <c r="A409" s="48"/>
      <c r="B409" s="48"/>
      <c r="C409" s="49"/>
      <c r="D409" s="49"/>
      <c r="E409" s="49"/>
      <c r="F409" s="49"/>
      <c r="G409" s="49"/>
      <c r="H409" s="49"/>
      <c r="I409" s="78"/>
    </row>
    <row r="410" spans="1:9" ht="18.75" customHeight="1">
      <c r="A410" s="48"/>
      <c r="B410" s="48"/>
      <c r="C410" s="49"/>
      <c r="D410" s="49"/>
      <c r="E410" s="49"/>
      <c r="F410" s="49"/>
      <c r="G410" s="49"/>
      <c r="H410" s="49"/>
      <c r="I410" s="78"/>
    </row>
    <row r="411" spans="1:9" ht="18.75" customHeight="1">
      <c r="A411" s="48"/>
      <c r="B411" s="48"/>
      <c r="C411" s="49"/>
      <c r="D411" s="49"/>
      <c r="E411" s="49"/>
      <c r="F411" s="49"/>
      <c r="G411" s="49"/>
      <c r="H411" s="49"/>
      <c r="I411" s="78"/>
    </row>
    <row r="412" spans="1:9" ht="18.75" customHeight="1">
      <c r="A412" s="48"/>
      <c r="B412" s="48"/>
      <c r="C412" s="49"/>
      <c r="D412" s="49"/>
      <c r="E412" s="49"/>
      <c r="F412" s="49"/>
      <c r="G412" s="49"/>
      <c r="H412" s="49"/>
      <c r="I412" s="78"/>
    </row>
    <row r="413" spans="1:9" ht="18.75" customHeight="1">
      <c r="A413" s="48"/>
      <c r="B413" s="48"/>
      <c r="C413" s="49"/>
      <c r="D413" s="49"/>
      <c r="E413" s="49"/>
      <c r="F413" s="49"/>
      <c r="G413" s="49"/>
      <c r="H413" s="49"/>
      <c r="I413" s="78"/>
    </row>
    <row r="414" spans="1:9" ht="18.75" customHeight="1">
      <c r="A414" s="48"/>
      <c r="B414" s="48"/>
      <c r="C414" s="49"/>
      <c r="D414" s="49"/>
      <c r="E414" s="49"/>
      <c r="F414" s="49"/>
      <c r="G414" s="49"/>
      <c r="H414" s="49"/>
      <c r="I414" s="78"/>
    </row>
    <row r="415" spans="1:9" ht="18.75" customHeight="1">
      <c r="A415" s="48"/>
      <c r="B415" s="48"/>
      <c r="C415" s="49"/>
      <c r="D415" s="49"/>
      <c r="E415" s="49"/>
      <c r="F415" s="49"/>
      <c r="G415" s="49"/>
      <c r="H415" s="49"/>
      <c r="I415" s="78"/>
    </row>
    <row r="416" spans="1:9" ht="18.75" customHeight="1">
      <c r="A416" s="48"/>
      <c r="B416" s="48"/>
      <c r="C416" s="49"/>
      <c r="D416" s="49"/>
      <c r="E416" s="49"/>
      <c r="F416" s="49"/>
      <c r="G416" s="49"/>
      <c r="H416" s="49"/>
      <c r="I416" s="78"/>
    </row>
    <row r="417" spans="1:9" ht="18.75" customHeight="1">
      <c r="A417" s="48"/>
      <c r="B417" s="48"/>
      <c r="C417" s="49"/>
      <c r="D417" s="49"/>
      <c r="E417" s="49"/>
      <c r="F417" s="49"/>
      <c r="G417" s="49"/>
      <c r="H417" s="49"/>
      <c r="I417" s="78"/>
    </row>
    <row r="418" spans="1:9" ht="18.75" customHeight="1">
      <c r="A418" s="48"/>
      <c r="B418" s="48"/>
      <c r="C418" s="49"/>
      <c r="D418" s="49"/>
      <c r="E418" s="49"/>
      <c r="F418" s="49"/>
      <c r="G418" s="49"/>
      <c r="H418" s="49"/>
      <c r="I418" s="78"/>
    </row>
    <row r="419" spans="1:9" ht="18.75" customHeight="1">
      <c r="A419" s="48"/>
      <c r="B419" s="48"/>
      <c r="C419" s="49"/>
      <c r="D419" s="49"/>
      <c r="E419" s="49"/>
      <c r="F419" s="49"/>
      <c r="G419" s="49"/>
      <c r="H419" s="49"/>
      <c r="I419" s="78"/>
    </row>
    <row r="420" spans="1:9" ht="18.75" customHeight="1">
      <c r="A420" s="48"/>
      <c r="B420" s="48"/>
      <c r="C420" s="49"/>
      <c r="D420" s="49"/>
      <c r="E420" s="49"/>
      <c r="F420" s="49"/>
      <c r="G420" s="49"/>
      <c r="H420" s="49"/>
      <c r="I420" s="78"/>
    </row>
    <row r="421" spans="1:9" ht="18.75" customHeight="1">
      <c r="A421" s="48"/>
      <c r="B421" s="48"/>
      <c r="C421" s="49"/>
      <c r="D421" s="49"/>
      <c r="E421" s="49"/>
      <c r="F421" s="49"/>
      <c r="G421" s="49"/>
      <c r="H421" s="49"/>
      <c r="I421" s="78"/>
    </row>
    <row r="422" spans="1:9" ht="18.75" customHeight="1">
      <c r="A422" s="48"/>
      <c r="B422" s="48"/>
      <c r="C422" s="49"/>
      <c r="D422" s="49"/>
      <c r="E422" s="49"/>
      <c r="F422" s="49"/>
      <c r="G422" s="49"/>
      <c r="H422" s="49"/>
      <c r="I422" s="78"/>
    </row>
    <row r="423" spans="1:9" ht="18.75" customHeight="1">
      <c r="A423" s="48"/>
      <c r="B423" s="48"/>
      <c r="C423" s="49"/>
      <c r="D423" s="49"/>
      <c r="E423" s="49"/>
      <c r="F423" s="49"/>
      <c r="G423" s="49"/>
      <c r="H423" s="49"/>
      <c r="I423" s="78"/>
    </row>
    <row r="424" spans="1:9" ht="18.75" customHeight="1">
      <c r="A424" s="48"/>
      <c r="B424" s="48"/>
      <c r="C424" s="49"/>
      <c r="D424" s="49"/>
      <c r="E424" s="49"/>
      <c r="F424" s="49"/>
      <c r="G424" s="49"/>
      <c r="H424" s="49"/>
      <c r="I424" s="78"/>
    </row>
    <row r="425" spans="1:9" ht="18.75" customHeight="1">
      <c r="A425" s="48"/>
      <c r="B425" s="48"/>
      <c r="C425" s="49"/>
      <c r="D425" s="49"/>
      <c r="E425" s="49"/>
      <c r="F425" s="49"/>
      <c r="G425" s="49"/>
      <c r="H425" s="49"/>
      <c r="I425" s="78"/>
    </row>
    <row r="426" spans="1:9" ht="18.75" customHeight="1">
      <c r="A426" s="48"/>
      <c r="B426" s="48"/>
      <c r="C426" s="49"/>
      <c r="D426" s="49"/>
      <c r="E426" s="49"/>
      <c r="F426" s="49"/>
      <c r="G426" s="49"/>
      <c r="H426" s="49"/>
      <c r="I426" s="78"/>
    </row>
    <row r="427" spans="1:9" ht="18.75" customHeight="1">
      <c r="A427" s="48"/>
      <c r="B427" s="48"/>
      <c r="C427" s="49"/>
      <c r="D427" s="49"/>
      <c r="E427" s="49"/>
      <c r="F427" s="49"/>
      <c r="G427" s="49"/>
      <c r="H427" s="49"/>
      <c r="I427" s="78"/>
    </row>
    <row r="428" spans="1:9" ht="18.75" customHeight="1">
      <c r="A428" s="48"/>
      <c r="B428" s="48"/>
      <c r="C428" s="49"/>
      <c r="D428" s="49"/>
      <c r="E428" s="49"/>
      <c r="F428" s="49"/>
      <c r="G428" s="49"/>
      <c r="H428" s="49"/>
      <c r="I428" s="78"/>
    </row>
    <row r="429" spans="1:9" ht="18.75" customHeight="1">
      <c r="A429" s="48"/>
      <c r="B429" s="48"/>
      <c r="C429" s="49"/>
      <c r="D429" s="49"/>
      <c r="E429" s="49"/>
      <c r="F429" s="49"/>
      <c r="G429" s="49"/>
      <c r="H429" s="49"/>
      <c r="I429" s="78"/>
    </row>
    <row r="430" spans="1:9" ht="18.75" customHeight="1">
      <c r="A430" s="48"/>
      <c r="B430" s="48"/>
      <c r="C430" s="49"/>
      <c r="D430" s="49"/>
      <c r="E430" s="49"/>
      <c r="F430" s="49"/>
      <c r="G430" s="49"/>
      <c r="H430" s="49"/>
      <c r="I430" s="78"/>
    </row>
    <row r="431" spans="1:9" ht="18.75" customHeight="1">
      <c r="A431" s="48"/>
      <c r="B431" s="48"/>
      <c r="C431" s="49"/>
      <c r="D431" s="49"/>
      <c r="E431" s="49"/>
      <c r="F431" s="49"/>
      <c r="G431" s="49"/>
      <c r="H431" s="49"/>
      <c r="I431" s="78"/>
    </row>
    <row r="432" spans="1:9" ht="18.75" customHeight="1">
      <c r="A432" s="48"/>
      <c r="B432" s="48"/>
      <c r="C432" s="49"/>
      <c r="D432" s="49"/>
      <c r="E432" s="49"/>
      <c r="F432" s="49"/>
      <c r="G432" s="49"/>
      <c r="H432" s="49"/>
      <c r="I432" s="78"/>
    </row>
    <row r="433" spans="1:9" ht="18.75" customHeight="1">
      <c r="A433" s="48"/>
      <c r="B433" s="48"/>
      <c r="C433" s="49"/>
      <c r="D433" s="49"/>
      <c r="E433" s="49"/>
      <c r="F433" s="49"/>
      <c r="G433" s="49"/>
      <c r="H433" s="49"/>
      <c r="I433" s="78"/>
    </row>
    <row r="434" spans="1:9" ht="18.75" customHeight="1">
      <c r="A434" s="48"/>
      <c r="B434" s="48"/>
      <c r="C434" s="49"/>
      <c r="D434" s="49"/>
      <c r="E434" s="49"/>
      <c r="F434" s="49"/>
      <c r="G434" s="49"/>
      <c r="H434" s="49"/>
      <c r="I434" s="78"/>
    </row>
    <row r="435" spans="1:9" ht="18.75" customHeight="1">
      <c r="A435" s="48"/>
      <c r="B435" s="48"/>
      <c r="C435" s="49"/>
      <c r="D435" s="49"/>
      <c r="E435" s="49"/>
      <c r="F435" s="49"/>
      <c r="G435" s="49"/>
      <c r="H435" s="49"/>
      <c r="I435" s="78"/>
    </row>
    <row r="436" spans="1:9" ht="18.75" customHeight="1">
      <c r="A436" s="48"/>
      <c r="B436" s="48"/>
      <c r="C436" s="49"/>
      <c r="D436" s="49"/>
      <c r="E436" s="49"/>
      <c r="F436" s="49"/>
      <c r="G436" s="49"/>
      <c r="H436" s="49"/>
      <c r="I436" s="78"/>
    </row>
    <row r="437" spans="1:9" ht="18.75" customHeight="1">
      <c r="A437" s="48"/>
      <c r="B437" s="48"/>
      <c r="C437" s="49"/>
      <c r="D437" s="49"/>
      <c r="E437" s="49"/>
      <c r="F437" s="49"/>
      <c r="G437" s="49"/>
      <c r="H437" s="49"/>
      <c r="I437" s="78"/>
    </row>
    <row r="438" spans="1:9" ht="18.75" customHeight="1">
      <c r="A438" s="48"/>
      <c r="B438" s="48"/>
      <c r="C438" s="49"/>
      <c r="D438" s="49"/>
      <c r="E438" s="49"/>
      <c r="F438" s="49"/>
      <c r="G438" s="49"/>
      <c r="H438" s="49"/>
      <c r="I438" s="78"/>
    </row>
    <row r="439" spans="1:9" ht="18.75" customHeight="1">
      <c r="A439" s="48"/>
      <c r="B439" s="48"/>
      <c r="C439" s="49"/>
      <c r="D439" s="49"/>
      <c r="E439" s="49"/>
      <c r="F439" s="49"/>
      <c r="G439" s="49"/>
      <c r="H439" s="49"/>
      <c r="I439" s="78"/>
    </row>
    <row r="440" spans="1:9" ht="18.75" customHeight="1">
      <c r="A440" s="48"/>
      <c r="B440" s="48"/>
      <c r="C440" s="49"/>
      <c r="D440" s="49"/>
      <c r="E440" s="49"/>
      <c r="F440" s="49"/>
      <c r="G440" s="49"/>
      <c r="H440" s="49"/>
      <c r="I440" s="78"/>
    </row>
    <row r="441" spans="1:9" ht="18.75" customHeight="1">
      <c r="A441" s="48"/>
      <c r="B441" s="48"/>
      <c r="C441" s="49"/>
      <c r="D441" s="49"/>
      <c r="E441" s="49"/>
      <c r="F441" s="49"/>
      <c r="G441" s="49"/>
      <c r="H441" s="49"/>
      <c r="I441" s="78"/>
    </row>
    <row r="442" spans="1:9" ht="18.75" customHeight="1">
      <c r="A442" s="48"/>
      <c r="B442" s="48"/>
      <c r="C442" s="49"/>
      <c r="D442" s="49"/>
      <c r="E442" s="49"/>
      <c r="F442" s="49"/>
      <c r="G442" s="49"/>
      <c r="H442" s="49"/>
      <c r="I442" s="78"/>
    </row>
    <row r="443" spans="1:9" ht="18.75" customHeight="1">
      <c r="A443" s="48"/>
      <c r="B443" s="48"/>
      <c r="C443" s="49"/>
      <c r="D443" s="49"/>
      <c r="E443" s="49"/>
      <c r="F443" s="49"/>
      <c r="G443" s="49"/>
      <c r="H443" s="49"/>
      <c r="I443" s="78"/>
    </row>
    <row r="444" spans="1:9" ht="18.75" customHeight="1">
      <c r="A444" s="48"/>
      <c r="B444" s="48"/>
      <c r="C444" s="49"/>
      <c r="D444" s="49"/>
      <c r="E444" s="49"/>
      <c r="F444" s="49"/>
      <c r="G444" s="49"/>
      <c r="H444" s="49"/>
      <c r="I444" s="78"/>
    </row>
    <row r="445" spans="1:9" ht="18.75" customHeight="1">
      <c r="A445" s="48"/>
      <c r="B445" s="48"/>
      <c r="C445" s="49"/>
      <c r="D445" s="49"/>
      <c r="E445" s="49"/>
      <c r="F445" s="49"/>
      <c r="G445" s="49"/>
      <c r="H445" s="49"/>
      <c r="I445" s="78"/>
    </row>
    <row r="446" spans="1:9" ht="18.75" customHeight="1">
      <c r="A446" s="48"/>
      <c r="B446" s="48"/>
      <c r="C446" s="49"/>
      <c r="D446" s="49"/>
      <c r="E446" s="49"/>
      <c r="F446" s="49"/>
      <c r="G446" s="49"/>
      <c r="H446" s="49"/>
      <c r="I446" s="78"/>
    </row>
    <row r="447" spans="1:9" ht="18.75" customHeight="1">
      <c r="A447" s="48"/>
      <c r="B447" s="48"/>
      <c r="C447" s="49"/>
      <c r="D447" s="49"/>
      <c r="E447" s="49"/>
      <c r="F447" s="49"/>
      <c r="G447" s="49"/>
      <c r="H447" s="49"/>
      <c r="I447" s="78"/>
    </row>
    <row r="448" spans="1:9" ht="18.75" customHeight="1">
      <c r="A448" s="48"/>
      <c r="B448" s="48"/>
      <c r="C448" s="49"/>
      <c r="D448" s="49"/>
      <c r="E448" s="49"/>
      <c r="F448" s="49"/>
      <c r="G448" s="49"/>
      <c r="H448" s="49"/>
      <c r="I448" s="78"/>
    </row>
    <row r="449" spans="1:9" ht="18.75" customHeight="1">
      <c r="A449" s="48"/>
      <c r="B449" s="48"/>
      <c r="C449" s="49"/>
      <c r="D449" s="49"/>
      <c r="E449" s="49"/>
      <c r="F449" s="49"/>
      <c r="G449" s="49"/>
      <c r="H449" s="49"/>
      <c r="I449" s="78"/>
    </row>
    <row r="450" spans="1:9" ht="18.75" customHeight="1">
      <c r="A450" s="48"/>
      <c r="B450" s="48"/>
      <c r="C450" s="49"/>
      <c r="D450" s="49"/>
      <c r="E450" s="49"/>
      <c r="F450" s="49"/>
      <c r="G450" s="49"/>
      <c r="H450" s="49"/>
      <c r="I450" s="78"/>
    </row>
    <row r="451" spans="1:9" ht="18.75" customHeight="1">
      <c r="A451" s="48"/>
      <c r="B451" s="48"/>
      <c r="C451" s="49"/>
      <c r="D451" s="49"/>
      <c r="E451" s="49"/>
      <c r="F451" s="49"/>
      <c r="G451" s="49"/>
      <c r="H451" s="49"/>
      <c r="I451" s="78"/>
    </row>
    <row r="452" spans="1:9" ht="18.75" customHeight="1">
      <c r="A452" s="48"/>
      <c r="B452" s="48"/>
      <c r="C452" s="49"/>
      <c r="D452" s="49"/>
      <c r="E452" s="49"/>
      <c r="F452" s="49"/>
      <c r="G452" s="49"/>
      <c r="H452" s="49"/>
      <c r="I452" s="78"/>
    </row>
    <row r="453" spans="1:9" ht="18.75" customHeight="1">
      <c r="A453" s="48"/>
      <c r="B453" s="48"/>
      <c r="C453" s="49"/>
      <c r="D453" s="49"/>
      <c r="E453" s="49"/>
      <c r="F453" s="49"/>
      <c r="G453" s="49"/>
      <c r="H453" s="49"/>
      <c r="I453" s="78"/>
    </row>
    <row r="454" spans="1:9" ht="18.75" customHeight="1">
      <c r="A454" s="48"/>
      <c r="B454" s="48"/>
      <c r="C454" s="49"/>
      <c r="D454" s="49"/>
      <c r="E454" s="49"/>
      <c r="F454" s="49"/>
      <c r="G454" s="49"/>
      <c r="H454" s="49"/>
      <c r="I454" s="78"/>
    </row>
    <row r="455" spans="1:9" ht="18.75" customHeight="1">
      <c r="A455" s="48"/>
      <c r="B455" s="48"/>
      <c r="C455" s="49"/>
      <c r="D455" s="49"/>
      <c r="E455" s="49"/>
      <c r="F455" s="49"/>
      <c r="G455" s="49"/>
      <c r="H455" s="49"/>
      <c r="I455" s="78"/>
    </row>
    <row r="456" spans="1:9" ht="18.75" customHeight="1">
      <c r="A456" s="48"/>
      <c r="B456" s="48"/>
      <c r="C456" s="49"/>
      <c r="D456" s="49"/>
      <c r="E456" s="49"/>
      <c r="F456" s="49"/>
      <c r="G456" s="49"/>
      <c r="H456" s="49"/>
      <c r="I456" s="78"/>
    </row>
    <row r="457" spans="1:9" ht="18.75" customHeight="1">
      <c r="A457" s="48"/>
      <c r="B457" s="48"/>
      <c r="C457" s="49"/>
      <c r="D457" s="49"/>
      <c r="E457" s="49"/>
      <c r="F457" s="49"/>
      <c r="G457" s="49"/>
      <c r="H457" s="49"/>
      <c r="I457" s="78"/>
    </row>
    <row r="458" spans="1:9" ht="18.75" customHeight="1">
      <c r="A458" s="48"/>
      <c r="B458" s="48"/>
      <c r="C458" s="49"/>
      <c r="D458" s="49"/>
      <c r="E458" s="49"/>
      <c r="F458" s="49"/>
      <c r="G458" s="49"/>
      <c r="H458" s="49"/>
      <c r="I458" s="78"/>
    </row>
    <row r="459" spans="1:9" ht="18.75" customHeight="1">
      <c r="A459" s="48"/>
      <c r="B459" s="48"/>
      <c r="C459" s="49"/>
      <c r="D459" s="49"/>
      <c r="E459" s="49"/>
      <c r="F459" s="49"/>
      <c r="G459" s="49"/>
      <c r="H459" s="49"/>
      <c r="I459" s="78"/>
    </row>
    <row r="460" spans="1:9" ht="18.75" customHeight="1">
      <c r="A460" s="48"/>
      <c r="B460" s="48"/>
      <c r="C460" s="49"/>
      <c r="D460" s="49"/>
      <c r="E460" s="49"/>
      <c r="F460" s="49"/>
      <c r="G460" s="49"/>
      <c r="H460" s="49"/>
      <c r="I460" s="78"/>
    </row>
    <row r="461" spans="1:9" ht="18.75" customHeight="1">
      <c r="A461" s="48"/>
      <c r="B461" s="48"/>
      <c r="C461" s="49"/>
      <c r="D461" s="49"/>
      <c r="E461" s="49"/>
      <c r="F461" s="49"/>
      <c r="G461" s="49"/>
      <c r="H461" s="49"/>
      <c r="I461" s="78"/>
    </row>
    <row r="462" spans="1:9" ht="18.75" customHeight="1">
      <c r="A462" s="48"/>
      <c r="B462" s="48"/>
      <c r="C462" s="49"/>
      <c r="D462" s="49"/>
      <c r="E462" s="49"/>
      <c r="F462" s="49"/>
      <c r="G462" s="49"/>
      <c r="H462" s="49"/>
      <c r="I462" s="78"/>
    </row>
    <row r="463" spans="1:9" ht="18.75" customHeight="1">
      <c r="A463" s="48"/>
      <c r="B463" s="48"/>
      <c r="C463" s="49"/>
      <c r="D463" s="49"/>
      <c r="E463" s="49"/>
      <c r="F463" s="49"/>
      <c r="G463" s="49"/>
      <c r="H463" s="49"/>
      <c r="I463" s="78"/>
    </row>
    <row r="464" spans="1:9" ht="18.75" customHeight="1">
      <c r="A464" s="48"/>
      <c r="B464" s="48"/>
      <c r="C464" s="49"/>
      <c r="D464" s="49"/>
      <c r="E464" s="49"/>
      <c r="F464" s="49"/>
      <c r="G464" s="49"/>
      <c r="H464" s="49"/>
      <c r="I464" s="78"/>
    </row>
    <row r="465" spans="1:9" ht="18.75" customHeight="1">
      <c r="A465" s="48"/>
      <c r="B465" s="48"/>
      <c r="C465" s="49"/>
      <c r="D465" s="49"/>
      <c r="E465" s="49"/>
      <c r="F465" s="49"/>
      <c r="G465" s="49"/>
      <c r="H465" s="49"/>
      <c r="I465" s="78"/>
    </row>
    <row r="466" spans="1:9" ht="18.75" customHeight="1">
      <c r="A466" s="48"/>
      <c r="B466" s="48"/>
      <c r="C466" s="49"/>
      <c r="D466" s="49"/>
      <c r="E466" s="49"/>
      <c r="F466" s="49"/>
      <c r="G466" s="49"/>
      <c r="H466" s="49"/>
      <c r="I466" s="78"/>
    </row>
    <row r="467" spans="1:9" ht="18.75" customHeight="1">
      <c r="A467" s="48"/>
      <c r="B467" s="48"/>
      <c r="C467" s="49"/>
      <c r="D467" s="49"/>
      <c r="E467" s="49"/>
      <c r="F467" s="49"/>
      <c r="G467" s="49"/>
      <c r="H467" s="49"/>
      <c r="I467" s="78"/>
    </row>
    <row r="468" spans="1:9" ht="18.75" customHeight="1">
      <c r="A468" s="48"/>
      <c r="B468" s="48"/>
      <c r="C468" s="49"/>
      <c r="D468" s="49"/>
      <c r="E468" s="49"/>
      <c r="F468" s="49"/>
      <c r="G468" s="49"/>
      <c r="H468" s="49"/>
      <c r="I468" s="78"/>
    </row>
    <row r="469" spans="1:9" ht="18.75" customHeight="1">
      <c r="A469" s="48"/>
      <c r="B469" s="48"/>
      <c r="C469" s="49"/>
      <c r="D469" s="49"/>
      <c r="E469" s="49"/>
      <c r="F469" s="49"/>
      <c r="G469" s="49"/>
      <c r="H469" s="49"/>
      <c r="I469" s="78"/>
    </row>
    <row r="470" spans="1:9" ht="18.75" customHeight="1">
      <c r="A470" s="48"/>
      <c r="B470" s="48"/>
      <c r="C470" s="49"/>
      <c r="D470" s="49"/>
      <c r="E470" s="49"/>
      <c r="F470" s="49"/>
      <c r="G470" s="49"/>
      <c r="H470" s="49"/>
      <c r="I470" s="78"/>
    </row>
    <row r="471" spans="1:9" ht="18.75" customHeight="1">
      <c r="A471" s="48"/>
      <c r="B471" s="48"/>
      <c r="C471" s="49"/>
      <c r="D471" s="49"/>
      <c r="E471" s="49"/>
      <c r="F471" s="49"/>
      <c r="G471" s="49"/>
      <c r="H471" s="49"/>
      <c r="I471" s="78"/>
    </row>
    <row r="472" spans="1:9" ht="18.75" customHeight="1">
      <c r="A472" s="48"/>
      <c r="B472" s="48"/>
      <c r="C472" s="49"/>
      <c r="D472" s="49"/>
      <c r="E472" s="49"/>
      <c r="F472" s="49"/>
      <c r="G472" s="49"/>
      <c r="H472" s="49"/>
      <c r="I472" s="78"/>
    </row>
    <row r="473" spans="1:9" ht="18.75" customHeight="1">
      <c r="A473" s="48"/>
      <c r="B473" s="48"/>
      <c r="C473" s="49"/>
      <c r="D473" s="49"/>
      <c r="E473" s="49"/>
      <c r="F473" s="49"/>
      <c r="G473" s="49"/>
      <c r="H473" s="49"/>
      <c r="I473" s="78"/>
    </row>
    <row r="474" spans="1:9" ht="18.75" customHeight="1">
      <c r="A474" s="48"/>
      <c r="B474" s="48"/>
      <c r="C474" s="49"/>
      <c r="D474" s="49"/>
      <c r="E474" s="49"/>
      <c r="F474" s="49"/>
      <c r="G474" s="49"/>
      <c r="H474" s="49"/>
      <c r="I474" s="78"/>
    </row>
    <row r="475" spans="1:9" ht="18.75" customHeight="1">
      <c r="A475" s="48"/>
      <c r="B475" s="48"/>
      <c r="C475" s="49"/>
      <c r="D475" s="49"/>
      <c r="E475" s="49"/>
      <c r="F475" s="49"/>
      <c r="G475" s="49"/>
      <c r="H475" s="49"/>
      <c r="I475" s="78"/>
    </row>
    <row r="476" spans="1:9" ht="18.75" customHeight="1">
      <c r="A476" s="48"/>
      <c r="B476" s="48"/>
      <c r="C476" s="49"/>
      <c r="D476" s="49"/>
      <c r="E476" s="49"/>
      <c r="F476" s="49"/>
      <c r="G476" s="49"/>
      <c r="H476" s="49"/>
      <c r="I476" s="78"/>
    </row>
    <row r="477" spans="1:9" ht="18.75" customHeight="1">
      <c r="A477" s="48"/>
      <c r="B477" s="48"/>
      <c r="C477" s="49"/>
      <c r="D477" s="49"/>
      <c r="E477" s="49"/>
      <c r="F477" s="49"/>
      <c r="G477" s="49"/>
      <c r="H477" s="49"/>
      <c r="I477" s="78"/>
    </row>
    <row r="478" spans="1:9" ht="18.75" customHeight="1">
      <c r="A478" s="48"/>
      <c r="B478" s="48"/>
      <c r="C478" s="49"/>
      <c r="D478" s="49"/>
      <c r="E478" s="49"/>
      <c r="F478" s="49"/>
      <c r="G478" s="49"/>
      <c r="H478" s="49"/>
      <c r="I478" s="78"/>
    </row>
    <row r="479" spans="1:9" ht="18.75" customHeight="1">
      <c r="A479" s="48"/>
      <c r="B479" s="48"/>
      <c r="C479" s="49"/>
      <c r="D479" s="49"/>
      <c r="E479" s="49"/>
      <c r="F479" s="49"/>
      <c r="G479" s="49"/>
      <c r="H479" s="49"/>
      <c r="I479" s="78"/>
    </row>
    <row r="480" spans="1:9" ht="18.75" customHeight="1">
      <c r="A480" s="48"/>
      <c r="B480" s="48"/>
      <c r="C480" s="49"/>
      <c r="D480" s="49"/>
      <c r="E480" s="49"/>
      <c r="F480" s="49"/>
      <c r="G480" s="49"/>
      <c r="H480" s="49"/>
      <c r="I480" s="78"/>
    </row>
    <row r="481" spans="1:9" ht="18.75" customHeight="1">
      <c r="A481" s="48"/>
      <c r="B481" s="48"/>
      <c r="C481" s="49"/>
      <c r="D481" s="49"/>
      <c r="E481" s="49"/>
      <c r="F481" s="49"/>
      <c r="G481" s="49"/>
      <c r="H481" s="49"/>
      <c r="I481" s="78"/>
    </row>
    <row r="482" spans="1:9" ht="18.75" customHeight="1">
      <c r="A482" s="48"/>
      <c r="B482" s="48"/>
      <c r="C482" s="49"/>
      <c r="D482" s="49"/>
      <c r="E482" s="49"/>
      <c r="F482" s="49"/>
      <c r="G482" s="49"/>
      <c r="H482" s="49"/>
      <c r="I482" s="78"/>
    </row>
    <row r="483" spans="1:9" ht="18.75" customHeight="1">
      <c r="A483" s="48"/>
      <c r="B483" s="48"/>
      <c r="C483" s="49"/>
      <c r="D483" s="49"/>
      <c r="E483" s="49"/>
      <c r="F483" s="49"/>
      <c r="G483" s="49"/>
      <c r="H483" s="49"/>
      <c r="I483" s="78"/>
    </row>
    <row r="484" spans="1:9" ht="18.75" customHeight="1">
      <c r="A484" s="48"/>
      <c r="B484" s="48"/>
      <c r="C484" s="49"/>
      <c r="D484" s="49"/>
      <c r="E484" s="49"/>
      <c r="F484" s="49"/>
      <c r="G484" s="49"/>
      <c r="H484" s="49"/>
      <c r="I484" s="78"/>
    </row>
    <row r="485" spans="1:9" ht="18.75" customHeight="1">
      <c r="A485" s="48"/>
      <c r="B485" s="48"/>
      <c r="C485" s="49"/>
      <c r="D485" s="49"/>
      <c r="E485" s="49"/>
      <c r="F485" s="49"/>
      <c r="G485" s="49"/>
      <c r="H485" s="49"/>
      <c r="I485" s="78"/>
    </row>
    <row r="486" spans="1:9" ht="18.75" customHeight="1">
      <c r="A486" s="48"/>
      <c r="B486" s="48"/>
      <c r="C486" s="49"/>
      <c r="D486" s="49"/>
      <c r="E486" s="49"/>
      <c r="F486" s="49"/>
      <c r="G486" s="49"/>
      <c r="H486" s="49"/>
      <c r="I486" s="78"/>
    </row>
    <row r="487" spans="1:9" ht="18.75" customHeight="1">
      <c r="A487" s="48"/>
      <c r="B487" s="48"/>
      <c r="C487" s="49"/>
      <c r="D487" s="49"/>
      <c r="E487" s="49"/>
      <c r="F487" s="49"/>
      <c r="G487" s="49"/>
      <c r="H487" s="49"/>
      <c r="I487" s="78"/>
    </row>
    <row r="488" spans="1:9" ht="18.75" customHeight="1">
      <c r="A488" s="48"/>
      <c r="B488" s="48"/>
      <c r="C488" s="49"/>
      <c r="D488" s="49"/>
      <c r="E488" s="49"/>
      <c r="F488" s="49"/>
      <c r="G488" s="49"/>
      <c r="H488" s="49"/>
      <c r="I488" s="78"/>
    </row>
    <row r="489" spans="1:9" ht="18.75" customHeight="1">
      <c r="A489" s="48"/>
      <c r="B489" s="48"/>
      <c r="C489" s="49"/>
      <c r="D489" s="49"/>
      <c r="E489" s="49"/>
      <c r="F489" s="49"/>
      <c r="G489" s="49"/>
      <c r="H489" s="49"/>
      <c r="I489" s="78"/>
    </row>
    <row r="490" spans="1:9" ht="18.75" customHeight="1">
      <c r="A490" s="48"/>
      <c r="B490" s="48"/>
      <c r="C490" s="49"/>
      <c r="D490" s="49"/>
      <c r="E490" s="49"/>
      <c r="F490" s="49"/>
      <c r="G490" s="49"/>
      <c r="H490" s="49"/>
      <c r="I490" s="78"/>
    </row>
    <row r="491" spans="1:9" ht="18.75" customHeight="1">
      <c r="A491" s="48"/>
      <c r="B491" s="48"/>
      <c r="C491" s="49"/>
      <c r="D491" s="49"/>
      <c r="E491" s="49"/>
      <c r="F491" s="49"/>
      <c r="G491" s="49"/>
      <c r="H491" s="49"/>
      <c r="I491" s="78"/>
    </row>
    <row r="492" spans="1:9" ht="18.75" customHeight="1">
      <c r="A492" s="48"/>
      <c r="B492" s="48"/>
      <c r="C492" s="49"/>
      <c r="D492" s="49"/>
      <c r="E492" s="49"/>
      <c r="F492" s="49"/>
      <c r="G492" s="49"/>
      <c r="H492" s="49"/>
      <c r="I492" s="78"/>
    </row>
    <row r="493" spans="1:9" ht="18.75" customHeight="1">
      <c r="A493" s="48"/>
      <c r="B493" s="48"/>
      <c r="C493" s="49"/>
      <c r="D493" s="49"/>
      <c r="E493" s="49"/>
      <c r="F493" s="49"/>
      <c r="G493" s="49"/>
      <c r="H493" s="49"/>
      <c r="I493" s="78"/>
    </row>
    <row r="494" spans="1:9" ht="18.75" customHeight="1">
      <c r="A494" s="48"/>
      <c r="B494" s="48"/>
      <c r="C494" s="49"/>
      <c r="D494" s="49"/>
      <c r="E494" s="49"/>
      <c r="F494" s="49"/>
      <c r="G494" s="49"/>
      <c r="H494" s="49"/>
      <c r="I494" s="78"/>
    </row>
    <row r="495" spans="1:9" ht="18.75" customHeight="1">
      <c r="A495" s="48"/>
      <c r="B495" s="48"/>
      <c r="C495" s="49"/>
      <c r="D495" s="49"/>
      <c r="E495" s="49"/>
      <c r="F495" s="49"/>
      <c r="G495" s="49"/>
      <c r="H495" s="49"/>
      <c r="I495" s="78"/>
    </row>
    <row r="496" spans="1:9" ht="18.75" customHeight="1">
      <c r="A496" s="48"/>
      <c r="B496" s="48"/>
      <c r="C496" s="49"/>
      <c r="D496" s="49"/>
      <c r="E496" s="49"/>
      <c r="F496" s="49"/>
      <c r="G496" s="49"/>
      <c r="H496" s="49"/>
      <c r="I496" s="78"/>
    </row>
    <row r="497" spans="1:9" ht="18.75" customHeight="1">
      <c r="A497" s="48"/>
      <c r="B497" s="48"/>
      <c r="C497" s="49"/>
      <c r="D497" s="49"/>
      <c r="E497" s="49"/>
      <c r="F497" s="49"/>
      <c r="G497" s="49"/>
      <c r="H497" s="49"/>
      <c r="I497" s="78"/>
    </row>
    <row r="498" spans="1:9" ht="18.75" customHeight="1">
      <c r="A498" s="48"/>
      <c r="B498" s="48"/>
      <c r="C498" s="49"/>
      <c r="D498" s="49"/>
      <c r="E498" s="49"/>
      <c r="F498" s="49"/>
      <c r="G498" s="49"/>
      <c r="H498" s="49"/>
      <c r="I498" s="78"/>
    </row>
    <row r="499" spans="1:9" ht="18.75" customHeight="1">
      <c r="A499" s="48"/>
      <c r="B499" s="48"/>
      <c r="C499" s="49"/>
      <c r="D499" s="49"/>
      <c r="E499" s="49"/>
      <c r="F499" s="49"/>
      <c r="G499" s="49"/>
      <c r="H499" s="49"/>
      <c r="I499" s="78"/>
    </row>
    <row r="500" spans="1:9" ht="18.75" customHeight="1">
      <c r="A500" s="48"/>
      <c r="B500" s="48"/>
      <c r="C500" s="49"/>
      <c r="D500" s="49"/>
      <c r="E500" s="49"/>
      <c r="F500" s="49"/>
      <c r="G500" s="49"/>
      <c r="H500" s="49"/>
      <c r="I500" s="78"/>
    </row>
    <row r="501" spans="1:9" ht="18.75" customHeight="1">
      <c r="A501" s="48"/>
      <c r="B501" s="48"/>
      <c r="C501" s="49"/>
      <c r="D501" s="49"/>
      <c r="E501" s="49"/>
      <c r="F501" s="49"/>
      <c r="G501" s="49"/>
      <c r="H501" s="49"/>
      <c r="I501" s="78"/>
    </row>
    <row r="502" spans="1:9" ht="18.75" customHeight="1">
      <c r="A502" s="48"/>
      <c r="B502" s="48"/>
      <c r="C502" s="49"/>
      <c r="D502" s="49"/>
      <c r="E502" s="49"/>
      <c r="F502" s="49"/>
      <c r="G502" s="49"/>
      <c r="H502" s="49"/>
      <c r="I502" s="78"/>
    </row>
    <row r="503" spans="1:9" ht="18.75" customHeight="1">
      <c r="A503" s="48"/>
      <c r="B503" s="48"/>
      <c r="C503" s="49"/>
      <c r="D503" s="49"/>
      <c r="E503" s="49"/>
      <c r="F503" s="49"/>
      <c r="G503" s="49"/>
      <c r="H503" s="49"/>
      <c r="I503" s="78"/>
    </row>
    <row r="504" spans="1:9" ht="18.75" customHeight="1">
      <c r="A504" s="48"/>
      <c r="B504" s="48"/>
      <c r="C504" s="49"/>
      <c r="D504" s="49"/>
      <c r="E504" s="49"/>
      <c r="F504" s="49"/>
      <c r="G504" s="49"/>
      <c r="H504" s="49"/>
      <c r="I504" s="78"/>
    </row>
    <row r="505" spans="1:9" ht="18.75" customHeight="1">
      <c r="A505" s="48"/>
      <c r="B505" s="48"/>
      <c r="C505" s="49"/>
      <c r="D505" s="49"/>
      <c r="E505" s="49"/>
      <c r="F505" s="49"/>
      <c r="G505" s="49"/>
      <c r="H505" s="49"/>
      <c r="I505" s="78"/>
    </row>
    <row r="506" spans="1:9" ht="18.75" customHeight="1">
      <c r="A506" s="48"/>
      <c r="B506" s="48"/>
      <c r="C506" s="49"/>
      <c r="D506" s="49"/>
      <c r="E506" s="49"/>
      <c r="F506" s="49"/>
      <c r="G506" s="49"/>
      <c r="H506" s="49"/>
      <c r="I506" s="78"/>
    </row>
    <row r="507" spans="1:9" ht="18.75" customHeight="1">
      <c r="A507" s="48"/>
      <c r="B507" s="48"/>
      <c r="C507" s="49"/>
      <c r="D507" s="49"/>
      <c r="E507" s="49"/>
      <c r="F507" s="49"/>
      <c r="G507" s="49"/>
      <c r="H507" s="49"/>
      <c r="I507" s="78"/>
    </row>
    <row r="508" spans="1:9" ht="18.75" customHeight="1">
      <c r="A508" s="48"/>
      <c r="B508" s="48"/>
      <c r="C508" s="49"/>
      <c r="D508" s="49"/>
      <c r="E508" s="49"/>
      <c r="F508" s="49"/>
      <c r="G508" s="49"/>
      <c r="H508" s="49"/>
      <c r="I508" s="78"/>
    </row>
    <row r="509" spans="1:9" ht="18.75" customHeight="1">
      <c r="A509" s="48"/>
      <c r="B509" s="48"/>
      <c r="C509" s="49"/>
      <c r="D509" s="49"/>
      <c r="E509" s="49"/>
      <c r="F509" s="49"/>
      <c r="G509" s="49"/>
      <c r="H509" s="49"/>
      <c r="I509" s="78"/>
    </row>
    <row r="510" spans="1:9" ht="18.75" customHeight="1">
      <c r="A510" s="48"/>
      <c r="B510" s="48"/>
      <c r="C510" s="49"/>
      <c r="D510" s="49"/>
      <c r="E510" s="49"/>
      <c r="F510" s="49"/>
      <c r="G510" s="49"/>
      <c r="H510" s="49"/>
      <c r="I510" s="78"/>
    </row>
    <row r="511" spans="1:9" ht="18.75" customHeight="1">
      <c r="A511" s="48"/>
      <c r="B511" s="48"/>
      <c r="C511" s="49"/>
      <c r="D511" s="49"/>
      <c r="E511" s="49"/>
      <c r="F511" s="49"/>
      <c r="G511" s="49"/>
      <c r="H511" s="49"/>
      <c r="I511" s="78"/>
    </row>
    <row r="512" spans="1:9" ht="18.75" customHeight="1">
      <c r="A512" s="48"/>
      <c r="B512" s="48"/>
      <c r="C512" s="49"/>
      <c r="D512" s="49"/>
      <c r="E512" s="49"/>
      <c r="F512" s="49"/>
      <c r="G512" s="49"/>
      <c r="H512" s="49"/>
      <c r="I512" s="78"/>
    </row>
    <row r="513" spans="1:9" ht="18.75" customHeight="1">
      <c r="A513" s="48"/>
      <c r="B513" s="48"/>
      <c r="C513" s="49"/>
      <c r="D513" s="49"/>
      <c r="E513" s="49"/>
      <c r="F513" s="49"/>
      <c r="G513" s="49"/>
      <c r="H513" s="49"/>
      <c r="I513" s="78"/>
    </row>
    <row r="514" spans="1:9" ht="18.75" customHeight="1">
      <c r="A514" s="48"/>
      <c r="B514" s="48"/>
      <c r="C514" s="49"/>
      <c r="D514" s="49"/>
      <c r="E514" s="49"/>
      <c r="F514" s="49"/>
      <c r="G514" s="49"/>
      <c r="H514" s="49"/>
      <c r="I514" s="78"/>
    </row>
    <row r="515" spans="1:9" ht="18.75" customHeight="1">
      <c r="A515" s="48"/>
      <c r="B515" s="48"/>
      <c r="C515" s="49"/>
      <c r="D515" s="49"/>
      <c r="E515" s="49"/>
      <c r="F515" s="49"/>
      <c r="G515" s="49"/>
      <c r="H515" s="49"/>
      <c r="I515" s="78"/>
    </row>
    <row r="516" spans="1:9" ht="18.75" customHeight="1">
      <c r="A516" s="48"/>
      <c r="B516" s="48"/>
      <c r="C516" s="49"/>
      <c r="D516" s="49"/>
      <c r="E516" s="49"/>
      <c r="F516" s="49"/>
      <c r="G516" s="49"/>
      <c r="H516" s="49"/>
      <c r="I516" s="78"/>
    </row>
    <row r="517" spans="1:9" ht="18.75" customHeight="1">
      <c r="A517" s="48"/>
      <c r="B517" s="48"/>
      <c r="C517" s="49"/>
      <c r="D517" s="49"/>
      <c r="E517" s="49"/>
      <c r="F517" s="49"/>
      <c r="G517" s="49"/>
      <c r="H517" s="49"/>
      <c r="I517" s="78"/>
    </row>
    <row r="518" spans="1:9" ht="18.75" customHeight="1">
      <c r="A518" s="48"/>
      <c r="B518" s="48"/>
      <c r="C518" s="49"/>
      <c r="D518" s="49"/>
      <c r="E518" s="49"/>
      <c r="F518" s="49"/>
      <c r="G518" s="49"/>
      <c r="H518" s="49"/>
      <c r="I518" s="78"/>
    </row>
    <row r="519" spans="1:9" ht="18.75" customHeight="1">
      <c r="A519" s="48"/>
      <c r="B519" s="48"/>
      <c r="C519" s="49"/>
      <c r="D519" s="49"/>
      <c r="E519" s="49"/>
      <c r="F519" s="49"/>
      <c r="G519" s="49"/>
      <c r="H519" s="49"/>
      <c r="I519" s="78"/>
    </row>
    <row r="520" spans="1:9" ht="18.75" customHeight="1">
      <c r="A520" s="48"/>
      <c r="B520" s="48"/>
      <c r="C520" s="49"/>
      <c r="D520" s="49"/>
      <c r="E520" s="49"/>
      <c r="F520" s="49"/>
      <c r="G520" s="49"/>
      <c r="H520" s="49"/>
      <c r="I520" s="78"/>
    </row>
    <row r="521" spans="1:9" ht="18.75" customHeight="1">
      <c r="A521" s="48"/>
      <c r="B521" s="48"/>
      <c r="C521" s="49"/>
      <c r="D521" s="49"/>
      <c r="E521" s="49"/>
      <c r="F521" s="49"/>
      <c r="G521" s="49"/>
      <c r="H521" s="49"/>
      <c r="I521" s="78"/>
    </row>
    <row r="522" spans="1:9" ht="18.75" customHeight="1">
      <c r="A522" s="48"/>
      <c r="B522" s="48"/>
      <c r="C522" s="49"/>
      <c r="D522" s="49"/>
      <c r="E522" s="49"/>
      <c r="F522" s="49"/>
      <c r="G522" s="49"/>
      <c r="H522" s="49"/>
      <c r="I522" s="78"/>
    </row>
    <row r="523" spans="1:9" ht="18.75" customHeight="1">
      <c r="A523" s="48"/>
      <c r="B523" s="48"/>
      <c r="C523" s="49"/>
      <c r="D523" s="49"/>
      <c r="E523" s="49"/>
      <c r="F523" s="49"/>
      <c r="G523" s="49"/>
      <c r="H523" s="49"/>
      <c r="I523" s="78"/>
    </row>
    <row r="524" spans="1:9" ht="18.75" customHeight="1">
      <c r="A524" s="48"/>
      <c r="B524" s="48"/>
      <c r="C524" s="49"/>
      <c r="D524" s="49"/>
      <c r="E524" s="49"/>
      <c r="F524" s="49"/>
      <c r="G524" s="49"/>
      <c r="H524" s="49"/>
      <c r="I524" s="78"/>
    </row>
    <row r="525" spans="1:9" ht="18.75" customHeight="1">
      <c r="A525" s="48"/>
      <c r="B525" s="48"/>
      <c r="C525" s="49"/>
      <c r="D525" s="49"/>
      <c r="E525" s="49"/>
      <c r="F525" s="49"/>
      <c r="G525" s="49"/>
      <c r="H525" s="49"/>
      <c r="I525" s="78"/>
    </row>
    <row r="526" spans="1:9" ht="18.75" customHeight="1">
      <c r="A526" s="48"/>
      <c r="B526" s="48"/>
      <c r="C526" s="49"/>
      <c r="D526" s="49"/>
      <c r="E526" s="49"/>
      <c r="F526" s="49"/>
      <c r="G526" s="49"/>
      <c r="H526" s="49"/>
      <c r="I526" s="78"/>
    </row>
    <row r="527" spans="1:9" ht="18.75" customHeight="1">
      <c r="A527" s="48"/>
      <c r="B527" s="48"/>
      <c r="C527" s="49"/>
      <c r="D527" s="49"/>
      <c r="E527" s="49"/>
      <c r="F527" s="49"/>
      <c r="G527" s="49"/>
      <c r="H527" s="49"/>
      <c r="I527" s="78"/>
    </row>
    <row r="528" spans="1:9" ht="18.75" customHeight="1">
      <c r="A528" s="48"/>
      <c r="B528" s="48"/>
      <c r="C528" s="49"/>
      <c r="D528" s="49"/>
      <c r="E528" s="49"/>
      <c r="F528" s="49"/>
      <c r="G528" s="49"/>
      <c r="H528" s="49"/>
      <c r="I528" s="78"/>
    </row>
    <row r="529" spans="1:9" ht="18.75" customHeight="1">
      <c r="A529" s="48"/>
      <c r="B529" s="48"/>
      <c r="C529" s="49"/>
      <c r="D529" s="49"/>
      <c r="E529" s="49"/>
      <c r="F529" s="49"/>
      <c r="G529" s="49"/>
      <c r="H529" s="49"/>
      <c r="I529" s="78"/>
    </row>
    <row r="530" spans="1:9" ht="18.75" customHeight="1">
      <c r="A530" s="48"/>
      <c r="B530" s="48"/>
      <c r="C530" s="49"/>
      <c r="D530" s="49"/>
      <c r="E530" s="49"/>
      <c r="F530" s="49"/>
      <c r="G530" s="49"/>
      <c r="H530" s="49"/>
      <c r="I530" s="78"/>
    </row>
    <row r="531" spans="1:9" ht="18.75" customHeight="1">
      <c r="A531" s="48"/>
      <c r="B531" s="48"/>
      <c r="C531" s="49"/>
      <c r="D531" s="49"/>
      <c r="E531" s="49"/>
      <c r="F531" s="49"/>
      <c r="G531" s="49"/>
      <c r="H531" s="49"/>
      <c r="I531" s="78"/>
    </row>
    <row r="532" spans="1:9" ht="18.75" customHeight="1">
      <c r="A532" s="48"/>
      <c r="B532" s="48"/>
      <c r="C532" s="49"/>
      <c r="D532" s="49"/>
      <c r="E532" s="49"/>
      <c r="F532" s="49"/>
      <c r="G532" s="49"/>
      <c r="H532" s="49"/>
      <c r="I532" s="78"/>
    </row>
    <row r="533" spans="1:9" ht="18.75" customHeight="1">
      <c r="A533" s="48"/>
      <c r="B533" s="48"/>
      <c r="C533" s="49"/>
      <c r="D533" s="49"/>
      <c r="E533" s="49"/>
      <c r="F533" s="49"/>
      <c r="G533" s="49"/>
      <c r="H533" s="49"/>
      <c r="I533" s="78"/>
    </row>
    <row r="534" spans="1:9" ht="18.75" customHeight="1">
      <c r="A534" s="48"/>
      <c r="B534" s="48"/>
      <c r="C534" s="49"/>
      <c r="D534" s="49"/>
      <c r="E534" s="49"/>
      <c r="F534" s="49"/>
      <c r="G534" s="49"/>
      <c r="H534" s="49"/>
      <c r="I534" s="78"/>
    </row>
    <row r="535" spans="1:9" ht="18.75" customHeight="1">
      <c r="A535" s="48"/>
      <c r="B535" s="48"/>
      <c r="C535" s="49"/>
      <c r="D535" s="49"/>
      <c r="E535" s="49"/>
      <c r="F535" s="49"/>
      <c r="G535" s="49"/>
      <c r="H535" s="49"/>
      <c r="I535" s="78"/>
    </row>
    <row r="536" spans="1:9" ht="18.75" customHeight="1">
      <c r="A536" s="48"/>
      <c r="B536" s="48"/>
      <c r="C536" s="49"/>
      <c r="D536" s="49"/>
      <c r="E536" s="49"/>
      <c r="F536" s="49"/>
      <c r="G536" s="49"/>
      <c r="H536" s="49"/>
      <c r="I536" s="78"/>
    </row>
    <row r="537" spans="1:9" ht="18.75" customHeight="1">
      <c r="A537" s="48"/>
      <c r="B537" s="48"/>
      <c r="C537" s="49"/>
      <c r="D537" s="49"/>
      <c r="E537" s="49"/>
      <c r="F537" s="49"/>
      <c r="G537" s="49"/>
      <c r="H537" s="49"/>
      <c r="I537" s="78"/>
    </row>
    <row r="538" spans="1:9" ht="18.75" customHeight="1">
      <c r="A538" s="48"/>
      <c r="B538" s="48"/>
      <c r="C538" s="49"/>
      <c r="D538" s="49"/>
      <c r="E538" s="49"/>
      <c r="F538" s="49"/>
      <c r="G538" s="49"/>
      <c r="H538" s="49"/>
      <c r="I538" s="78"/>
    </row>
    <row r="539" spans="1:9" ht="18.75" customHeight="1">
      <c r="A539" s="48"/>
      <c r="B539" s="48"/>
      <c r="C539" s="49"/>
      <c r="D539" s="49"/>
      <c r="E539" s="49"/>
      <c r="F539" s="49"/>
      <c r="G539" s="49"/>
      <c r="H539" s="49"/>
      <c r="I539" s="78"/>
    </row>
    <row r="540" spans="1:9" ht="18.75" customHeight="1">
      <c r="A540" s="48"/>
      <c r="B540" s="48"/>
      <c r="C540" s="49"/>
      <c r="D540" s="49"/>
      <c r="E540" s="49"/>
      <c r="F540" s="49"/>
      <c r="G540" s="49"/>
      <c r="H540" s="49"/>
      <c r="I540" s="78"/>
    </row>
    <row r="541" spans="1:9" ht="18.75" customHeight="1">
      <c r="A541" s="48"/>
      <c r="B541" s="48"/>
      <c r="C541" s="49"/>
      <c r="D541" s="49"/>
      <c r="E541" s="49"/>
      <c r="F541" s="49"/>
      <c r="G541" s="49"/>
      <c r="H541" s="49"/>
      <c r="I541" s="78"/>
    </row>
    <row r="542" spans="1:9" ht="18.75" customHeight="1">
      <c r="A542" s="48"/>
      <c r="B542" s="48"/>
      <c r="C542" s="49"/>
      <c r="D542" s="49"/>
      <c r="E542" s="49"/>
      <c r="F542" s="49"/>
      <c r="G542" s="49"/>
      <c r="H542" s="49"/>
      <c r="I542" s="78"/>
    </row>
    <row r="543" spans="1:9" ht="18.75" customHeight="1">
      <c r="A543" s="48"/>
      <c r="B543" s="48"/>
      <c r="C543" s="49"/>
      <c r="D543" s="49"/>
      <c r="E543" s="49"/>
      <c r="F543" s="49"/>
      <c r="G543" s="49"/>
      <c r="H543" s="49"/>
      <c r="I543" s="78"/>
    </row>
    <row r="544" spans="1:9" ht="18.75" customHeight="1">
      <c r="A544" s="48"/>
      <c r="B544" s="48"/>
      <c r="C544" s="49"/>
      <c r="D544" s="49"/>
      <c r="E544" s="49"/>
      <c r="F544" s="49"/>
      <c r="G544" s="49"/>
      <c r="H544" s="49"/>
      <c r="I544" s="78"/>
    </row>
    <row r="545" spans="1:9" ht="18.75" customHeight="1">
      <c r="A545" s="48"/>
      <c r="B545" s="48"/>
      <c r="C545" s="49"/>
      <c r="D545" s="49"/>
      <c r="E545" s="49"/>
      <c r="F545" s="49"/>
      <c r="G545" s="49"/>
      <c r="H545" s="49"/>
      <c r="I545" s="78"/>
    </row>
    <row r="546" spans="1:9" ht="18.75" customHeight="1">
      <c r="A546" s="48"/>
      <c r="B546" s="48"/>
      <c r="C546" s="49"/>
      <c r="D546" s="49"/>
      <c r="E546" s="49"/>
      <c r="F546" s="49"/>
      <c r="G546" s="49"/>
      <c r="H546" s="49"/>
      <c r="I546" s="78"/>
    </row>
    <row r="547" spans="1:9" ht="18.75" customHeight="1">
      <c r="A547" s="48"/>
      <c r="B547" s="48"/>
      <c r="C547" s="49"/>
      <c r="D547" s="49"/>
      <c r="E547" s="49"/>
      <c r="F547" s="49"/>
      <c r="G547" s="49"/>
      <c r="H547" s="49"/>
      <c r="I547" s="78"/>
    </row>
    <row r="548" spans="1:9" ht="18.75" customHeight="1">
      <c r="A548" s="48"/>
      <c r="B548" s="48"/>
      <c r="C548" s="49"/>
      <c r="D548" s="49"/>
      <c r="E548" s="49"/>
      <c r="F548" s="49"/>
      <c r="G548" s="49"/>
      <c r="H548" s="49"/>
      <c r="I548" s="78"/>
    </row>
    <row r="549" spans="1:9" ht="18.75" customHeight="1">
      <c r="A549" s="48"/>
      <c r="B549" s="48"/>
      <c r="C549" s="49"/>
      <c r="D549" s="49"/>
      <c r="E549" s="49"/>
      <c r="F549" s="49"/>
      <c r="G549" s="49"/>
      <c r="H549" s="49"/>
      <c r="I549" s="78"/>
    </row>
    <row r="550" spans="1:9" ht="18.75" customHeight="1">
      <c r="A550" s="48"/>
      <c r="B550" s="48"/>
      <c r="C550" s="49"/>
      <c r="D550" s="49"/>
      <c r="E550" s="49"/>
      <c r="F550" s="49"/>
      <c r="G550" s="49"/>
      <c r="H550" s="49"/>
      <c r="I550" s="78"/>
    </row>
    <row r="551" spans="1:9" ht="18.75" customHeight="1">
      <c r="A551" s="48"/>
      <c r="B551" s="48"/>
      <c r="C551" s="49"/>
      <c r="D551" s="49"/>
      <c r="E551" s="49"/>
      <c r="F551" s="49"/>
      <c r="G551" s="49"/>
      <c r="H551" s="49"/>
      <c r="I551" s="78"/>
    </row>
    <row r="552" spans="1:9" ht="18.75" customHeight="1">
      <c r="A552" s="48"/>
      <c r="B552" s="48"/>
      <c r="C552" s="49"/>
      <c r="D552" s="49"/>
      <c r="E552" s="49"/>
      <c r="F552" s="49"/>
      <c r="G552" s="49"/>
      <c r="H552" s="49"/>
      <c r="I552" s="78"/>
    </row>
    <row r="553" spans="1:9" ht="18.75" customHeight="1">
      <c r="A553" s="48"/>
      <c r="B553" s="48"/>
      <c r="C553" s="49"/>
      <c r="D553" s="49"/>
      <c r="E553" s="49"/>
      <c r="F553" s="49"/>
      <c r="G553" s="49"/>
      <c r="H553" s="49"/>
      <c r="I553" s="78"/>
    </row>
    <row r="554" spans="1:9" ht="18.75" customHeight="1">
      <c r="A554" s="48"/>
      <c r="B554" s="48"/>
      <c r="C554" s="49"/>
      <c r="D554" s="49"/>
      <c r="E554" s="49"/>
      <c r="F554" s="49"/>
      <c r="G554" s="49"/>
      <c r="H554" s="49"/>
      <c r="I554" s="78"/>
    </row>
    <row r="555" spans="1:9" ht="18.75" customHeight="1">
      <c r="A555" s="48"/>
      <c r="B555" s="48"/>
      <c r="C555" s="49"/>
      <c r="D555" s="49"/>
      <c r="E555" s="49"/>
      <c r="F555" s="49"/>
      <c r="G555" s="49"/>
      <c r="H555" s="49"/>
      <c r="I555" s="78"/>
    </row>
    <row r="556" spans="1:9" ht="18.75" customHeight="1">
      <c r="A556" s="48"/>
      <c r="B556" s="48"/>
      <c r="C556" s="49"/>
      <c r="D556" s="49"/>
      <c r="E556" s="49"/>
      <c r="F556" s="49"/>
      <c r="G556" s="49"/>
      <c r="H556" s="49"/>
      <c r="I556" s="78"/>
    </row>
    <row r="557" spans="1:9" ht="18.75" customHeight="1">
      <c r="A557" s="48"/>
      <c r="B557" s="48"/>
      <c r="C557" s="49"/>
      <c r="D557" s="49"/>
      <c r="E557" s="49"/>
      <c r="F557" s="49"/>
      <c r="G557" s="49"/>
      <c r="H557" s="49"/>
      <c r="I557" s="78"/>
    </row>
    <row r="558" spans="1:9" ht="18.75" customHeight="1">
      <c r="A558" s="48"/>
      <c r="B558" s="48"/>
      <c r="C558" s="49"/>
      <c r="D558" s="49"/>
      <c r="E558" s="49"/>
      <c r="F558" s="49"/>
      <c r="G558" s="49"/>
      <c r="H558" s="49"/>
      <c r="I558" s="78"/>
    </row>
    <row r="559" spans="1:9" ht="18.75" customHeight="1">
      <c r="A559" s="48"/>
      <c r="B559" s="48"/>
      <c r="C559" s="49"/>
      <c r="D559" s="49"/>
      <c r="E559" s="49"/>
      <c r="F559" s="49"/>
      <c r="G559" s="49"/>
      <c r="H559" s="49"/>
      <c r="I559" s="78"/>
    </row>
    <row r="560" spans="1:9" ht="18.75" customHeight="1">
      <c r="A560" s="48"/>
      <c r="B560" s="48"/>
      <c r="C560" s="49"/>
      <c r="D560" s="49"/>
      <c r="E560" s="49"/>
      <c r="F560" s="49"/>
      <c r="G560" s="49"/>
      <c r="H560" s="49"/>
      <c r="I560" s="78"/>
    </row>
    <row r="561" spans="1:9" ht="18.75" customHeight="1">
      <c r="A561" s="48"/>
      <c r="B561" s="48"/>
      <c r="C561" s="49"/>
      <c r="D561" s="49"/>
      <c r="E561" s="49"/>
      <c r="F561" s="49"/>
      <c r="G561" s="49"/>
      <c r="H561" s="49"/>
      <c r="I561" s="78"/>
    </row>
    <row r="562" spans="1:9" ht="18.75" customHeight="1">
      <c r="A562" s="48"/>
      <c r="B562" s="48"/>
      <c r="C562" s="49"/>
      <c r="D562" s="49"/>
      <c r="E562" s="49"/>
      <c r="F562" s="49"/>
      <c r="G562" s="49"/>
      <c r="H562" s="49"/>
      <c r="I562" s="78"/>
    </row>
    <row r="563" spans="1:9" ht="18.75" customHeight="1">
      <c r="A563" s="48"/>
      <c r="B563" s="48"/>
      <c r="C563" s="49"/>
      <c r="D563" s="49"/>
      <c r="E563" s="49"/>
      <c r="F563" s="49"/>
      <c r="G563" s="49"/>
      <c r="H563" s="49"/>
      <c r="I563" s="78"/>
    </row>
    <row r="564" spans="1:9" ht="18.75" customHeight="1">
      <c r="A564" s="48"/>
      <c r="B564" s="48"/>
      <c r="C564" s="49"/>
      <c r="D564" s="49"/>
      <c r="E564" s="49"/>
      <c r="F564" s="49"/>
      <c r="G564" s="49"/>
      <c r="H564" s="49"/>
      <c r="I564" s="78"/>
    </row>
    <row r="565" spans="1:9" ht="18.75" customHeight="1">
      <c r="A565" s="48"/>
      <c r="B565" s="48"/>
      <c r="C565" s="49"/>
      <c r="D565" s="49"/>
      <c r="E565" s="49"/>
      <c r="F565" s="49"/>
      <c r="G565" s="49"/>
      <c r="H565" s="49"/>
      <c r="I565" s="78"/>
    </row>
    <row r="566" spans="1:9" ht="18.75" customHeight="1">
      <c r="A566" s="48"/>
      <c r="B566" s="48"/>
      <c r="C566" s="49"/>
      <c r="D566" s="49"/>
      <c r="E566" s="49"/>
      <c r="F566" s="49"/>
      <c r="G566" s="49"/>
      <c r="H566" s="49"/>
      <c r="I566" s="78"/>
    </row>
    <row r="567" spans="1:9" ht="18.75" customHeight="1">
      <c r="A567" s="48"/>
      <c r="B567" s="48"/>
      <c r="C567" s="49"/>
      <c r="D567" s="49"/>
      <c r="E567" s="49"/>
      <c r="F567" s="49"/>
      <c r="G567" s="49"/>
      <c r="H567" s="49"/>
      <c r="I567" s="78"/>
    </row>
    <row r="568" spans="1:9" ht="18.75" customHeight="1">
      <c r="A568" s="48"/>
      <c r="B568" s="48"/>
      <c r="C568" s="49"/>
      <c r="D568" s="49"/>
      <c r="E568" s="49"/>
      <c r="F568" s="49"/>
      <c r="G568" s="49"/>
      <c r="H568" s="49"/>
      <c r="I568" s="78"/>
    </row>
    <row r="569" spans="1:9" ht="18.75" customHeight="1">
      <c r="A569" s="48"/>
      <c r="B569" s="48"/>
      <c r="C569" s="49"/>
      <c r="D569" s="49"/>
      <c r="E569" s="49"/>
      <c r="F569" s="49"/>
      <c r="G569" s="49"/>
      <c r="H569" s="49"/>
      <c r="I569" s="78"/>
    </row>
    <row r="570" spans="1:9" ht="18.75" customHeight="1">
      <c r="A570" s="48"/>
      <c r="B570" s="48"/>
      <c r="C570" s="49"/>
      <c r="D570" s="49"/>
      <c r="E570" s="49"/>
      <c r="F570" s="49"/>
      <c r="G570" s="49"/>
      <c r="H570" s="49"/>
      <c r="I570" s="78"/>
    </row>
    <row r="571" spans="1:9" ht="18.75" customHeight="1">
      <c r="A571" s="48"/>
      <c r="B571" s="48"/>
      <c r="C571" s="49"/>
      <c r="D571" s="49"/>
      <c r="E571" s="49"/>
      <c r="F571" s="49"/>
      <c r="G571" s="49"/>
      <c r="H571" s="49"/>
      <c r="I571" s="78"/>
    </row>
    <row r="572" spans="1:9" ht="18.75" customHeight="1">
      <c r="A572" s="48"/>
      <c r="B572" s="48"/>
      <c r="C572" s="49"/>
      <c r="D572" s="49"/>
      <c r="E572" s="49"/>
      <c r="F572" s="49"/>
      <c r="G572" s="49"/>
      <c r="H572" s="49"/>
      <c r="I572" s="78"/>
    </row>
    <row r="573" spans="1:9" ht="18.75" customHeight="1">
      <c r="A573" s="48"/>
      <c r="B573" s="48"/>
      <c r="C573" s="49"/>
      <c r="D573" s="49"/>
      <c r="E573" s="49"/>
      <c r="F573" s="49"/>
      <c r="G573" s="49"/>
      <c r="H573" s="49"/>
      <c r="I573" s="78"/>
    </row>
    <row r="574" spans="1:9" ht="18.75" customHeight="1">
      <c r="A574" s="48"/>
      <c r="B574" s="48"/>
      <c r="C574" s="49"/>
      <c r="D574" s="49"/>
      <c r="E574" s="49"/>
      <c r="F574" s="49"/>
      <c r="G574" s="49"/>
      <c r="H574" s="49"/>
      <c r="I574" s="78"/>
    </row>
    <row r="575" spans="1:9" ht="18.75" customHeight="1">
      <c r="A575" s="48"/>
      <c r="B575" s="48"/>
      <c r="C575" s="49"/>
      <c r="D575" s="49"/>
      <c r="E575" s="49"/>
      <c r="F575" s="49"/>
      <c r="G575" s="49"/>
      <c r="H575" s="49"/>
      <c r="I575" s="78"/>
    </row>
    <row r="576" spans="1:9"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995" xr:uid="{00000000-0009-0000-0000-000001000000}"/>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 ref="I18" r:id="rId17" xr:uid="{00000000-0004-0000-0100-000010000000}"/>
    <hyperlink ref="I19" r:id="rId18" xr:uid="{00000000-0004-0000-0100-000011000000}"/>
    <hyperlink ref="I20" r:id="rId19" xr:uid="{00000000-0004-0000-0100-000012000000}"/>
    <hyperlink ref="I21" r:id="rId20" xr:uid="{00000000-0004-0000-0100-000013000000}"/>
    <hyperlink ref="I22" r:id="rId21" xr:uid="{00000000-0004-0000-0100-000014000000}"/>
    <hyperlink ref="I23" r:id="rId22" xr:uid="{00000000-0004-0000-0100-000015000000}"/>
    <hyperlink ref="I24" r:id="rId23" xr:uid="{00000000-0004-0000-0100-000016000000}"/>
    <hyperlink ref="I25" r:id="rId24" xr:uid="{00000000-0004-0000-0100-000017000000}"/>
    <hyperlink ref="I26" r:id="rId25" xr:uid="{00000000-0004-0000-0100-000018000000}"/>
    <hyperlink ref="I27" r:id="rId26" xr:uid="{00000000-0004-0000-0100-000019000000}"/>
    <hyperlink ref="I28" r:id="rId27" xr:uid="{00000000-0004-0000-0100-00001A000000}"/>
    <hyperlink ref="I29" r:id="rId28" xr:uid="{00000000-0004-0000-0100-00001B000000}"/>
    <hyperlink ref="I30" r:id="rId29" xr:uid="{00000000-0004-0000-0100-00001C000000}"/>
    <hyperlink ref="I31" r:id="rId30" xr:uid="{00000000-0004-0000-0100-00001D000000}"/>
    <hyperlink ref="I32" r:id="rId31" xr:uid="{00000000-0004-0000-0100-00001E000000}"/>
    <hyperlink ref="I33" r:id="rId32" xr:uid="{00000000-0004-0000-0100-00001F000000}"/>
    <hyperlink ref="I34" r:id="rId33" xr:uid="{00000000-0004-0000-0100-000020000000}"/>
    <hyperlink ref="I35" r:id="rId34" xr:uid="{00000000-0004-0000-0100-000021000000}"/>
    <hyperlink ref="I36" r:id="rId35" xr:uid="{00000000-0004-0000-0100-000022000000}"/>
    <hyperlink ref="I37" r:id="rId36" xr:uid="{00000000-0004-0000-0100-000023000000}"/>
    <hyperlink ref="I38" r:id="rId37" xr:uid="{00000000-0004-0000-0100-000024000000}"/>
    <hyperlink ref="I39" r:id="rId38" xr:uid="{00000000-0004-0000-0100-000025000000}"/>
    <hyperlink ref="I40" r:id="rId39" xr:uid="{00000000-0004-0000-0100-000026000000}"/>
    <hyperlink ref="I41" r:id="rId40" xr:uid="{00000000-0004-0000-0100-000027000000}"/>
    <hyperlink ref="I42" r:id="rId41" xr:uid="{00000000-0004-0000-0100-000028000000}"/>
    <hyperlink ref="I43" r:id="rId42" xr:uid="{00000000-0004-0000-0100-000029000000}"/>
    <hyperlink ref="I44" r:id="rId43" xr:uid="{00000000-0004-0000-0100-00002A000000}"/>
    <hyperlink ref="I45" r:id="rId44" xr:uid="{00000000-0004-0000-0100-00002B000000}"/>
    <hyperlink ref="I46" r:id="rId45" xr:uid="{00000000-0004-0000-0100-00002C000000}"/>
    <hyperlink ref="I47" r:id="rId46" xr:uid="{00000000-0004-0000-0100-00002D000000}"/>
    <hyperlink ref="I48" r:id="rId47" xr:uid="{00000000-0004-0000-0100-00002E000000}"/>
    <hyperlink ref="I49" r:id="rId48" xr:uid="{00000000-0004-0000-0100-00002F000000}"/>
    <hyperlink ref="I50" r:id="rId49" xr:uid="{00000000-0004-0000-0100-000030000000}"/>
    <hyperlink ref="I51" r:id="rId50" xr:uid="{00000000-0004-0000-0100-000031000000}"/>
    <hyperlink ref="I52" r:id="rId51" xr:uid="{00000000-0004-0000-0100-000032000000}"/>
    <hyperlink ref="I53" r:id="rId52" xr:uid="{00000000-0004-0000-0100-000033000000}"/>
    <hyperlink ref="I54" r:id="rId53" xr:uid="{00000000-0004-0000-0100-000034000000}"/>
    <hyperlink ref="I55" r:id="rId54" xr:uid="{00000000-0004-0000-0100-000035000000}"/>
    <hyperlink ref="I56" r:id="rId55" xr:uid="{00000000-0004-0000-0100-000036000000}"/>
    <hyperlink ref="I57" r:id="rId56" xr:uid="{00000000-0004-0000-0100-000037000000}"/>
    <hyperlink ref="I58" r:id="rId57" xr:uid="{00000000-0004-0000-0100-000038000000}"/>
    <hyperlink ref="I59" r:id="rId58" xr:uid="{00000000-0004-0000-0100-000039000000}"/>
    <hyperlink ref="I60" r:id="rId59" xr:uid="{00000000-0004-0000-0100-00003A000000}"/>
    <hyperlink ref="I61" r:id="rId60" xr:uid="{00000000-0004-0000-0100-00003B000000}"/>
    <hyperlink ref="I62" r:id="rId61" xr:uid="{00000000-0004-0000-0100-00003C000000}"/>
    <hyperlink ref="H63" r:id="rId62" xr:uid="{00000000-0004-0000-0100-00003D000000}"/>
    <hyperlink ref="I63" r:id="rId63" xr:uid="{00000000-0004-0000-0100-00003E000000}"/>
    <hyperlink ref="I64" r:id="rId64" xr:uid="{00000000-0004-0000-0100-00003F000000}"/>
    <hyperlink ref="I65" r:id="rId65" xr:uid="{00000000-0004-0000-0100-000040000000}"/>
    <hyperlink ref="I66" r:id="rId66" xr:uid="{00000000-0004-0000-0100-000041000000}"/>
    <hyperlink ref="I67" r:id="rId67" xr:uid="{00000000-0004-0000-0100-000042000000}"/>
    <hyperlink ref="I68" r:id="rId68" xr:uid="{00000000-0004-0000-0100-000043000000}"/>
    <hyperlink ref="I69" r:id="rId69" xr:uid="{00000000-0004-0000-0100-000044000000}"/>
    <hyperlink ref="I70" r:id="rId70" xr:uid="{00000000-0004-0000-0100-000045000000}"/>
    <hyperlink ref="I71" r:id="rId71" xr:uid="{00000000-0004-0000-0100-000046000000}"/>
    <hyperlink ref="I72" r:id="rId72" xr:uid="{00000000-0004-0000-0100-000047000000}"/>
    <hyperlink ref="I73" r:id="rId73" xr:uid="{00000000-0004-0000-0100-000048000000}"/>
    <hyperlink ref="I74" r:id="rId74" xr:uid="{00000000-0004-0000-0100-000049000000}"/>
    <hyperlink ref="I75" r:id="rId75" xr:uid="{00000000-0004-0000-0100-00004A000000}"/>
    <hyperlink ref="I76" r:id="rId76" xr:uid="{00000000-0004-0000-0100-00004B000000}"/>
    <hyperlink ref="I78" r:id="rId77" xr:uid="{00000000-0004-0000-0100-00004C000000}"/>
    <hyperlink ref="I79" r:id="rId78" xr:uid="{00000000-0004-0000-0100-00004D000000}"/>
    <hyperlink ref="I80" r:id="rId79" xr:uid="{00000000-0004-0000-0100-00004E000000}"/>
    <hyperlink ref="I81" r:id="rId80" xr:uid="{00000000-0004-0000-0100-00004F000000}"/>
    <hyperlink ref="I82" r:id="rId81" xr:uid="{00000000-0004-0000-0100-000050000000}"/>
    <hyperlink ref="I83" r:id="rId82" xr:uid="{00000000-0004-0000-0100-000051000000}"/>
    <hyperlink ref="I84" r:id="rId83" xr:uid="{00000000-0004-0000-0100-000052000000}"/>
    <hyperlink ref="I85" r:id="rId84" xr:uid="{00000000-0004-0000-0100-000053000000}"/>
    <hyperlink ref="I86" r:id="rId85" xr:uid="{00000000-0004-0000-0100-000054000000}"/>
    <hyperlink ref="I87" r:id="rId86" xr:uid="{00000000-0004-0000-0100-000055000000}"/>
    <hyperlink ref="I88" r:id="rId87" xr:uid="{00000000-0004-0000-0100-000056000000}"/>
    <hyperlink ref="I89" r:id="rId88" xr:uid="{00000000-0004-0000-0100-000057000000}"/>
    <hyperlink ref="I90" r:id="rId89" xr:uid="{00000000-0004-0000-0100-000058000000}"/>
    <hyperlink ref="I91" r:id="rId90" xr:uid="{00000000-0004-0000-0100-000059000000}"/>
    <hyperlink ref="I92" r:id="rId91" xr:uid="{00000000-0004-0000-0100-00005A000000}"/>
    <hyperlink ref="I93" r:id="rId92" xr:uid="{00000000-0004-0000-0100-00005B000000}"/>
    <hyperlink ref="I94" r:id="rId93" xr:uid="{00000000-0004-0000-0100-00005C000000}"/>
    <hyperlink ref="I95" r:id="rId94" xr:uid="{00000000-0004-0000-0100-00005D000000}"/>
    <hyperlink ref="I96" r:id="rId95" xr:uid="{00000000-0004-0000-0100-00005E000000}"/>
    <hyperlink ref="I97" r:id="rId96" xr:uid="{00000000-0004-0000-0100-00005F000000}"/>
    <hyperlink ref="I98" r:id="rId97" xr:uid="{00000000-0004-0000-0100-000060000000}"/>
    <hyperlink ref="I99" r:id="rId98" xr:uid="{00000000-0004-0000-0100-000061000000}"/>
    <hyperlink ref="I100" r:id="rId99" xr:uid="{00000000-0004-0000-0100-000062000000}"/>
    <hyperlink ref="I101" r:id="rId100" xr:uid="{00000000-0004-0000-0100-000063000000}"/>
    <hyperlink ref="I102" r:id="rId101" xr:uid="{00000000-0004-0000-0100-000064000000}"/>
    <hyperlink ref="I103" r:id="rId102" xr:uid="{00000000-0004-0000-0100-000065000000}"/>
    <hyperlink ref="I104" r:id="rId103" xr:uid="{00000000-0004-0000-0100-000066000000}"/>
    <hyperlink ref="I105" r:id="rId104" xr:uid="{00000000-0004-0000-0100-000067000000}"/>
    <hyperlink ref="I106" r:id="rId105" xr:uid="{00000000-0004-0000-0100-000068000000}"/>
    <hyperlink ref="I107" r:id="rId106" xr:uid="{00000000-0004-0000-0100-000069000000}"/>
    <hyperlink ref="I108" r:id="rId107" xr:uid="{00000000-0004-0000-0100-00006A000000}"/>
    <hyperlink ref="I109" r:id="rId108" xr:uid="{00000000-0004-0000-0100-00006B000000}"/>
    <hyperlink ref="I110" r:id="rId109" xr:uid="{00000000-0004-0000-0100-00006C000000}"/>
    <hyperlink ref="I111" r:id="rId110" xr:uid="{00000000-0004-0000-0100-00006D000000}"/>
    <hyperlink ref="I112" r:id="rId111" xr:uid="{00000000-0004-0000-0100-00006E000000}"/>
    <hyperlink ref="I113" r:id="rId112" xr:uid="{00000000-0004-0000-0100-00006F000000}"/>
    <hyperlink ref="I114" r:id="rId113" xr:uid="{00000000-0004-0000-0100-000070000000}"/>
    <hyperlink ref="I115" r:id="rId114" xr:uid="{00000000-0004-0000-0100-000071000000}"/>
    <hyperlink ref="I116" r:id="rId115" xr:uid="{00000000-0004-0000-0100-000072000000}"/>
    <hyperlink ref="I117" r:id="rId116" xr:uid="{00000000-0004-0000-0100-000073000000}"/>
    <hyperlink ref="I118" r:id="rId117" xr:uid="{00000000-0004-0000-0100-000074000000}"/>
    <hyperlink ref="I119" r:id="rId118" xr:uid="{00000000-0004-0000-0100-000075000000}"/>
    <hyperlink ref="I120" r:id="rId119" xr:uid="{00000000-0004-0000-0100-000076000000}"/>
    <hyperlink ref="I121" r:id="rId120" xr:uid="{00000000-0004-0000-0100-000077000000}"/>
    <hyperlink ref="I122" r:id="rId121" xr:uid="{00000000-0004-0000-0100-000078000000}"/>
    <hyperlink ref="I123" r:id="rId122" xr:uid="{00000000-0004-0000-0100-000079000000}"/>
    <hyperlink ref="I124" r:id="rId123" xr:uid="{00000000-0004-0000-0100-00007A000000}"/>
    <hyperlink ref="I125" r:id="rId124" xr:uid="{00000000-0004-0000-0100-00007B000000}"/>
    <hyperlink ref="I126" r:id="rId125" xr:uid="{00000000-0004-0000-0100-00007C000000}"/>
    <hyperlink ref="I127" r:id="rId126" xr:uid="{00000000-0004-0000-0100-00007D000000}"/>
    <hyperlink ref="I128" r:id="rId127" xr:uid="{00000000-0004-0000-0100-00007E000000}"/>
    <hyperlink ref="I129" r:id="rId128" xr:uid="{00000000-0004-0000-0100-00007F000000}"/>
    <hyperlink ref="I130" r:id="rId129" xr:uid="{00000000-0004-0000-0100-000080000000}"/>
    <hyperlink ref="I131" r:id="rId130" xr:uid="{00000000-0004-0000-0100-000081000000}"/>
    <hyperlink ref="I132" r:id="rId131" xr:uid="{00000000-0004-0000-0100-000082000000}"/>
    <hyperlink ref="H133" r:id="rId132" location="v=onepage&amp;q=%20Mercurialis&amp;f=false" xr:uid="{00000000-0004-0000-0100-000083000000}"/>
    <hyperlink ref="I133" r:id="rId133" xr:uid="{00000000-0004-0000-0100-000084000000}"/>
    <hyperlink ref="I134" r:id="rId134" xr:uid="{00000000-0004-0000-0100-000085000000}"/>
    <hyperlink ref="I135" r:id="rId135" xr:uid="{00000000-0004-0000-0100-000086000000}"/>
    <hyperlink ref="I136" r:id="rId136" xr:uid="{00000000-0004-0000-0100-000087000000}"/>
    <hyperlink ref="I137" r:id="rId137" xr:uid="{00000000-0004-0000-0100-000088000000}"/>
    <hyperlink ref="I138" r:id="rId138" xr:uid="{00000000-0004-0000-0100-000089000000}"/>
    <hyperlink ref="I139" r:id="rId139" xr:uid="{00000000-0004-0000-0100-00008A000000}"/>
    <hyperlink ref="I140" r:id="rId140" xr:uid="{00000000-0004-0000-0100-00008B000000}"/>
    <hyperlink ref="I141" r:id="rId141" xr:uid="{00000000-0004-0000-0100-00008C000000}"/>
    <hyperlink ref="I142" r:id="rId142" xr:uid="{00000000-0004-0000-0100-00008D000000}"/>
    <hyperlink ref="I143" r:id="rId143" xr:uid="{00000000-0004-0000-0100-00008E000000}"/>
    <hyperlink ref="I144" r:id="rId144" xr:uid="{00000000-0004-0000-0100-00008F000000}"/>
    <hyperlink ref="I145" r:id="rId145" xr:uid="{00000000-0004-0000-0100-000090000000}"/>
    <hyperlink ref="I146" r:id="rId146" xr:uid="{00000000-0004-0000-0100-000091000000}"/>
    <hyperlink ref="I147" r:id="rId147" xr:uid="{00000000-0004-0000-0100-000092000000}"/>
    <hyperlink ref="I148" r:id="rId148" xr:uid="{00000000-0004-0000-0100-000093000000}"/>
    <hyperlink ref="I149" r:id="rId149" xr:uid="{00000000-0004-0000-0100-000094000000}"/>
    <hyperlink ref="I150" r:id="rId150" xr:uid="{00000000-0004-0000-0100-000095000000}"/>
    <hyperlink ref="I151" r:id="rId151" xr:uid="{00000000-0004-0000-0100-000096000000}"/>
    <hyperlink ref="I152" r:id="rId152" xr:uid="{00000000-0004-0000-0100-000097000000}"/>
    <hyperlink ref="I153" r:id="rId153" xr:uid="{00000000-0004-0000-0100-000098000000}"/>
    <hyperlink ref="I154" r:id="rId154" xr:uid="{00000000-0004-0000-0100-000099000000}"/>
    <hyperlink ref="I155" r:id="rId155" xr:uid="{00000000-0004-0000-0100-00009A000000}"/>
    <hyperlink ref="I156" r:id="rId156" xr:uid="{00000000-0004-0000-0100-00009B000000}"/>
    <hyperlink ref="I157" r:id="rId157" xr:uid="{00000000-0004-0000-0100-00009C000000}"/>
    <hyperlink ref="I158" r:id="rId158" xr:uid="{00000000-0004-0000-0100-00009D000000}"/>
    <hyperlink ref="I159" r:id="rId159" xr:uid="{00000000-0004-0000-0100-00009E000000}"/>
    <hyperlink ref="I160" r:id="rId160" xr:uid="{00000000-0004-0000-0100-00009F000000}"/>
    <hyperlink ref="I161" r:id="rId161" xr:uid="{00000000-0004-0000-0100-0000A0000000}"/>
    <hyperlink ref="I162" r:id="rId162" xr:uid="{00000000-0004-0000-0100-0000A1000000}"/>
    <hyperlink ref="I163" r:id="rId163" xr:uid="{00000000-0004-0000-0100-0000A2000000}"/>
    <hyperlink ref="I164" r:id="rId164" xr:uid="{00000000-0004-0000-0100-0000A3000000}"/>
    <hyperlink ref="I165" r:id="rId165" xr:uid="{00000000-0004-0000-0100-0000A4000000}"/>
    <hyperlink ref="I166" r:id="rId166" xr:uid="{00000000-0004-0000-0100-0000A5000000}"/>
    <hyperlink ref="I167" r:id="rId167" xr:uid="{00000000-0004-0000-0100-0000A6000000}"/>
    <hyperlink ref="I168" r:id="rId168" xr:uid="{00000000-0004-0000-0100-0000A7000000}"/>
    <hyperlink ref="I169" r:id="rId169" xr:uid="{00000000-0004-0000-0100-0000A8000000}"/>
    <hyperlink ref="I170" r:id="rId170" xr:uid="{00000000-0004-0000-0100-0000A9000000}"/>
    <hyperlink ref="I171" r:id="rId171" xr:uid="{00000000-0004-0000-0100-0000AA000000}"/>
    <hyperlink ref="I172" r:id="rId172" xr:uid="{00000000-0004-0000-0100-0000AB000000}"/>
    <hyperlink ref="I173" r:id="rId173" xr:uid="{00000000-0004-0000-0100-0000AC000000}"/>
    <hyperlink ref="I174" r:id="rId174" xr:uid="{00000000-0004-0000-0100-0000AD000000}"/>
    <hyperlink ref="I175" r:id="rId175" xr:uid="{00000000-0004-0000-0100-0000AE000000}"/>
    <hyperlink ref="I176" r:id="rId176" xr:uid="{00000000-0004-0000-0100-0000AF000000}"/>
    <hyperlink ref="I177" r:id="rId177" xr:uid="{00000000-0004-0000-0100-0000B0000000}"/>
    <hyperlink ref="I178" r:id="rId178" xr:uid="{00000000-0004-0000-0100-0000B1000000}"/>
    <hyperlink ref="I179" r:id="rId179" xr:uid="{00000000-0004-0000-0100-0000B2000000}"/>
    <hyperlink ref="I180" r:id="rId180" xr:uid="{00000000-0004-0000-0100-0000B3000000}"/>
    <hyperlink ref="I181" r:id="rId181" xr:uid="{00000000-0004-0000-0100-0000B4000000}"/>
    <hyperlink ref="I182" r:id="rId182" xr:uid="{00000000-0004-0000-0100-0000B5000000}"/>
    <hyperlink ref="I183" r:id="rId183" xr:uid="{00000000-0004-0000-0100-0000B6000000}"/>
    <hyperlink ref="I184" r:id="rId184" xr:uid="{00000000-0004-0000-0100-0000B7000000}"/>
    <hyperlink ref="I185" r:id="rId185" xr:uid="{00000000-0004-0000-0100-0000B8000000}"/>
    <hyperlink ref="I186" r:id="rId186" xr:uid="{00000000-0004-0000-0100-0000B9000000}"/>
    <hyperlink ref="I187" r:id="rId187" xr:uid="{00000000-0004-0000-0100-0000BA000000}"/>
    <hyperlink ref="I188" r:id="rId188" xr:uid="{00000000-0004-0000-0100-0000BB000000}"/>
    <hyperlink ref="I189" r:id="rId189" xr:uid="{00000000-0004-0000-0100-0000BC000000}"/>
    <hyperlink ref="I190" r:id="rId190" xr:uid="{00000000-0004-0000-0100-0000BD000000}"/>
    <hyperlink ref="I191" r:id="rId191" xr:uid="{00000000-0004-0000-0100-0000BE000000}"/>
    <hyperlink ref="I192" r:id="rId192" xr:uid="{00000000-0004-0000-0100-0000BF000000}"/>
    <hyperlink ref="I193" r:id="rId193" xr:uid="{00000000-0004-0000-0100-0000C0000000}"/>
    <hyperlink ref="I194" r:id="rId194" xr:uid="{00000000-0004-0000-0100-0000C1000000}"/>
    <hyperlink ref="I195" r:id="rId195" xr:uid="{00000000-0004-0000-0100-0000C2000000}"/>
    <hyperlink ref="I196" r:id="rId196" xr:uid="{00000000-0004-0000-0100-0000C3000000}"/>
    <hyperlink ref="I197" r:id="rId197" xr:uid="{00000000-0004-0000-0100-0000C4000000}"/>
    <hyperlink ref="I198" r:id="rId198" xr:uid="{00000000-0004-0000-0100-0000C5000000}"/>
    <hyperlink ref="I199" r:id="rId199" xr:uid="{00000000-0004-0000-0100-0000C6000000}"/>
    <hyperlink ref="I200" r:id="rId200" xr:uid="{00000000-0004-0000-0100-0000C7000000}"/>
    <hyperlink ref="I201" r:id="rId201" xr:uid="{00000000-0004-0000-0100-0000C8000000}"/>
    <hyperlink ref="I202" r:id="rId202" xr:uid="{00000000-0004-0000-0100-0000C9000000}"/>
    <hyperlink ref="I203" r:id="rId203" xr:uid="{00000000-0004-0000-0100-0000CA000000}"/>
    <hyperlink ref="I204" r:id="rId204" xr:uid="{00000000-0004-0000-0100-0000CB000000}"/>
    <hyperlink ref="I205" r:id="rId205" xr:uid="{00000000-0004-0000-0100-0000CC000000}"/>
    <hyperlink ref="I206" r:id="rId206" xr:uid="{00000000-0004-0000-0100-0000CD000000}"/>
    <hyperlink ref="I207" r:id="rId207" xr:uid="{00000000-0004-0000-0100-0000CE000000}"/>
    <hyperlink ref="I208" r:id="rId208" xr:uid="{00000000-0004-0000-0100-0000CF000000}"/>
    <hyperlink ref="I209" r:id="rId209" xr:uid="{00000000-0004-0000-0100-0000D0000000}"/>
    <hyperlink ref="I210" r:id="rId210" xr:uid="{00000000-0004-0000-0100-0000D1000000}"/>
    <hyperlink ref="I211" r:id="rId211" xr:uid="{00000000-0004-0000-0100-0000D2000000}"/>
    <hyperlink ref="I212" r:id="rId212" xr:uid="{00000000-0004-0000-0100-0000D3000000}"/>
    <hyperlink ref="I213" r:id="rId213" xr:uid="{00000000-0004-0000-0100-0000D4000000}"/>
    <hyperlink ref="I214" r:id="rId214" xr:uid="{00000000-0004-0000-0100-0000D5000000}"/>
    <hyperlink ref="I215" r:id="rId215" xr:uid="{00000000-0004-0000-0100-0000D6000000}"/>
    <hyperlink ref="I216" r:id="rId216" xr:uid="{00000000-0004-0000-0100-0000D7000000}"/>
    <hyperlink ref="I217" r:id="rId217" xr:uid="{00000000-0004-0000-0100-0000D8000000}"/>
    <hyperlink ref="I218" r:id="rId218" xr:uid="{00000000-0004-0000-0100-0000D9000000}"/>
    <hyperlink ref="I219" r:id="rId219" xr:uid="{00000000-0004-0000-0100-0000DA000000}"/>
    <hyperlink ref="I220" r:id="rId220" xr:uid="{00000000-0004-0000-0100-0000DB000000}"/>
    <hyperlink ref="I221" r:id="rId221" xr:uid="{00000000-0004-0000-0100-0000DC000000}"/>
    <hyperlink ref="I222" r:id="rId222" xr:uid="{00000000-0004-0000-0100-0000DD000000}"/>
    <hyperlink ref="I223" r:id="rId223" xr:uid="{00000000-0004-0000-0100-0000DE000000}"/>
    <hyperlink ref="I224" r:id="rId224" xr:uid="{00000000-0004-0000-0100-0000DF000000}"/>
    <hyperlink ref="I225" r:id="rId225" xr:uid="{00000000-0004-0000-0100-0000E0000000}"/>
    <hyperlink ref="I226" r:id="rId226" xr:uid="{00000000-0004-0000-0100-0000E1000000}"/>
    <hyperlink ref="I227" r:id="rId227" xr:uid="{00000000-0004-0000-0100-0000E2000000}"/>
    <hyperlink ref="I228" r:id="rId228" xr:uid="{00000000-0004-0000-0100-0000E3000000}"/>
    <hyperlink ref="I229" r:id="rId229" xr:uid="{00000000-0004-0000-0100-0000E4000000}"/>
    <hyperlink ref="I230" r:id="rId230" xr:uid="{00000000-0004-0000-0100-0000E5000000}"/>
    <hyperlink ref="I231" r:id="rId231" xr:uid="{00000000-0004-0000-0100-0000E6000000}"/>
    <hyperlink ref="I232" r:id="rId232" xr:uid="{00000000-0004-0000-0100-0000E7000000}"/>
    <hyperlink ref="I233" r:id="rId233" xr:uid="{00000000-0004-0000-0100-0000E8000000}"/>
    <hyperlink ref="I234" r:id="rId234" xr:uid="{00000000-0004-0000-0100-0000E9000000}"/>
    <hyperlink ref="I235" r:id="rId235" xr:uid="{00000000-0004-0000-0100-0000EA000000}"/>
    <hyperlink ref="I236" r:id="rId236" xr:uid="{00000000-0004-0000-0100-0000EB000000}"/>
    <hyperlink ref="I237" r:id="rId237" xr:uid="{00000000-0004-0000-0100-0000EC000000}"/>
    <hyperlink ref="I238" r:id="rId238" xr:uid="{00000000-0004-0000-0100-0000ED000000}"/>
    <hyperlink ref="I239" r:id="rId239" xr:uid="{00000000-0004-0000-0100-0000EE000000}"/>
    <hyperlink ref="I240" r:id="rId240" xr:uid="{00000000-0004-0000-0100-0000EF000000}"/>
    <hyperlink ref="I241" r:id="rId241" xr:uid="{00000000-0004-0000-0100-0000F0000000}"/>
    <hyperlink ref="I242" r:id="rId242" xr:uid="{00000000-0004-0000-0100-0000F1000000}"/>
    <hyperlink ref="I243" r:id="rId243" xr:uid="{00000000-0004-0000-0100-0000F2000000}"/>
    <hyperlink ref="I244" r:id="rId244" xr:uid="{00000000-0004-0000-0100-0000F3000000}"/>
    <hyperlink ref="I245" r:id="rId245" xr:uid="{00000000-0004-0000-0100-0000F4000000}"/>
    <hyperlink ref="I246" r:id="rId246" xr:uid="{00000000-0004-0000-0100-0000F5000000}"/>
    <hyperlink ref="I247" r:id="rId247" xr:uid="{00000000-0004-0000-0100-0000F6000000}"/>
    <hyperlink ref="I248" r:id="rId248" xr:uid="{00000000-0004-0000-0100-0000F7000000}"/>
    <hyperlink ref="I249" r:id="rId249" xr:uid="{00000000-0004-0000-0100-0000F8000000}"/>
    <hyperlink ref="I250" r:id="rId250" xr:uid="{00000000-0004-0000-0100-0000F9000000}"/>
    <hyperlink ref="I251" r:id="rId251" xr:uid="{00000000-0004-0000-0100-0000FA000000}"/>
    <hyperlink ref="I252" r:id="rId252" xr:uid="{00000000-0004-0000-0100-0000FB000000}"/>
    <hyperlink ref="I253" r:id="rId253" xr:uid="{00000000-0004-0000-0100-0000FC000000}"/>
    <hyperlink ref="I254" r:id="rId254" xr:uid="{00000000-0004-0000-0100-0000FD000000}"/>
    <hyperlink ref="I255" r:id="rId255" xr:uid="{00000000-0004-0000-0100-0000FE000000}"/>
    <hyperlink ref="I256" r:id="rId256" xr:uid="{00000000-0004-0000-0100-0000FF000000}"/>
    <hyperlink ref="I257" r:id="rId257" xr:uid="{00000000-0004-0000-0100-000000010000}"/>
    <hyperlink ref="I258" r:id="rId258" xr:uid="{00000000-0004-0000-0100-000001010000}"/>
    <hyperlink ref="I259" r:id="rId259" xr:uid="{00000000-0004-0000-0100-000002010000}"/>
    <hyperlink ref="I260" r:id="rId260" xr:uid="{00000000-0004-0000-0100-000003010000}"/>
    <hyperlink ref="I261" r:id="rId261" xr:uid="{00000000-0004-0000-0100-000004010000}"/>
    <hyperlink ref="I262" r:id="rId262" xr:uid="{00000000-0004-0000-0100-000005010000}"/>
    <hyperlink ref="I263" r:id="rId263" xr:uid="{00000000-0004-0000-0100-000006010000}"/>
    <hyperlink ref="I264" r:id="rId264" xr:uid="{00000000-0004-0000-0100-000007010000}"/>
    <hyperlink ref="I265" r:id="rId265" xr:uid="{00000000-0004-0000-0100-000008010000}"/>
    <hyperlink ref="I266" r:id="rId266" xr:uid="{00000000-0004-0000-0100-000009010000}"/>
    <hyperlink ref="I267" r:id="rId267" xr:uid="{00000000-0004-0000-0100-00000A010000}"/>
    <hyperlink ref="I268" r:id="rId268" xr:uid="{00000000-0004-0000-0100-00000B010000}"/>
    <hyperlink ref="I269" r:id="rId269" xr:uid="{00000000-0004-0000-0100-00000C010000}"/>
    <hyperlink ref="I270" r:id="rId270" xr:uid="{00000000-0004-0000-0100-00000D010000}"/>
    <hyperlink ref="I271" r:id="rId271" xr:uid="{00000000-0004-0000-0100-00000E010000}"/>
    <hyperlink ref="I272" r:id="rId272" xr:uid="{00000000-0004-0000-0100-00000F010000}"/>
    <hyperlink ref="I273" r:id="rId273" xr:uid="{00000000-0004-0000-0100-000010010000}"/>
    <hyperlink ref="I274" r:id="rId274" xr:uid="{00000000-0004-0000-0100-000011010000}"/>
    <hyperlink ref="I275" r:id="rId275" xr:uid="{00000000-0004-0000-0100-000012010000}"/>
    <hyperlink ref="I276" r:id="rId276" xr:uid="{00000000-0004-0000-0100-000013010000}"/>
    <hyperlink ref="I277" r:id="rId277" xr:uid="{00000000-0004-0000-0100-000014010000}"/>
    <hyperlink ref="I278" r:id="rId278" xr:uid="{00000000-0004-0000-0100-000015010000}"/>
    <hyperlink ref="I279" r:id="rId279" xr:uid="{00000000-0004-0000-0100-000016010000}"/>
    <hyperlink ref="I280" r:id="rId280" xr:uid="{00000000-0004-0000-0100-000017010000}"/>
    <hyperlink ref="I281" r:id="rId281" xr:uid="{00000000-0004-0000-0100-000018010000}"/>
    <hyperlink ref="I282" r:id="rId282" xr:uid="{00000000-0004-0000-0100-000019010000}"/>
    <hyperlink ref="I283" r:id="rId283" xr:uid="{00000000-0004-0000-0100-00001A010000}"/>
    <hyperlink ref="I284" r:id="rId284" xr:uid="{00000000-0004-0000-0100-00001B010000}"/>
    <hyperlink ref="I285" r:id="rId285" xr:uid="{00000000-0004-0000-0100-00001C010000}"/>
    <hyperlink ref="I286" r:id="rId286" xr:uid="{00000000-0004-0000-0100-00001D010000}"/>
    <hyperlink ref="I287" r:id="rId287" xr:uid="{00000000-0004-0000-0100-00001E010000}"/>
    <hyperlink ref="I288" r:id="rId288" xr:uid="{00000000-0004-0000-0100-00001F010000}"/>
    <hyperlink ref="I289" r:id="rId289" xr:uid="{00000000-0004-0000-0100-000020010000}"/>
    <hyperlink ref="I290" r:id="rId290" xr:uid="{00000000-0004-0000-0100-000021010000}"/>
    <hyperlink ref="I291" r:id="rId291" xr:uid="{00000000-0004-0000-0100-000022010000}"/>
    <hyperlink ref="I292" r:id="rId292" xr:uid="{00000000-0004-0000-0100-000023010000}"/>
    <hyperlink ref="I293" r:id="rId293" xr:uid="{00000000-0004-0000-0100-000024010000}"/>
    <hyperlink ref="I294" r:id="rId294" xr:uid="{00000000-0004-0000-0100-000025010000}"/>
    <hyperlink ref="I295" r:id="rId295" xr:uid="{00000000-0004-0000-0100-000026010000}"/>
    <hyperlink ref="I296" r:id="rId296" xr:uid="{00000000-0004-0000-0100-000027010000}"/>
    <hyperlink ref="I297" r:id="rId297" xr:uid="{00000000-0004-0000-0100-000028010000}"/>
    <hyperlink ref="I298" r:id="rId298" xr:uid="{00000000-0004-0000-0100-000029010000}"/>
    <hyperlink ref="I299" r:id="rId299" xr:uid="{00000000-0004-0000-0100-00002A010000}"/>
    <hyperlink ref="I300" r:id="rId300" xr:uid="{00000000-0004-0000-0100-00002B010000}"/>
    <hyperlink ref="I301" r:id="rId301" xr:uid="{00000000-0004-0000-0100-00002C010000}"/>
    <hyperlink ref="I302" r:id="rId302" xr:uid="{00000000-0004-0000-0100-00002D010000}"/>
    <hyperlink ref="I303" r:id="rId303" xr:uid="{00000000-0004-0000-0100-00002E010000}"/>
    <hyperlink ref="I304" r:id="rId304" xr:uid="{00000000-0004-0000-0100-00002F010000}"/>
    <hyperlink ref="I305" r:id="rId305" xr:uid="{00000000-0004-0000-0100-000030010000}"/>
    <hyperlink ref="I306" r:id="rId306" xr:uid="{00000000-0004-0000-0100-000031010000}"/>
    <hyperlink ref="I307" r:id="rId307" xr:uid="{00000000-0004-0000-0100-000032010000}"/>
    <hyperlink ref="I308" r:id="rId308" xr:uid="{00000000-0004-0000-0100-000033010000}"/>
    <hyperlink ref="I309" r:id="rId309" xr:uid="{00000000-0004-0000-0100-000034010000}"/>
    <hyperlink ref="I310" r:id="rId310" xr:uid="{00000000-0004-0000-0100-000035010000}"/>
    <hyperlink ref="I311" r:id="rId311" xr:uid="{00000000-0004-0000-0100-000036010000}"/>
    <hyperlink ref="I312" r:id="rId312" xr:uid="{00000000-0004-0000-0100-000037010000}"/>
    <hyperlink ref="I313" r:id="rId313" xr:uid="{00000000-0004-0000-0100-000038010000}"/>
    <hyperlink ref="I314" r:id="rId314" xr:uid="{00000000-0004-0000-0100-000039010000}"/>
    <hyperlink ref="I315" r:id="rId315" xr:uid="{00000000-0004-0000-0100-00003A010000}"/>
    <hyperlink ref="I316" r:id="rId316" xr:uid="{00000000-0004-0000-0100-00003B010000}"/>
    <hyperlink ref="I317" r:id="rId317" xr:uid="{00000000-0004-0000-0100-00003C010000}"/>
    <hyperlink ref="I318" r:id="rId318" xr:uid="{00000000-0004-0000-0100-00003D010000}"/>
    <hyperlink ref="I319" r:id="rId319" xr:uid="{00000000-0004-0000-0100-00003E010000}"/>
    <hyperlink ref="I320" r:id="rId320" xr:uid="{00000000-0004-0000-0100-00003F010000}"/>
    <hyperlink ref="I321" r:id="rId321" xr:uid="{00000000-0004-0000-0100-000040010000}"/>
    <hyperlink ref="I322" r:id="rId322" xr:uid="{00000000-0004-0000-0100-000041010000}"/>
    <hyperlink ref="I323" r:id="rId323" xr:uid="{00000000-0004-0000-0100-000042010000}"/>
    <hyperlink ref="I324" r:id="rId324" xr:uid="{00000000-0004-0000-0100-000043010000}"/>
    <hyperlink ref="I325" r:id="rId325" xr:uid="{00000000-0004-0000-0100-000044010000}"/>
    <hyperlink ref="I326" r:id="rId326" xr:uid="{00000000-0004-0000-0100-000045010000}"/>
    <hyperlink ref="I327" r:id="rId327" xr:uid="{00000000-0004-0000-0100-000046010000}"/>
    <hyperlink ref="I328" r:id="rId328" xr:uid="{00000000-0004-0000-0100-000047010000}"/>
    <hyperlink ref="I329" r:id="rId329" xr:uid="{00000000-0004-0000-0100-000048010000}"/>
    <hyperlink ref="I330" r:id="rId330" xr:uid="{00000000-0004-0000-0100-000049010000}"/>
    <hyperlink ref="I331" r:id="rId331" xr:uid="{00000000-0004-0000-0100-00004A010000}"/>
    <hyperlink ref="I332" r:id="rId332" xr:uid="{00000000-0004-0000-0100-00004B010000}"/>
    <hyperlink ref="I333" r:id="rId333" xr:uid="{00000000-0004-0000-0100-00004C010000}"/>
    <hyperlink ref="I334" r:id="rId334" xr:uid="{00000000-0004-0000-0100-00004D010000}"/>
    <hyperlink ref="I335" r:id="rId335" xr:uid="{00000000-0004-0000-0100-00004E010000}"/>
    <hyperlink ref="I336" r:id="rId336" xr:uid="{00000000-0004-0000-0100-00004F010000}"/>
    <hyperlink ref="I337" r:id="rId337" xr:uid="{00000000-0004-0000-0100-000050010000}"/>
    <hyperlink ref="I338" r:id="rId338" xr:uid="{00000000-0004-0000-0100-000051010000}"/>
    <hyperlink ref="I339" r:id="rId339" xr:uid="{00000000-0004-0000-0100-000052010000}"/>
    <hyperlink ref="I340" r:id="rId340" xr:uid="{00000000-0004-0000-0100-000053010000}"/>
    <hyperlink ref="I341" r:id="rId341" xr:uid="{00000000-0004-0000-0100-000054010000}"/>
    <hyperlink ref="I342" r:id="rId342" xr:uid="{00000000-0004-0000-0100-000055010000}"/>
    <hyperlink ref="I343" r:id="rId343" xr:uid="{00000000-0004-0000-0100-000056010000}"/>
    <hyperlink ref="I344" r:id="rId344" xr:uid="{00000000-0004-0000-0100-000057010000}"/>
    <hyperlink ref="I345" r:id="rId345" xr:uid="{00000000-0004-0000-0100-000058010000}"/>
    <hyperlink ref="I346" r:id="rId346" xr:uid="{00000000-0004-0000-0100-000059010000}"/>
    <hyperlink ref="I347" r:id="rId347" xr:uid="{00000000-0004-0000-0100-00005A010000}"/>
    <hyperlink ref="I348" r:id="rId348" xr:uid="{00000000-0004-0000-0100-00005B010000}"/>
    <hyperlink ref="I349" r:id="rId349" xr:uid="{00000000-0004-0000-0100-00005C010000}"/>
    <hyperlink ref="I350" r:id="rId350" xr:uid="{00000000-0004-0000-0100-00005D010000}"/>
    <hyperlink ref="I351" r:id="rId351" xr:uid="{00000000-0004-0000-0100-00005E010000}"/>
    <hyperlink ref="I352" r:id="rId352" xr:uid="{00000000-0004-0000-0100-00005F010000}"/>
    <hyperlink ref="I353" r:id="rId353" xr:uid="{00000000-0004-0000-0100-000060010000}"/>
    <hyperlink ref="I354" r:id="rId354" xr:uid="{00000000-0004-0000-0100-000061010000}"/>
    <hyperlink ref="I355" r:id="rId355" xr:uid="{00000000-0004-0000-0100-000062010000}"/>
    <hyperlink ref="I356" r:id="rId356" xr:uid="{00000000-0004-0000-0100-000063010000}"/>
    <hyperlink ref="I357" r:id="rId357" xr:uid="{00000000-0004-0000-0100-000064010000}"/>
    <hyperlink ref="I358" r:id="rId358" xr:uid="{00000000-0004-0000-0100-000065010000}"/>
    <hyperlink ref="I359" r:id="rId359" xr:uid="{00000000-0004-0000-0100-000066010000}"/>
    <hyperlink ref="I360" r:id="rId360" xr:uid="{00000000-0004-0000-0100-000067010000}"/>
    <hyperlink ref="I361" r:id="rId361" xr:uid="{00000000-0004-0000-0100-000068010000}"/>
    <hyperlink ref="I362" r:id="rId362" xr:uid="{00000000-0004-0000-0100-000069010000}"/>
    <hyperlink ref="I363" r:id="rId363" xr:uid="{00000000-0004-0000-0100-00006A010000}"/>
    <hyperlink ref="I364" r:id="rId364" xr:uid="{00000000-0004-0000-0100-00006B010000}"/>
    <hyperlink ref="I365" r:id="rId365" xr:uid="{00000000-0004-0000-0100-00006C010000}"/>
    <hyperlink ref="I366" r:id="rId366" xr:uid="{00000000-0004-0000-0100-00006D010000}"/>
    <hyperlink ref="I367" r:id="rId367" xr:uid="{00000000-0004-0000-0100-00006E010000}"/>
    <hyperlink ref="I368" r:id="rId368" xr:uid="{00000000-0004-0000-0100-00006F010000}"/>
    <hyperlink ref="I369" r:id="rId369" xr:uid="{00000000-0004-0000-0100-000070010000}"/>
    <hyperlink ref="I370" r:id="rId370" xr:uid="{00000000-0004-0000-0100-000071010000}"/>
    <hyperlink ref="I371" r:id="rId371" xr:uid="{00000000-0004-0000-0100-000072010000}"/>
    <hyperlink ref="I372" r:id="rId372" xr:uid="{00000000-0004-0000-0100-000073010000}"/>
    <hyperlink ref="I373" r:id="rId373" xr:uid="{00000000-0004-0000-0100-000074010000}"/>
    <hyperlink ref="I374" r:id="rId374" xr:uid="{00000000-0004-0000-0100-000075010000}"/>
    <hyperlink ref="I375" r:id="rId375" xr:uid="{00000000-0004-0000-0100-00007601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pane ySplit="1" topLeftCell="A2" activePane="bottomLeft" state="frozen"/>
      <selection pane="bottomLeft" activeCell="B3" sqref="B3"/>
    </sheetView>
  </sheetViews>
  <sheetFormatPr baseColWidth="10" defaultColWidth="12.6640625" defaultRowHeight="15" customHeight="1"/>
  <cols>
    <col min="1" max="1" width="23.1640625" customWidth="1"/>
    <col min="2" max="2" width="61.1640625" customWidth="1"/>
    <col min="3" max="3" width="67.6640625" customWidth="1"/>
    <col min="4" max="4" width="12.6640625" customWidth="1"/>
    <col min="5" max="5" width="20.6640625" customWidth="1"/>
    <col min="6" max="6" width="11.1640625" customWidth="1"/>
    <col min="7" max="7" width="258.6640625" customWidth="1"/>
  </cols>
  <sheetData>
    <row r="1" spans="1:31" ht="15.75" customHeight="1">
      <c r="A1" s="1" t="s">
        <v>1695</v>
      </c>
      <c r="B1" s="2" t="s">
        <v>641</v>
      </c>
      <c r="C1" s="79" t="s">
        <v>1696</v>
      </c>
      <c r="D1" s="80" t="s">
        <v>1697</v>
      </c>
      <c r="E1" s="81" t="s">
        <v>1698</v>
      </c>
      <c r="F1" s="81" t="s">
        <v>1699</v>
      </c>
      <c r="G1" s="81" t="s">
        <v>1700</v>
      </c>
      <c r="H1" s="82"/>
      <c r="I1" s="82"/>
      <c r="J1" s="82"/>
      <c r="K1" s="82"/>
      <c r="L1" s="82"/>
      <c r="M1" s="82"/>
      <c r="N1" s="82"/>
      <c r="O1" s="82"/>
      <c r="P1" s="82"/>
      <c r="Q1" s="82"/>
      <c r="R1" s="82"/>
      <c r="S1" s="82"/>
      <c r="T1" s="82"/>
      <c r="U1" s="82"/>
      <c r="V1" s="82"/>
      <c r="W1" s="82"/>
      <c r="X1" s="82"/>
      <c r="Y1" s="82"/>
      <c r="Z1" s="82"/>
      <c r="AA1" s="82"/>
      <c r="AB1" s="82"/>
      <c r="AC1" s="82"/>
      <c r="AD1" s="82"/>
      <c r="AE1" s="82"/>
    </row>
    <row r="2" spans="1:31" ht="15.75" customHeight="1">
      <c r="A2" s="83" t="s">
        <v>1701</v>
      </c>
      <c r="B2" s="21" t="s">
        <v>319</v>
      </c>
      <c r="C2" s="84" t="s">
        <v>320</v>
      </c>
      <c r="D2" s="85">
        <v>2022</v>
      </c>
      <c r="E2" s="86" t="s">
        <v>1702</v>
      </c>
      <c r="F2" s="86" t="s">
        <v>315</v>
      </c>
      <c r="G2" s="87" t="s">
        <v>1703</v>
      </c>
      <c r="H2" s="86"/>
      <c r="I2" s="86"/>
      <c r="J2" s="86"/>
      <c r="K2" s="86"/>
      <c r="L2" s="86"/>
      <c r="M2" s="86"/>
      <c r="N2" s="86"/>
      <c r="O2" s="86"/>
      <c r="P2" s="86"/>
      <c r="Q2" s="86"/>
      <c r="R2" s="86"/>
      <c r="S2" s="86"/>
      <c r="T2" s="86"/>
      <c r="U2" s="86"/>
      <c r="V2" s="86"/>
      <c r="W2" s="86"/>
      <c r="X2" s="86"/>
      <c r="Y2" s="86"/>
      <c r="Z2" s="86"/>
      <c r="AA2" s="86"/>
      <c r="AB2" s="86"/>
      <c r="AC2" s="86"/>
      <c r="AD2" s="86"/>
      <c r="AE2" s="86"/>
    </row>
    <row r="3" spans="1:31" ht="15.75" customHeight="1">
      <c r="A3" s="83" t="s">
        <v>1701</v>
      </c>
      <c r="B3" s="21" t="s">
        <v>621</v>
      </c>
      <c r="C3" s="84" t="s">
        <v>622</v>
      </c>
      <c r="D3" s="85">
        <v>2022</v>
      </c>
      <c r="E3" s="86" t="s">
        <v>1704</v>
      </c>
      <c r="F3" s="86" t="s">
        <v>1705</v>
      </c>
      <c r="G3" s="87" t="s">
        <v>1706</v>
      </c>
      <c r="H3" s="86"/>
      <c r="I3" s="86"/>
      <c r="J3" s="86"/>
      <c r="K3" s="86"/>
      <c r="L3" s="86"/>
      <c r="M3" s="86"/>
      <c r="N3" s="86"/>
      <c r="O3" s="86"/>
      <c r="P3" s="86"/>
      <c r="Q3" s="86"/>
      <c r="R3" s="86"/>
      <c r="S3" s="86"/>
      <c r="T3" s="86"/>
      <c r="U3" s="86"/>
      <c r="V3" s="86"/>
      <c r="W3" s="86"/>
      <c r="X3" s="86"/>
      <c r="Y3" s="86"/>
      <c r="Z3" s="86"/>
      <c r="AA3" s="86"/>
      <c r="AB3" s="86"/>
      <c r="AC3" s="86"/>
      <c r="AD3" s="86"/>
      <c r="AE3" s="86"/>
    </row>
    <row r="4" spans="1:31" ht="15.75" customHeight="1">
      <c r="A4" s="83" t="s">
        <v>1701</v>
      </c>
      <c r="B4" s="21" t="s">
        <v>623</v>
      </c>
      <c r="C4" s="84" t="s">
        <v>624</v>
      </c>
      <c r="D4" s="85">
        <v>2020</v>
      </c>
      <c r="E4" s="86" t="s">
        <v>1707</v>
      </c>
      <c r="F4" s="86" t="s">
        <v>1708</v>
      </c>
      <c r="G4" s="87" t="s">
        <v>1709</v>
      </c>
      <c r="H4" s="86"/>
      <c r="I4" s="86"/>
      <c r="J4" s="86"/>
      <c r="K4" s="86"/>
      <c r="L4" s="86"/>
      <c r="M4" s="86"/>
      <c r="N4" s="86"/>
      <c r="O4" s="86"/>
      <c r="P4" s="86"/>
      <c r="Q4" s="86"/>
      <c r="R4" s="86"/>
      <c r="S4" s="86"/>
      <c r="T4" s="86"/>
      <c r="U4" s="86"/>
      <c r="V4" s="86"/>
      <c r="W4" s="86"/>
      <c r="X4" s="86"/>
      <c r="Y4" s="86"/>
      <c r="Z4" s="86"/>
      <c r="AA4" s="86"/>
      <c r="AB4" s="86"/>
      <c r="AC4" s="86"/>
      <c r="AD4" s="86"/>
      <c r="AE4" s="86"/>
    </row>
    <row r="5" spans="1:31" ht="15.75" customHeight="1">
      <c r="A5" s="83" t="s">
        <v>1701</v>
      </c>
      <c r="B5" s="21" t="s">
        <v>625</v>
      </c>
      <c r="C5" s="84" t="s">
        <v>626</v>
      </c>
      <c r="D5" s="85">
        <v>2010</v>
      </c>
      <c r="E5" s="86" t="s">
        <v>1707</v>
      </c>
      <c r="F5" s="86" t="s">
        <v>1708</v>
      </c>
      <c r="G5" s="87" t="s">
        <v>1710</v>
      </c>
      <c r="H5" s="86"/>
      <c r="I5" s="86"/>
      <c r="J5" s="86"/>
      <c r="K5" s="86"/>
      <c r="L5" s="86"/>
      <c r="M5" s="86"/>
      <c r="N5" s="86"/>
      <c r="O5" s="86"/>
      <c r="P5" s="86"/>
      <c r="Q5" s="86"/>
      <c r="R5" s="86"/>
      <c r="S5" s="86"/>
      <c r="T5" s="86"/>
      <c r="U5" s="86"/>
      <c r="V5" s="86"/>
      <c r="W5" s="86"/>
      <c r="X5" s="86"/>
      <c r="Y5" s="86"/>
      <c r="Z5" s="86"/>
      <c r="AA5" s="86"/>
      <c r="AB5" s="86"/>
      <c r="AC5" s="86"/>
      <c r="AD5" s="86"/>
      <c r="AE5" s="86"/>
    </row>
    <row r="6" spans="1:31" ht="15.75" customHeight="1">
      <c r="A6" s="83" t="s">
        <v>1701</v>
      </c>
      <c r="B6" s="21" t="s">
        <v>627</v>
      </c>
      <c r="C6" s="84" t="s">
        <v>628</v>
      </c>
      <c r="D6" s="85">
        <v>2012</v>
      </c>
      <c r="E6" s="86" t="s">
        <v>1707</v>
      </c>
      <c r="F6" s="86" t="s">
        <v>417</v>
      </c>
      <c r="G6" s="87" t="s">
        <v>1711</v>
      </c>
      <c r="H6" s="86"/>
      <c r="I6" s="86"/>
      <c r="J6" s="86"/>
      <c r="K6" s="86"/>
      <c r="L6" s="86"/>
      <c r="M6" s="86"/>
      <c r="N6" s="86"/>
      <c r="O6" s="86"/>
      <c r="P6" s="86"/>
      <c r="Q6" s="86"/>
      <c r="R6" s="86"/>
      <c r="S6" s="86"/>
      <c r="T6" s="86"/>
      <c r="U6" s="86"/>
      <c r="V6" s="86"/>
      <c r="W6" s="86"/>
      <c r="X6" s="86"/>
      <c r="Y6" s="86"/>
      <c r="Z6" s="86"/>
      <c r="AA6" s="86"/>
      <c r="AB6" s="86"/>
      <c r="AC6" s="86"/>
      <c r="AD6" s="86"/>
      <c r="AE6" s="86"/>
    </row>
    <row r="7" spans="1:31" ht="15.75" customHeight="1">
      <c r="A7" s="83" t="s">
        <v>1701</v>
      </c>
      <c r="B7" s="21" t="s">
        <v>631</v>
      </c>
      <c r="C7" s="84" t="s">
        <v>632</v>
      </c>
      <c r="D7" s="85">
        <v>2020</v>
      </c>
      <c r="E7" s="86" t="s">
        <v>1707</v>
      </c>
      <c r="F7" s="86" t="s">
        <v>629</v>
      </c>
      <c r="G7" s="87" t="s">
        <v>1712</v>
      </c>
      <c r="H7" s="86"/>
      <c r="I7" s="86"/>
      <c r="J7" s="86"/>
      <c r="K7" s="86"/>
      <c r="L7" s="86"/>
      <c r="M7" s="86"/>
      <c r="N7" s="86"/>
      <c r="O7" s="86"/>
      <c r="P7" s="86"/>
      <c r="Q7" s="86"/>
      <c r="R7" s="86"/>
      <c r="S7" s="86"/>
      <c r="T7" s="86"/>
      <c r="U7" s="86"/>
      <c r="V7" s="86"/>
      <c r="W7" s="86"/>
      <c r="X7" s="86"/>
      <c r="Y7" s="86"/>
      <c r="Z7" s="86"/>
      <c r="AA7" s="86"/>
      <c r="AB7" s="86"/>
      <c r="AC7" s="86"/>
      <c r="AD7" s="86"/>
      <c r="AE7" s="86"/>
    </row>
    <row r="8" spans="1:31" ht="15.75" customHeight="1">
      <c r="A8" s="83" t="s">
        <v>1701</v>
      </c>
      <c r="B8" s="11" t="s">
        <v>633</v>
      </c>
      <c r="C8" s="64" t="s">
        <v>634</v>
      </c>
      <c r="D8" s="85">
        <v>2021</v>
      </c>
      <c r="E8" s="86" t="s">
        <v>1707</v>
      </c>
      <c r="F8" s="86" t="s">
        <v>629</v>
      </c>
      <c r="G8" s="87" t="s">
        <v>1713</v>
      </c>
      <c r="H8" s="86"/>
      <c r="I8" s="86"/>
      <c r="J8" s="86"/>
      <c r="K8" s="86"/>
      <c r="L8" s="86"/>
      <c r="M8" s="86"/>
      <c r="N8" s="86"/>
      <c r="O8" s="86"/>
      <c r="P8" s="86"/>
      <c r="Q8" s="86"/>
      <c r="R8" s="86"/>
      <c r="S8" s="86"/>
      <c r="T8" s="86"/>
      <c r="U8" s="86"/>
      <c r="V8" s="86"/>
      <c r="W8" s="86"/>
      <c r="X8" s="86"/>
      <c r="Y8" s="86"/>
      <c r="Z8" s="86"/>
      <c r="AA8" s="86"/>
      <c r="AB8" s="86"/>
      <c r="AC8" s="86"/>
      <c r="AD8" s="86"/>
      <c r="AE8" s="86"/>
    </row>
    <row r="9" spans="1:31" ht="15.75" customHeight="1">
      <c r="A9" s="88" t="s">
        <v>1701</v>
      </c>
      <c r="B9" s="89" t="s">
        <v>474</v>
      </c>
      <c r="C9" s="90" t="s">
        <v>1714</v>
      </c>
      <c r="D9" s="85">
        <v>1926</v>
      </c>
      <c r="E9" s="86" t="s">
        <v>1715</v>
      </c>
      <c r="F9" s="86" t="s">
        <v>116</v>
      </c>
      <c r="G9" s="91" t="s">
        <v>1716</v>
      </c>
      <c r="H9" s="86"/>
      <c r="I9" s="86"/>
      <c r="J9" s="86"/>
      <c r="K9" s="86"/>
      <c r="L9" s="86"/>
      <c r="M9" s="86"/>
      <c r="N9" s="86"/>
      <c r="O9" s="86"/>
      <c r="P9" s="86"/>
      <c r="Q9" s="86"/>
      <c r="R9" s="86"/>
      <c r="S9" s="86"/>
      <c r="T9" s="86"/>
      <c r="U9" s="86"/>
      <c r="V9" s="86"/>
      <c r="W9" s="86"/>
      <c r="X9" s="86"/>
      <c r="Y9" s="86"/>
      <c r="Z9" s="86"/>
      <c r="AA9" s="86"/>
      <c r="AB9" s="86"/>
      <c r="AC9" s="86"/>
      <c r="AD9" s="86"/>
      <c r="AE9" s="86"/>
    </row>
    <row r="10" spans="1:31" ht="15.75" customHeight="1">
      <c r="A10" s="88" t="s">
        <v>1701</v>
      </c>
      <c r="B10" s="86" t="s">
        <v>252</v>
      </c>
      <c r="C10" s="92" t="s">
        <v>253</v>
      </c>
      <c r="D10" s="85">
        <v>1929</v>
      </c>
      <c r="E10" s="86" t="s">
        <v>1715</v>
      </c>
      <c r="F10" s="86" t="s">
        <v>1705</v>
      </c>
      <c r="G10" s="91" t="s">
        <v>1717</v>
      </c>
      <c r="H10" s="86"/>
      <c r="I10" s="86"/>
      <c r="J10" s="86"/>
      <c r="K10" s="86"/>
      <c r="L10" s="86"/>
      <c r="M10" s="86"/>
      <c r="N10" s="86"/>
      <c r="O10" s="86"/>
      <c r="P10" s="86"/>
      <c r="Q10" s="86"/>
      <c r="R10" s="86"/>
      <c r="S10" s="86"/>
      <c r="T10" s="86"/>
      <c r="U10" s="86"/>
      <c r="V10" s="86"/>
      <c r="W10" s="86"/>
      <c r="X10" s="86"/>
      <c r="Y10" s="86"/>
      <c r="Z10" s="86"/>
      <c r="AA10" s="86"/>
      <c r="AB10" s="86"/>
      <c r="AC10" s="86"/>
      <c r="AD10" s="86"/>
      <c r="AE10" s="86"/>
    </row>
    <row r="11" spans="1:31" ht="15.75" customHeight="1">
      <c r="A11" s="88" t="s">
        <v>1701</v>
      </c>
      <c r="B11" s="86" t="s">
        <v>458</v>
      </c>
      <c r="C11" s="92" t="s">
        <v>1718</v>
      </c>
      <c r="D11" s="85">
        <v>1944</v>
      </c>
      <c r="E11" s="86" t="s">
        <v>1715</v>
      </c>
      <c r="F11" s="86" t="s">
        <v>116</v>
      </c>
      <c r="G11" s="91" t="s">
        <v>1719</v>
      </c>
      <c r="H11" s="86"/>
      <c r="I11" s="86"/>
      <c r="J11" s="86"/>
      <c r="K11" s="86"/>
      <c r="L11" s="86"/>
      <c r="M11" s="86"/>
      <c r="N11" s="86"/>
      <c r="O11" s="86"/>
      <c r="P11" s="86"/>
      <c r="Q11" s="86"/>
      <c r="R11" s="86"/>
      <c r="S11" s="86"/>
      <c r="T11" s="86"/>
      <c r="U11" s="86"/>
      <c r="V11" s="86"/>
      <c r="W11" s="86"/>
      <c r="X11" s="86"/>
      <c r="Y11" s="86"/>
      <c r="Z11" s="86"/>
      <c r="AA11" s="86"/>
      <c r="AB11" s="86"/>
      <c r="AC11" s="86"/>
      <c r="AD11" s="86"/>
      <c r="AE11" s="86"/>
    </row>
    <row r="12" spans="1:31" ht="15.75" customHeight="1">
      <c r="A12" s="88" t="s">
        <v>1701</v>
      </c>
      <c r="B12" s="86" t="s">
        <v>316</v>
      </c>
      <c r="C12" s="92" t="s">
        <v>317</v>
      </c>
      <c r="D12" s="85">
        <v>1954</v>
      </c>
      <c r="E12" s="86" t="s">
        <v>1715</v>
      </c>
      <c r="F12" s="86" t="s">
        <v>315</v>
      </c>
      <c r="G12" s="91" t="s">
        <v>1720</v>
      </c>
      <c r="H12" s="86"/>
      <c r="I12" s="86"/>
      <c r="J12" s="86"/>
      <c r="K12" s="86"/>
      <c r="L12" s="86"/>
      <c r="M12" s="86"/>
      <c r="N12" s="86"/>
      <c r="O12" s="86"/>
      <c r="P12" s="86"/>
      <c r="Q12" s="86"/>
      <c r="R12" s="86"/>
      <c r="S12" s="86"/>
      <c r="T12" s="86"/>
      <c r="U12" s="86"/>
      <c r="V12" s="86"/>
      <c r="W12" s="86"/>
      <c r="X12" s="86"/>
      <c r="Y12" s="86"/>
      <c r="Z12" s="86"/>
      <c r="AA12" s="86"/>
      <c r="AB12" s="86"/>
      <c r="AC12" s="86"/>
      <c r="AD12" s="86"/>
      <c r="AE12" s="86"/>
    </row>
    <row r="13" spans="1:31" ht="15.75" customHeight="1">
      <c r="A13" s="88" t="s">
        <v>1701</v>
      </c>
      <c r="B13" s="86" t="s">
        <v>151</v>
      </c>
      <c r="C13" s="92" t="s">
        <v>152</v>
      </c>
      <c r="D13" s="85">
        <v>1959</v>
      </c>
      <c r="E13" s="86" t="s">
        <v>1715</v>
      </c>
      <c r="F13" s="86" t="s">
        <v>1708</v>
      </c>
      <c r="G13" s="91" t="s">
        <v>1721</v>
      </c>
      <c r="H13" s="86"/>
      <c r="I13" s="86"/>
      <c r="J13" s="86"/>
      <c r="K13" s="86"/>
      <c r="L13" s="86"/>
      <c r="M13" s="86"/>
      <c r="N13" s="86"/>
      <c r="O13" s="86"/>
      <c r="P13" s="86"/>
      <c r="Q13" s="86"/>
      <c r="R13" s="86"/>
      <c r="S13" s="86"/>
      <c r="T13" s="86"/>
      <c r="U13" s="86"/>
      <c r="V13" s="86"/>
      <c r="W13" s="86"/>
      <c r="X13" s="86"/>
      <c r="Y13" s="86"/>
      <c r="Z13" s="86"/>
      <c r="AA13" s="86"/>
      <c r="AB13" s="86"/>
      <c r="AC13" s="86"/>
      <c r="AD13" s="86"/>
      <c r="AE13" s="86"/>
    </row>
    <row r="14" spans="1:31" ht="15.75" customHeight="1">
      <c r="A14" s="88" t="s">
        <v>1701</v>
      </c>
      <c r="B14" s="86" t="s">
        <v>94</v>
      </c>
      <c r="C14" s="92" t="s">
        <v>95</v>
      </c>
      <c r="D14" s="85">
        <v>1959</v>
      </c>
      <c r="E14" s="86" t="s">
        <v>1715</v>
      </c>
      <c r="F14" s="86" t="s">
        <v>1708</v>
      </c>
      <c r="G14" s="91" t="s">
        <v>1722</v>
      </c>
      <c r="H14" s="86"/>
      <c r="I14" s="86"/>
      <c r="J14" s="86"/>
      <c r="K14" s="86"/>
      <c r="L14" s="86"/>
      <c r="M14" s="86"/>
      <c r="N14" s="86"/>
      <c r="O14" s="86"/>
      <c r="P14" s="86"/>
      <c r="Q14" s="86"/>
      <c r="R14" s="86"/>
      <c r="S14" s="86"/>
      <c r="T14" s="86"/>
      <c r="U14" s="86"/>
      <c r="V14" s="86"/>
      <c r="W14" s="86"/>
      <c r="X14" s="86"/>
      <c r="Y14" s="86"/>
      <c r="Z14" s="86"/>
      <c r="AA14" s="86"/>
      <c r="AB14" s="86"/>
      <c r="AC14" s="86"/>
      <c r="AD14" s="86"/>
      <c r="AE14" s="86"/>
    </row>
    <row r="15" spans="1:31" ht="15.75" customHeight="1">
      <c r="A15" s="88" t="s">
        <v>1701</v>
      </c>
      <c r="B15" s="86" t="s">
        <v>448</v>
      </c>
      <c r="C15" s="92" t="s">
        <v>449</v>
      </c>
      <c r="D15" s="85">
        <v>1959</v>
      </c>
      <c r="E15" s="86" t="s">
        <v>1715</v>
      </c>
      <c r="F15" s="86" t="s">
        <v>629</v>
      </c>
      <c r="G15" s="91" t="s">
        <v>1723</v>
      </c>
      <c r="H15" s="86"/>
      <c r="I15" s="86"/>
      <c r="J15" s="86"/>
      <c r="K15" s="86"/>
      <c r="L15" s="86"/>
      <c r="M15" s="86"/>
      <c r="N15" s="86"/>
      <c r="O15" s="86"/>
      <c r="P15" s="86"/>
      <c r="Q15" s="86"/>
      <c r="R15" s="86"/>
      <c r="S15" s="86"/>
      <c r="T15" s="86"/>
      <c r="U15" s="86"/>
      <c r="V15" s="86"/>
      <c r="W15" s="86"/>
      <c r="X15" s="86"/>
      <c r="Y15" s="86"/>
      <c r="Z15" s="86"/>
      <c r="AA15" s="86"/>
      <c r="AB15" s="86"/>
      <c r="AC15" s="86"/>
      <c r="AD15" s="86"/>
      <c r="AE15" s="86"/>
    </row>
    <row r="16" spans="1:31" ht="15.75" customHeight="1">
      <c r="A16" s="88" t="s">
        <v>1701</v>
      </c>
      <c r="B16" s="86" t="s">
        <v>468</v>
      </c>
      <c r="C16" s="90" t="s">
        <v>1714</v>
      </c>
      <c r="D16" s="85">
        <v>1963</v>
      </c>
      <c r="E16" s="86" t="s">
        <v>1715</v>
      </c>
      <c r="F16" s="86" t="s">
        <v>116</v>
      </c>
      <c r="G16" s="93" t="s">
        <v>1724</v>
      </c>
      <c r="H16" s="86"/>
      <c r="I16" s="86"/>
      <c r="J16" s="86"/>
      <c r="K16" s="86"/>
      <c r="L16" s="86"/>
      <c r="M16" s="86"/>
      <c r="N16" s="86"/>
      <c r="O16" s="86"/>
      <c r="P16" s="86"/>
      <c r="Q16" s="86"/>
      <c r="R16" s="86"/>
      <c r="S16" s="86"/>
      <c r="T16" s="86"/>
      <c r="U16" s="86"/>
      <c r="V16" s="86"/>
      <c r="W16" s="86"/>
      <c r="X16" s="86"/>
      <c r="Y16" s="86"/>
      <c r="Z16" s="86"/>
      <c r="AA16" s="86"/>
      <c r="AB16" s="86"/>
      <c r="AC16" s="86"/>
      <c r="AD16" s="86"/>
      <c r="AE16" s="86"/>
    </row>
    <row r="17" spans="1:31" ht="15.75" customHeight="1">
      <c r="A17" s="88" t="s">
        <v>1701</v>
      </c>
      <c r="B17" s="86" t="s">
        <v>389</v>
      </c>
      <c r="C17" s="92" t="s">
        <v>390</v>
      </c>
      <c r="D17" s="85">
        <v>1966</v>
      </c>
      <c r="E17" s="86" t="s">
        <v>1715</v>
      </c>
      <c r="F17" s="86" t="s">
        <v>1708</v>
      </c>
      <c r="G17" s="91" t="s">
        <v>1725</v>
      </c>
      <c r="H17" s="86"/>
      <c r="I17" s="86"/>
      <c r="J17" s="86"/>
      <c r="K17" s="86"/>
      <c r="L17" s="86"/>
      <c r="M17" s="86"/>
      <c r="N17" s="86"/>
      <c r="O17" s="86"/>
      <c r="P17" s="86"/>
      <c r="Q17" s="86"/>
      <c r="R17" s="86"/>
      <c r="S17" s="86"/>
      <c r="T17" s="86"/>
      <c r="U17" s="86"/>
      <c r="V17" s="86"/>
      <c r="W17" s="86"/>
      <c r="X17" s="86"/>
      <c r="Y17" s="86"/>
      <c r="Z17" s="86"/>
      <c r="AA17" s="86"/>
      <c r="AB17" s="86"/>
      <c r="AC17" s="86"/>
      <c r="AD17" s="86"/>
      <c r="AE17" s="86"/>
    </row>
    <row r="18" spans="1:31" ht="15.75" customHeight="1">
      <c r="A18" s="88" t="s">
        <v>1701</v>
      </c>
      <c r="B18" s="86" t="s">
        <v>582</v>
      </c>
      <c r="C18" s="92" t="s">
        <v>583</v>
      </c>
      <c r="D18" s="85">
        <v>1968</v>
      </c>
      <c r="E18" s="86" t="s">
        <v>1715</v>
      </c>
      <c r="F18" s="86" t="s">
        <v>1708</v>
      </c>
      <c r="G18" s="91" t="s">
        <v>1726</v>
      </c>
      <c r="H18" s="86"/>
      <c r="I18" s="86"/>
      <c r="J18" s="86"/>
      <c r="K18" s="86"/>
      <c r="L18" s="86"/>
      <c r="M18" s="86"/>
      <c r="N18" s="86"/>
      <c r="O18" s="86"/>
      <c r="P18" s="86"/>
      <c r="Q18" s="86"/>
      <c r="R18" s="86"/>
      <c r="S18" s="86"/>
      <c r="T18" s="86"/>
      <c r="U18" s="86"/>
      <c r="V18" s="86"/>
      <c r="W18" s="86"/>
      <c r="X18" s="86"/>
      <c r="Y18" s="86"/>
      <c r="Z18" s="86"/>
      <c r="AA18" s="86"/>
      <c r="AB18" s="86"/>
      <c r="AC18" s="86"/>
      <c r="AD18" s="86"/>
      <c r="AE18" s="86"/>
    </row>
    <row r="19" spans="1:31" ht="15.75" customHeight="1">
      <c r="A19" s="88" t="s">
        <v>1701</v>
      </c>
      <c r="B19" s="86" t="s">
        <v>201</v>
      </c>
      <c r="C19" s="92" t="s">
        <v>202</v>
      </c>
      <c r="D19" s="85">
        <v>1971</v>
      </c>
      <c r="E19" s="86" t="s">
        <v>1715</v>
      </c>
      <c r="F19" s="86" t="s">
        <v>1708</v>
      </c>
      <c r="G19" s="91" t="s">
        <v>1727</v>
      </c>
      <c r="H19" s="86"/>
      <c r="I19" s="86"/>
      <c r="J19" s="86"/>
      <c r="K19" s="86"/>
      <c r="L19" s="86"/>
      <c r="M19" s="86"/>
      <c r="N19" s="86"/>
      <c r="O19" s="86"/>
      <c r="P19" s="86"/>
      <c r="Q19" s="86"/>
      <c r="R19" s="86"/>
      <c r="S19" s="86"/>
      <c r="T19" s="86"/>
      <c r="U19" s="86"/>
      <c r="V19" s="86"/>
      <c r="W19" s="86"/>
      <c r="X19" s="86"/>
      <c r="Y19" s="86"/>
      <c r="Z19" s="86"/>
      <c r="AA19" s="86"/>
      <c r="AB19" s="86"/>
      <c r="AC19" s="86"/>
      <c r="AD19" s="86"/>
      <c r="AE19" s="86"/>
    </row>
    <row r="20" spans="1:31" ht="15.75" customHeight="1">
      <c r="A20" s="88" t="s">
        <v>1701</v>
      </c>
      <c r="B20" s="86" t="s">
        <v>303</v>
      </c>
      <c r="C20" s="92" t="s">
        <v>304</v>
      </c>
      <c r="D20" s="85">
        <v>1991</v>
      </c>
      <c r="E20" s="86" t="s">
        <v>1707</v>
      </c>
      <c r="F20" s="86" t="s">
        <v>672</v>
      </c>
      <c r="G20" s="91" t="s">
        <v>1728</v>
      </c>
      <c r="H20" s="86"/>
      <c r="I20" s="86"/>
      <c r="J20" s="86"/>
      <c r="K20" s="86"/>
      <c r="L20" s="86"/>
      <c r="M20" s="86"/>
      <c r="N20" s="86"/>
      <c r="O20" s="86"/>
      <c r="P20" s="86"/>
      <c r="Q20" s="86"/>
      <c r="R20" s="86"/>
      <c r="S20" s="86"/>
      <c r="T20" s="86"/>
      <c r="U20" s="86"/>
      <c r="V20" s="86"/>
      <c r="W20" s="86"/>
      <c r="X20" s="86"/>
      <c r="Y20" s="86"/>
      <c r="Z20" s="86"/>
      <c r="AA20" s="86"/>
      <c r="AB20" s="86"/>
      <c r="AC20" s="86"/>
      <c r="AD20" s="86"/>
      <c r="AE20" s="86"/>
    </row>
    <row r="21" spans="1:31" ht="15.75" customHeight="1">
      <c r="A21" s="88" t="s">
        <v>1701</v>
      </c>
      <c r="B21" s="86" t="s">
        <v>129</v>
      </c>
      <c r="C21" s="92" t="s">
        <v>130</v>
      </c>
      <c r="D21" s="85">
        <v>1994</v>
      </c>
      <c r="E21" s="86" t="s">
        <v>1715</v>
      </c>
      <c r="F21" s="86" t="s">
        <v>126</v>
      </c>
      <c r="G21" s="91" t="s">
        <v>1729</v>
      </c>
      <c r="H21" s="86"/>
      <c r="I21" s="86"/>
      <c r="J21" s="86"/>
      <c r="K21" s="86"/>
      <c r="L21" s="86"/>
      <c r="M21" s="86"/>
      <c r="N21" s="86"/>
      <c r="O21" s="86"/>
      <c r="P21" s="86"/>
      <c r="Q21" s="86"/>
      <c r="R21" s="86"/>
      <c r="S21" s="86"/>
      <c r="T21" s="86"/>
      <c r="U21" s="86"/>
      <c r="V21" s="86"/>
      <c r="W21" s="86"/>
      <c r="X21" s="86"/>
      <c r="Y21" s="86"/>
      <c r="Z21" s="86"/>
      <c r="AA21" s="86"/>
      <c r="AB21" s="86"/>
      <c r="AC21" s="86"/>
      <c r="AD21" s="86"/>
      <c r="AE21" s="86"/>
    </row>
    <row r="22" spans="1:31" ht="15.75" customHeight="1">
      <c r="A22" s="88" t="s">
        <v>1701</v>
      </c>
      <c r="B22" s="94" t="s">
        <v>239</v>
      </c>
      <c r="C22" s="92" t="s">
        <v>240</v>
      </c>
      <c r="D22" s="85">
        <v>1995</v>
      </c>
      <c r="E22" s="86" t="s">
        <v>1715</v>
      </c>
      <c r="F22" s="86" t="s">
        <v>1708</v>
      </c>
      <c r="G22" s="91" t="s">
        <v>1730</v>
      </c>
      <c r="H22" s="86"/>
      <c r="I22" s="86"/>
      <c r="J22" s="86"/>
      <c r="K22" s="86"/>
      <c r="L22" s="86"/>
      <c r="M22" s="86"/>
      <c r="N22" s="86"/>
      <c r="O22" s="86"/>
      <c r="P22" s="86"/>
      <c r="Q22" s="86"/>
      <c r="R22" s="86"/>
      <c r="S22" s="86"/>
      <c r="T22" s="86"/>
      <c r="U22" s="86"/>
      <c r="V22" s="86"/>
      <c r="W22" s="86"/>
      <c r="X22" s="86"/>
      <c r="Y22" s="86"/>
      <c r="Z22" s="86"/>
      <c r="AA22" s="86"/>
      <c r="AB22" s="86"/>
      <c r="AC22" s="86"/>
      <c r="AD22" s="86"/>
      <c r="AE22" s="86"/>
    </row>
    <row r="23" spans="1:31" ht="15.75" customHeight="1">
      <c r="A23" s="88" t="s">
        <v>1701</v>
      </c>
      <c r="B23" s="89" t="s">
        <v>397</v>
      </c>
      <c r="C23" s="92" t="s">
        <v>398</v>
      </c>
      <c r="D23" s="85">
        <v>1996</v>
      </c>
      <c r="E23" s="86" t="s">
        <v>1715</v>
      </c>
      <c r="F23" s="86" t="s">
        <v>1708</v>
      </c>
      <c r="G23" s="91" t="s">
        <v>1731</v>
      </c>
      <c r="H23" s="86"/>
      <c r="I23" s="86"/>
      <c r="J23" s="86"/>
      <c r="K23" s="86"/>
      <c r="L23" s="86"/>
      <c r="M23" s="86"/>
      <c r="N23" s="86"/>
      <c r="O23" s="86"/>
      <c r="P23" s="86"/>
      <c r="Q23" s="86"/>
      <c r="R23" s="86"/>
      <c r="S23" s="86"/>
      <c r="T23" s="86"/>
      <c r="U23" s="86"/>
      <c r="V23" s="86"/>
      <c r="W23" s="86"/>
      <c r="X23" s="86"/>
      <c r="Y23" s="86"/>
      <c r="Z23" s="86"/>
      <c r="AA23" s="86"/>
      <c r="AB23" s="86"/>
      <c r="AC23" s="86"/>
      <c r="AD23" s="86"/>
      <c r="AE23" s="86"/>
    </row>
    <row r="24" spans="1:31" ht="15.75" customHeight="1">
      <c r="A24" s="88" t="s">
        <v>1701</v>
      </c>
      <c r="B24" s="86" t="s">
        <v>1732</v>
      </c>
      <c r="C24" s="92" t="s">
        <v>181</v>
      </c>
      <c r="D24" s="85">
        <v>1998</v>
      </c>
      <c r="E24" s="86" t="s">
        <v>1715</v>
      </c>
      <c r="F24" s="86" t="s">
        <v>179</v>
      </c>
      <c r="G24" s="91" t="s">
        <v>1733</v>
      </c>
      <c r="H24" s="86"/>
      <c r="I24" s="86"/>
      <c r="J24" s="86"/>
      <c r="K24" s="86"/>
      <c r="L24" s="86"/>
      <c r="M24" s="86"/>
      <c r="N24" s="86"/>
      <c r="O24" s="86"/>
      <c r="P24" s="86"/>
      <c r="Q24" s="86"/>
      <c r="R24" s="86"/>
      <c r="S24" s="86"/>
      <c r="T24" s="86"/>
      <c r="U24" s="86"/>
      <c r="V24" s="86"/>
      <c r="W24" s="86"/>
      <c r="X24" s="86"/>
      <c r="Y24" s="86"/>
      <c r="Z24" s="86"/>
      <c r="AA24" s="86"/>
      <c r="AB24" s="86"/>
      <c r="AC24" s="86"/>
      <c r="AD24" s="86"/>
      <c r="AE24" s="86"/>
    </row>
    <row r="25" spans="1:31" ht="15.75" customHeight="1">
      <c r="A25" s="88" t="s">
        <v>1701</v>
      </c>
      <c r="B25" s="94" t="s">
        <v>1734</v>
      </c>
      <c r="C25" s="92" t="s">
        <v>172</v>
      </c>
      <c r="D25" s="85">
        <v>2000</v>
      </c>
      <c r="E25" s="86" t="s">
        <v>1715</v>
      </c>
      <c r="F25" s="86" t="s">
        <v>1708</v>
      </c>
      <c r="G25" s="91" t="s">
        <v>1735</v>
      </c>
      <c r="H25" s="86"/>
      <c r="I25" s="86"/>
      <c r="J25" s="86"/>
      <c r="K25" s="86"/>
      <c r="L25" s="86"/>
      <c r="M25" s="86"/>
      <c r="N25" s="86"/>
      <c r="O25" s="86"/>
      <c r="P25" s="86"/>
      <c r="Q25" s="86"/>
      <c r="R25" s="86"/>
      <c r="S25" s="86"/>
      <c r="T25" s="86"/>
      <c r="U25" s="86"/>
      <c r="V25" s="86"/>
      <c r="W25" s="86"/>
      <c r="X25" s="86"/>
      <c r="Y25" s="86"/>
      <c r="Z25" s="86"/>
      <c r="AA25" s="86"/>
      <c r="AB25" s="86"/>
      <c r="AC25" s="86"/>
      <c r="AD25" s="86"/>
      <c r="AE25" s="86"/>
    </row>
    <row r="26" spans="1:31" ht="15.75" customHeight="1">
      <c r="A26" s="3" t="s">
        <v>1701</v>
      </c>
      <c r="B26" s="86" t="s">
        <v>1736</v>
      </c>
      <c r="C26" s="95" t="s">
        <v>1714</v>
      </c>
      <c r="D26" s="96">
        <v>2014</v>
      </c>
      <c r="E26" s="91" t="s">
        <v>1715</v>
      </c>
      <c r="F26" s="91" t="s">
        <v>1708</v>
      </c>
      <c r="G26" s="97" t="s">
        <v>1737</v>
      </c>
      <c r="H26" s="86"/>
      <c r="I26" s="86"/>
      <c r="J26" s="86"/>
      <c r="K26" s="86"/>
      <c r="L26" s="86"/>
      <c r="M26" s="86"/>
      <c r="N26" s="86"/>
      <c r="O26" s="86"/>
      <c r="P26" s="86"/>
      <c r="Q26" s="86"/>
      <c r="R26" s="86"/>
      <c r="S26" s="86"/>
      <c r="T26" s="86"/>
      <c r="U26" s="86"/>
      <c r="V26" s="86"/>
      <c r="W26" s="86"/>
      <c r="X26" s="86"/>
      <c r="Y26" s="86"/>
      <c r="Z26" s="86"/>
      <c r="AA26" s="86"/>
      <c r="AB26" s="86"/>
      <c r="AC26" s="86"/>
      <c r="AD26" s="86"/>
      <c r="AE26" s="86"/>
    </row>
    <row r="27" spans="1:31" ht="15.75" customHeight="1">
      <c r="A27" s="88" t="s">
        <v>1701</v>
      </c>
      <c r="B27" s="86" t="s">
        <v>617</v>
      </c>
      <c r="C27" s="92" t="s">
        <v>618</v>
      </c>
      <c r="D27" s="85">
        <v>2014</v>
      </c>
      <c r="E27" s="86" t="s">
        <v>1707</v>
      </c>
      <c r="F27" s="86" t="s">
        <v>1708</v>
      </c>
      <c r="G27" s="91" t="s">
        <v>1738</v>
      </c>
      <c r="H27" s="86"/>
      <c r="I27" s="86"/>
      <c r="J27" s="86"/>
      <c r="K27" s="86"/>
      <c r="L27" s="86"/>
      <c r="M27" s="86"/>
      <c r="N27" s="86"/>
      <c r="O27" s="86"/>
      <c r="P27" s="86"/>
      <c r="Q27" s="86"/>
      <c r="R27" s="86"/>
      <c r="S27" s="86"/>
      <c r="T27" s="86"/>
      <c r="U27" s="86"/>
      <c r="V27" s="86"/>
      <c r="W27" s="86"/>
      <c r="X27" s="86"/>
      <c r="Y27" s="86"/>
      <c r="Z27" s="86"/>
      <c r="AA27" s="86"/>
      <c r="AB27" s="86"/>
      <c r="AC27" s="86"/>
      <c r="AD27" s="86"/>
      <c r="AE27" s="86"/>
    </row>
    <row r="28" spans="1:31" ht="15.75" customHeight="1">
      <c r="A28" s="88" t="s">
        <v>1701</v>
      </c>
      <c r="B28" s="89" t="s">
        <v>1739</v>
      </c>
      <c r="C28" s="92" t="s">
        <v>311</v>
      </c>
      <c r="D28" s="85">
        <v>2017</v>
      </c>
      <c r="E28" s="86" t="s">
        <v>1740</v>
      </c>
      <c r="F28" s="86" t="s">
        <v>1705</v>
      </c>
      <c r="G28" s="91" t="s">
        <v>1741</v>
      </c>
      <c r="H28" s="86"/>
      <c r="I28" s="86"/>
      <c r="J28" s="86"/>
      <c r="K28" s="86"/>
      <c r="L28" s="86"/>
      <c r="M28" s="86"/>
      <c r="N28" s="86"/>
      <c r="O28" s="86"/>
      <c r="P28" s="86"/>
      <c r="Q28" s="86"/>
      <c r="R28" s="86"/>
      <c r="S28" s="86"/>
      <c r="T28" s="86"/>
      <c r="U28" s="86"/>
      <c r="V28" s="86"/>
      <c r="W28" s="86"/>
      <c r="X28" s="86"/>
      <c r="Y28" s="86"/>
      <c r="Z28" s="86"/>
      <c r="AA28" s="86"/>
      <c r="AB28" s="86"/>
      <c r="AC28" s="86"/>
      <c r="AD28" s="86"/>
      <c r="AE28" s="86"/>
    </row>
    <row r="29" spans="1:31" ht="15.75" customHeight="1">
      <c r="A29" s="15" t="s">
        <v>1701</v>
      </c>
      <c r="B29" s="98" t="s">
        <v>1742</v>
      </c>
      <c r="C29" s="99" t="s">
        <v>154</v>
      </c>
      <c r="D29" s="100">
        <v>2017</v>
      </c>
      <c r="E29" s="101" t="s">
        <v>1707</v>
      </c>
      <c r="F29" s="101" t="s">
        <v>1708</v>
      </c>
      <c r="G29" s="102" t="s">
        <v>1743</v>
      </c>
      <c r="H29" s="103"/>
      <c r="I29" s="103"/>
      <c r="J29" s="103"/>
      <c r="K29" s="103"/>
      <c r="L29" s="103"/>
      <c r="M29" s="103"/>
      <c r="N29" s="103"/>
      <c r="O29" s="103"/>
      <c r="P29" s="103"/>
      <c r="Q29" s="103"/>
      <c r="R29" s="103"/>
      <c r="S29" s="103"/>
      <c r="T29" s="103"/>
      <c r="U29" s="103"/>
      <c r="V29" s="103"/>
      <c r="W29" s="103"/>
      <c r="X29" s="103"/>
      <c r="Y29" s="103"/>
      <c r="Z29" s="103"/>
      <c r="AA29" s="103"/>
      <c r="AB29" s="103"/>
      <c r="AC29" s="103"/>
      <c r="AD29" s="103"/>
      <c r="AE29" s="103"/>
    </row>
    <row r="30" spans="1:31" ht="15.75" customHeight="1">
      <c r="A30" s="88" t="s">
        <v>1701</v>
      </c>
      <c r="B30" s="86" t="s">
        <v>114</v>
      </c>
      <c r="C30" s="92" t="s">
        <v>115</v>
      </c>
      <c r="D30" s="85">
        <v>2019</v>
      </c>
      <c r="E30" s="86" t="s">
        <v>1740</v>
      </c>
      <c r="F30" s="86" t="s">
        <v>1708</v>
      </c>
      <c r="G30" s="91" t="s">
        <v>1744</v>
      </c>
      <c r="H30" s="86"/>
      <c r="I30" s="86"/>
      <c r="J30" s="86"/>
      <c r="K30" s="86"/>
      <c r="L30" s="86"/>
      <c r="M30" s="86"/>
      <c r="N30" s="86"/>
      <c r="O30" s="86"/>
      <c r="P30" s="86"/>
      <c r="Q30" s="86"/>
      <c r="R30" s="86"/>
      <c r="S30" s="86"/>
      <c r="T30" s="86"/>
      <c r="U30" s="86"/>
      <c r="V30" s="86"/>
      <c r="W30" s="86"/>
      <c r="X30" s="86"/>
      <c r="Y30" s="86"/>
      <c r="Z30" s="86"/>
      <c r="AA30" s="86"/>
      <c r="AB30" s="86"/>
      <c r="AC30" s="86"/>
      <c r="AD30" s="86"/>
      <c r="AE30" s="86"/>
    </row>
    <row r="31" spans="1:31" ht="15.75" customHeight="1">
      <c r="A31" s="15" t="s">
        <v>1701</v>
      </c>
      <c r="B31" s="98" t="s">
        <v>1745</v>
      </c>
      <c r="C31" s="104" t="s">
        <v>1746</v>
      </c>
      <c r="D31" s="100">
        <v>2019</v>
      </c>
      <c r="E31" s="101" t="s">
        <v>1702</v>
      </c>
      <c r="F31" s="101" t="s">
        <v>315</v>
      </c>
      <c r="G31" s="101" t="s">
        <v>1747</v>
      </c>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row>
    <row r="32" spans="1:31" ht="15.75" customHeight="1">
      <c r="A32" s="88" t="s">
        <v>1701</v>
      </c>
      <c r="B32" s="86" t="s">
        <v>197</v>
      </c>
      <c r="C32" s="92" t="s">
        <v>198</v>
      </c>
      <c r="D32" s="85">
        <v>2020</v>
      </c>
      <c r="E32" s="86" t="s">
        <v>1702</v>
      </c>
      <c r="F32" s="86" t="s">
        <v>1708</v>
      </c>
      <c r="G32" s="91" t="s">
        <v>1748</v>
      </c>
      <c r="H32" s="86"/>
      <c r="I32" s="86"/>
      <c r="J32" s="86"/>
      <c r="K32" s="86"/>
      <c r="L32" s="86"/>
      <c r="M32" s="86"/>
      <c r="N32" s="86"/>
      <c r="O32" s="86"/>
      <c r="P32" s="86"/>
      <c r="Q32" s="86"/>
      <c r="R32" s="86"/>
      <c r="S32" s="86"/>
      <c r="T32" s="86"/>
      <c r="U32" s="86"/>
      <c r="V32" s="86"/>
      <c r="W32" s="86"/>
      <c r="X32" s="86"/>
      <c r="Y32" s="86"/>
      <c r="Z32" s="86"/>
      <c r="AA32" s="86"/>
      <c r="AB32" s="86"/>
      <c r="AC32" s="86"/>
      <c r="AD32" s="86"/>
      <c r="AE32" s="86"/>
    </row>
    <row r="33" spans="1:31" ht="15.75" customHeight="1">
      <c r="A33" s="88" t="s">
        <v>1701</v>
      </c>
      <c r="B33" s="89" t="s">
        <v>489</v>
      </c>
      <c r="C33" s="92" t="s">
        <v>490</v>
      </c>
      <c r="D33" s="85">
        <v>2020</v>
      </c>
      <c r="E33" s="86" t="s">
        <v>1749</v>
      </c>
      <c r="F33" s="86" t="s">
        <v>488</v>
      </c>
      <c r="G33" s="91" t="s">
        <v>1750</v>
      </c>
      <c r="H33" s="86"/>
      <c r="I33" s="86"/>
      <c r="J33" s="86"/>
      <c r="K33" s="86"/>
      <c r="L33" s="86"/>
      <c r="M33" s="86"/>
      <c r="N33" s="86"/>
      <c r="O33" s="86"/>
      <c r="P33" s="86"/>
      <c r="Q33" s="86"/>
      <c r="R33" s="86"/>
      <c r="S33" s="86"/>
      <c r="T33" s="86"/>
      <c r="U33" s="86"/>
      <c r="V33" s="86"/>
      <c r="W33" s="86"/>
      <c r="X33" s="86"/>
      <c r="Y33" s="86"/>
      <c r="Z33" s="86"/>
      <c r="AA33" s="86"/>
      <c r="AB33" s="86"/>
      <c r="AC33" s="86"/>
      <c r="AD33" s="86"/>
      <c r="AE33" s="86"/>
    </row>
    <row r="34" spans="1:31" ht="15.75" customHeight="1">
      <c r="A34" s="103" t="s">
        <v>1701</v>
      </c>
      <c r="B34" s="98" t="s">
        <v>1751</v>
      </c>
      <c r="C34" s="105" t="s">
        <v>1752</v>
      </c>
      <c r="D34" s="100">
        <v>2021</v>
      </c>
      <c r="E34" s="101" t="s">
        <v>1702</v>
      </c>
      <c r="F34" s="101" t="s">
        <v>1708</v>
      </c>
      <c r="G34" s="102" t="s">
        <v>1753</v>
      </c>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row>
    <row r="35" spans="1:31" ht="15.75" customHeight="1">
      <c r="A35" s="15" t="s">
        <v>1701</v>
      </c>
      <c r="B35" s="98" t="s">
        <v>1754</v>
      </c>
      <c r="C35" s="106" t="s">
        <v>318</v>
      </c>
      <c r="D35" s="100">
        <v>2020</v>
      </c>
      <c r="E35" s="101" t="s">
        <v>1702</v>
      </c>
      <c r="F35" s="101" t="s">
        <v>315</v>
      </c>
      <c r="G35" s="102" t="s">
        <v>1755</v>
      </c>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row>
    <row r="36" spans="1:31" ht="15.75" customHeight="1">
      <c r="A36" s="88" t="s">
        <v>1701</v>
      </c>
      <c r="B36" s="86" t="s">
        <v>1756</v>
      </c>
      <c r="C36" s="92" t="s">
        <v>104</v>
      </c>
      <c r="D36" s="85">
        <v>2021</v>
      </c>
      <c r="E36" s="86" t="s">
        <v>1740</v>
      </c>
      <c r="F36" s="86" t="s">
        <v>1708</v>
      </c>
      <c r="G36" s="91" t="s">
        <v>1757</v>
      </c>
      <c r="H36" s="86"/>
      <c r="I36" s="86"/>
      <c r="J36" s="86"/>
      <c r="K36" s="86"/>
      <c r="L36" s="86"/>
      <c r="M36" s="86"/>
      <c r="N36" s="86"/>
      <c r="O36" s="86"/>
      <c r="P36" s="86"/>
      <c r="Q36" s="86"/>
      <c r="R36" s="86"/>
      <c r="S36" s="86"/>
      <c r="T36" s="86"/>
      <c r="U36" s="86"/>
      <c r="V36" s="86"/>
      <c r="W36" s="86"/>
      <c r="X36" s="86"/>
      <c r="Y36" s="86"/>
      <c r="Z36" s="86"/>
      <c r="AA36" s="86"/>
      <c r="AB36" s="86"/>
      <c r="AC36" s="86"/>
      <c r="AD36" s="86"/>
      <c r="AE36" s="86"/>
    </row>
    <row r="37" spans="1:31" ht="15.75" customHeight="1">
      <c r="A37" s="88" t="s">
        <v>1701</v>
      </c>
      <c r="B37" s="86" t="s">
        <v>584</v>
      </c>
      <c r="C37" s="92" t="s">
        <v>585</v>
      </c>
      <c r="D37" s="85">
        <v>2021</v>
      </c>
      <c r="E37" s="86" t="s">
        <v>1702</v>
      </c>
      <c r="F37" s="86" t="s">
        <v>1708</v>
      </c>
      <c r="G37" s="91" t="s">
        <v>1758</v>
      </c>
      <c r="H37" s="86"/>
      <c r="I37" s="86"/>
      <c r="J37" s="86"/>
      <c r="K37" s="86"/>
      <c r="L37" s="86"/>
      <c r="M37" s="86"/>
      <c r="N37" s="86"/>
      <c r="O37" s="86"/>
      <c r="P37" s="86"/>
      <c r="Q37" s="86"/>
      <c r="R37" s="86"/>
      <c r="S37" s="86"/>
      <c r="T37" s="86"/>
      <c r="U37" s="86"/>
      <c r="V37" s="86"/>
      <c r="W37" s="86"/>
      <c r="X37" s="86"/>
      <c r="Y37" s="86"/>
      <c r="Z37" s="86"/>
      <c r="AA37" s="86"/>
      <c r="AB37" s="86"/>
      <c r="AC37" s="86"/>
      <c r="AD37" s="86"/>
      <c r="AE37" s="86"/>
    </row>
    <row r="38" spans="1:31" ht="15.75" customHeight="1">
      <c r="A38" s="88" t="s">
        <v>1701</v>
      </c>
      <c r="B38" s="86" t="s">
        <v>491</v>
      </c>
      <c r="C38" s="92" t="s">
        <v>492</v>
      </c>
      <c r="D38" s="85">
        <v>2021</v>
      </c>
      <c r="E38" s="86" t="s">
        <v>1740</v>
      </c>
      <c r="F38" s="86" t="s">
        <v>488</v>
      </c>
      <c r="G38" s="91" t="s">
        <v>1759</v>
      </c>
      <c r="H38" s="86"/>
      <c r="I38" s="86"/>
      <c r="J38" s="86"/>
      <c r="K38" s="86"/>
      <c r="L38" s="86"/>
      <c r="M38" s="86"/>
      <c r="N38" s="86"/>
      <c r="O38" s="86"/>
      <c r="P38" s="86"/>
      <c r="Q38" s="86"/>
      <c r="R38" s="86"/>
      <c r="S38" s="86"/>
      <c r="T38" s="86"/>
      <c r="U38" s="86"/>
      <c r="V38" s="86"/>
      <c r="W38" s="86"/>
      <c r="X38" s="86"/>
      <c r="Y38" s="86"/>
      <c r="Z38" s="86"/>
      <c r="AA38" s="86"/>
      <c r="AB38" s="86"/>
      <c r="AC38" s="86"/>
      <c r="AD38" s="86"/>
      <c r="AE38" s="86"/>
    </row>
    <row r="39" spans="1:31" ht="15.75" customHeight="1">
      <c r="A39" s="88" t="s">
        <v>1701</v>
      </c>
      <c r="B39" s="89" t="s">
        <v>580</v>
      </c>
      <c r="C39" s="92" t="s">
        <v>581</v>
      </c>
      <c r="D39" s="85">
        <v>2021</v>
      </c>
      <c r="E39" s="86" t="s">
        <v>1702</v>
      </c>
      <c r="F39" s="86" t="s">
        <v>566</v>
      </c>
      <c r="G39" s="91" t="s">
        <v>1760</v>
      </c>
      <c r="H39" s="86"/>
      <c r="I39" s="86"/>
      <c r="J39" s="86"/>
      <c r="K39" s="86"/>
      <c r="L39" s="86"/>
      <c r="M39" s="86"/>
      <c r="N39" s="86"/>
      <c r="O39" s="86"/>
      <c r="P39" s="86"/>
      <c r="Q39" s="86"/>
      <c r="R39" s="86"/>
      <c r="S39" s="86"/>
      <c r="T39" s="86"/>
      <c r="U39" s="86"/>
      <c r="V39" s="86"/>
      <c r="W39" s="86"/>
      <c r="X39" s="86"/>
      <c r="Y39" s="86"/>
      <c r="Z39" s="86"/>
      <c r="AA39" s="86"/>
      <c r="AB39" s="86"/>
      <c r="AC39" s="86"/>
      <c r="AD39" s="86"/>
      <c r="AE39" s="86"/>
    </row>
    <row r="40" spans="1:31" ht="15.75" customHeight="1">
      <c r="A40" s="15" t="s">
        <v>1701</v>
      </c>
      <c r="B40" s="98" t="s">
        <v>1761</v>
      </c>
      <c r="C40" s="99" t="s">
        <v>1762</v>
      </c>
      <c r="D40" s="100">
        <v>2021</v>
      </c>
      <c r="E40" s="101" t="s">
        <v>1704</v>
      </c>
      <c r="F40" s="101" t="s">
        <v>1763</v>
      </c>
      <c r="G40" s="102" t="s">
        <v>1764</v>
      </c>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row>
    <row r="41" spans="1:31" ht="15.75" customHeight="1">
      <c r="A41" s="3" t="s">
        <v>1765</v>
      </c>
      <c r="B41" s="86" t="s">
        <v>558</v>
      </c>
      <c r="C41" s="13" t="s">
        <v>559</v>
      </c>
      <c r="D41" s="107">
        <v>1919</v>
      </c>
      <c r="E41" s="108" t="s">
        <v>1704</v>
      </c>
      <c r="F41" s="108" t="s">
        <v>557</v>
      </c>
      <c r="G41" s="108" t="s">
        <v>1766</v>
      </c>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31" ht="15.75" customHeight="1">
      <c r="A42" s="3" t="s">
        <v>1765</v>
      </c>
      <c r="B42" s="109" t="s">
        <v>562</v>
      </c>
      <c r="C42" s="13" t="s">
        <v>563</v>
      </c>
      <c r="D42" s="96">
        <v>1919</v>
      </c>
      <c r="E42" s="91" t="s">
        <v>1715</v>
      </c>
      <c r="F42" s="91" t="s">
        <v>557</v>
      </c>
      <c r="G42" s="91" t="s">
        <v>1767</v>
      </c>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31" ht="15.75" customHeight="1">
      <c r="A43" s="3" t="s">
        <v>1765</v>
      </c>
      <c r="B43" s="3" t="s">
        <v>534</v>
      </c>
      <c r="C43" s="13" t="s">
        <v>535</v>
      </c>
      <c r="D43" s="96">
        <v>1923</v>
      </c>
      <c r="E43" s="91" t="s">
        <v>1704</v>
      </c>
      <c r="F43" s="91" t="s">
        <v>1763</v>
      </c>
      <c r="G43" s="91" t="s">
        <v>1768</v>
      </c>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31" ht="15.75" customHeight="1">
      <c r="A44" s="3" t="s">
        <v>1765</v>
      </c>
      <c r="B44" s="3" t="s">
        <v>1769</v>
      </c>
      <c r="C44" s="90" t="s">
        <v>1714</v>
      </c>
      <c r="D44" s="96">
        <v>1923</v>
      </c>
      <c r="E44" s="91" t="s">
        <v>1715</v>
      </c>
      <c r="F44" s="91" t="s">
        <v>1763</v>
      </c>
      <c r="G44" s="91" t="s">
        <v>1770</v>
      </c>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31" ht="15.75" customHeight="1">
      <c r="A45" s="3" t="s">
        <v>1765</v>
      </c>
      <c r="B45" s="3" t="s">
        <v>518</v>
      </c>
      <c r="C45" s="13" t="s">
        <v>519</v>
      </c>
      <c r="D45" s="96">
        <v>1924</v>
      </c>
      <c r="E45" s="91" t="s">
        <v>1715</v>
      </c>
      <c r="F45" s="89" t="s">
        <v>1708</v>
      </c>
      <c r="G45" s="91" t="s">
        <v>1771</v>
      </c>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31" ht="15.75" customHeight="1">
      <c r="A46" s="3" t="s">
        <v>1765</v>
      </c>
      <c r="B46" s="32" t="s">
        <v>272</v>
      </c>
      <c r="C46" s="13" t="s">
        <v>273</v>
      </c>
      <c r="D46" s="96">
        <v>1924</v>
      </c>
      <c r="E46" s="91" t="s">
        <v>1715</v>
      </c>
      <c r="F46" s="91" t="s">
        <v>1708</v>
      </c>
      <c r="G46" s="91" t="s">
        <v>1772</v>
      </c>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31" ht="15.75" customHeight="1">
      <c r="A47" s="3" t="s">
        <v>1765</v>
      </c>
      <c r="B47" s="3" t="s">
        <v>454</v>
      </c>
      <c r="C47" s="13" t="s">
        <v>455</v>
      </c>
      <c r="D47" s="96">
        <v>1925</v>
      </c>
      <c r="E47" s="91" t="s">
        <v>1715</v>
      </c>
      <c r="F47" s="91" t="s">
        <v>116</v>
      </c>
      <c r="G47" s="91" t="s">
        <v>1773</v>
      </c>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31" ht="15.75" customHeight="1">
      <c r="A48" s="3" t="s">
        <v>1765</v>
      </c>
      <c r="B48" s="3" t="s">
        <v>203</v>
      </c>
      <c r="C48" s="13" t="s">
        <v>204</v>
      </c>
      <c r="D48" s="96">
        <v>1928</v>
      </c>
      <c r="E48" s="91" t="s">
        <v>1704</v>
      </c>
      <c r="F48" s="91" t="s">
        <v>1763</v>
      </c>
      <c r="G48" s="91" t="s">
        <v>1774</v>
      </c>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15.75" customHeight="1">
      <c r="A49" s="3" t="s">
        <v>1765</v>
      </c>
      <c r="B49" s="89" t="s">
        <v>1775</v>
      </c>
      <c r="C49" s="90" t="s">
        <v>1714</v>
      </c>
      <c r="D49" s="110">
        <v>1930</v>
      </c>
      <c r="E49" s="89" t="s">
        <v>1704</v>
      </c>
      <c r="F49" s="89" t="s">
        <v>1708</v>
      </c>
      <c r="G49" s="111" t="s">
        <v>1776</v>
      </c>
      <c r="H49" s="89"/>
      <c r="I49" s="89"/>
      <c r="J49" s="89"/>
      <c r="K49" s="89"/>
      <c r="L49" s="89"/>
      <c r="M49" s="89"/>
      <c r="N49" s="89"/>
      <c r="O49" s="89"/>
      <c r="P49" s="89"/>
      <c r="Q49" s="89"/>
      <c r="R49" s="89"/>
      <c r="S49" s="89"/>
      <c r="T49" s="89"/>
      <c r="U49" s="89"/>
      <c r="V49" s="89"/>
      <c r="W49" s="89"/>
      <c r="X49" s="89"/>
      <c r="Y49" s="89"/>
      <c r="Z49" s="89"/>
      <c r="AA49" s="89"/>
      <c r="AB49" s="89"/>
      <c r="AC49" s="89"/>
      <c r="AD49" s="89"/>
      <c r="AE49" s="89"/>
    </row>
    <row r="50" spans="1:31" ht="15.75" customHeight="1">
      <c r="A50" s="3" t="s">
        <v>1765</v>
      </c>
      <c r="B50" s="109" t="s">
        <v>232</v>
      </c>
      <c r="C50" s="13" t="s">
        <v>233</v>
      </c>
      <c r="D50" s="96">
        <v>1930</v>
      </c>
      <c r="E50" s="91" t="s">
        <v>1715</v>
      </c>
      <c r="F50" s="91" t="s">
        <v>1708</v>
      </c>
      <c r="G50" s="91" t="s">
        <v>1777</v>
      </c>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15.75" customHeight="1">
      <c r="A51" s="3" t="s">
        <v>1765</v>
      </c>
      <c r="B51" s="89" t="s">
        <v>1778</v>
      </c>
      <c r="C51" s="90" t="s">
        <v>1714</v>
      </c>
      <c r="D51" s="110">
        <v>1932</v>
      </c>
      <c r="E51" s="89" t="s">
        <v>1704</v>
      </c>
      <c r="F51" s="89" t="s">
        <v>682</v>
      </c>
      <c r="G51" s="89" t="s">
        <v>1779</v>
      </c>
      <c r="H51" s="89"/>
      <c r="I51" s="89"/>
      <c r="J51" s="89"/>
      <c r="K51" s="89"/>
      <c r="L51" s="89"/>
      <c r="M51" s="89"/>
      <c r="N51" s="89"/>
      <c r="O51" s="89"/>
      <c r="P51" s="89"/>
      <c r="Q51" s="89"/>
      <c r="R51" s="89"/>
      <c r="S51" s="89"/>
      <c r="T51" s="89"/>
      <c r="U51" s="89"/>
      <c r="V51" s="89"/>
      <c r="W51" s="89"/>
      <c r="X51" s="89"/>
      <c r="Y51" s="89"/>
      <c r="Z51" s="89"/>
      <c r="AA51" s="89"/>
      <c r="AB51" s="89"/>
      <c r="AC51" s="89"/>
      <c r="AD51" s="89"/>
      <c r="AE51" s="89"/>
    </row>
    <row r="52" spans="1:31" ht="15.75" customHeight="1">
      <c r="A52" s="3" t="s">
        <v>1765</v>
      </c>
      <c r="B52" s="3" t="s">
        <v>1780</v>
      </c>
      <c r="C52" s="90" t="s">
        <v>1714</v>
      </c>
      <c r="D52" s="96">
        <v>1934</v>
      </c>
      <c r="E52" s="91" t="s">
        <v>1715</v>
      </c>
      <c r="F52" s="91" t="s">
        <v>1708</v>
      </c>
      <c r="G52" s="91" t="s">
        <v>1781</v>
      </c>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15.75" customHeight="1">
      <c r="A53" s="3" t="s">
        <v>1765</v>
      </c>
      <c r="B53" s="89" t="s">
        <v>1782</v>
      </c>
      <c r="C53" s="90" t="s">
        <v>1714</v>
      </c>
      <c r="D53" s="110">
        <v>1936</v>
      </c>
      <c r="E53" s="89" t="s">
        <v>1704</v>
      </c>
      <c r="F53" s="89" t="s">
        <v>672</v>
      </c>
      <c r="G53" s="89" t="s">
        <v>1783</v>
      </c>
      <c r="H53" s="89"/>
      <c r="I53" s="89"/>
      <c r="J53" s="89"/>
      <c r="K53" s="89"/>
      <c r="L53" s="89"/>
      <c r="M53" s="89"/>
      <c r="N53" s="89"/>
      <c r="O53" s="89"/>
      <c r="P53" s="89"/>
      <c r="Q53" s="89"/>
      <c r="R53" s="89"/>
      <c r="S53" s="89"/>
      <c r="T53" s="89"/>
      <c r="U53" s="89"/>
      <c r="V53" s="89"/>
      <c r="W53" s="89"/>
      <c r="X53" s="89"/>
      <c r="Y53" s="89"/>
      <c r="Z53" s="89"/>
      <c r="AA53" s="89"/>
      <c r="AB53" s="89"/>
      <c r="AC53" s="89"/>
      <c r="AD53" s="89"/>
      <c r="AE53" s="89"/>
    </row>
    <row r="54" spans="1:31" ht="15.75" customHeight="1">
      <c r="A54" s="3" t="s">
        <v>1765</v>
      </c>
      <c r="B54" s="3" t="s">
        <v>158</v>
      </c>
      <c r="C54" s="13" t="s">
        <v>157</v>
      </c>
      <c r="D54" s="96">
        <v>1936</v>
      </c>
      <c r="E54" s="91" t="s">
        <v>1715</v>
      </c>
      <c r="F54" s="91" t="s">
        <v>1708</v>
      </c>
      <c r="G54" s="91" t="s">
        <v>1784</v>
      </c>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15.75" customHeight="1">
      <c r="A55" s="3" t="s">
        <v>1765</v>
      </c>
      <c r="B55" s="3" t="s">
        <v>1785</v>
      </c>
      <c r="C55" s="13" t="s">
        <v>1786</v>
      </c>
      <c r="D55" s="96">
        <v>1937</v>
      </c>
      <c r="E55" s="91" t="s">
        <v>1715</v>
      </c>
      <c r="F55" s="91" t="s">
        <v>682</v>
      </c>
      <c r="G55" s="91" t="s">
        <v>1787</v>
      </c>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15.75" customHeight="1">
      <c r="A56" s="3" t="s">
        <v>1765</v>
      </c>
      <c r="B56" s="89" t="s">
        <v>1788</v>
      </c>
      <c r="C56" s="90" t="s">
        <v>1714</v>
      </c>
      <c r="D56" s="110">
        <v>1939</v>
      </c>
      <c r="E56" s="89" t="s">
        <v>1704</v>
      </c>
      <c r="F56" s="89" t="s">
        <v>1708</v>
      </c>
      <c r="G56" s="111" t="s">
        <v>1789</v>
      </c>
      <c r="H56" s="89"/>
      <c r="I56" s="89"/>
      <c r="J56" s="89"/>
      <c r="K56" s="89"/>
      <c r="L56" s="89"/>
      <c r="M56" s="89"/>
      <c r="N56" s="89"/>
      <c r="O56" s="89"/>
      <c r="P56" s="89"/>
      <c r="Q56" s="89"/>
      <c r="R56" s="89"/>
      <c r="S56" s="89"/>
      <c r="T56" s="89"/>
      <c r="U56" s="89"/>
      <c r="V56" s="89"/>
      <c r="W56" s="89"/>
      <c r="X56" s="89"/>
      <c r="Y56" s="89"/>
      <c r="Z56" s="89"/>
      <c r="AA56" s="89"/>
      <c r="AB56" s="89"/>
      <c r="AC56" s="89"/>
      <c r="AD56" s="89"/>
      <c r="AE56" s="89"/>
    </row>
    <row r="57" spans="1:31" ht="15.75" customHeight="1">
      <c r="A57" s="3" t="s">
        <v>1765</v>
      </c>
      <c r="B57" s="11" t="s">
        <v>1790</v>
      </c>
      <c r="C57" s="13" t="s">
        <v>150</v>
      </c>
      <c r="D57" s="96">
        <v>1940</v>
      </c>
      <c r="E57" s="91" t="s">
        <v>1715</v>
      </c>
      <c r="F57" s="91" t="s">
        <v>1708</v>
      </c>
      <c r="G57" s="91" t="s">
        <v>1791</v>
      </c>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15.75" customHeight="1">
      <c r="A58" s="3" t="s">
        <v>1765</v>
      </c>
      <c r="B58" s="3" t="s">
        <v>1792</v>
      </c>
      <c r="C58" s="90" t="s">
        <v>1714</v>
      </c>
      <c r="D58" s="85">
        <v>1941</v>
      </c>
      <c r="E58" s="86" t="s">
        <v>1715</v>
      </c>
      <c r="F58" s="91" t="s">
        <v>1708</v>
      </c>
      <c r="G58" s="86" t="s">
        <v>1793</v>
      </c>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15.75" customHeight="1">
      <c r="A59" s="3" t="s">
        <v>1765</v>
      </c>
      <c r="B59" s="89" t="s">
        <v>1794</v>
      </c>
      <c r="C59" s="90" t="s">
        <v>1714</v>
      </c>
      <c r="D59" s="110">
        <v>1946</v>
      </c>
      <c r="E59" s="89" t="s">
        <v>1704</v>
      </c>
      <c r="F59" s="89" t="s">
        <v>1708</v>
      </c>
      <c r="G59" s="89" t="s">
        <v>1795</v>
      </c>
      <c r="H59" s="89"/>
      <c r="I59" s="89"/>
      <c r="J59" s="89"/>
      <c r="K59" s="89"/>
      <c r="L59" s="89"/>
      <c r="M59" s="89"/>
      <c r="N59" s="89"/>
      <c r="O59" s="89"/>
      <c r="P59" s="89"/>
      <c r="Q59" s="89"/>
      <c r="R59" s="89"/>
      <c r="S59" s="89"/>
      <c r="T59" s="89"/>
      <c r="U59" s="89"/>
      <c r="V59" s="89"/>
      <c r="W59" s="89"/>
      <c r="X59" s="89"/>
      <c r="Y59" s="89"/>
      <c r="Z59" s="89"/>
      <c r="AA59" s="89"/>
      <c r="AB59" s="89"/>
      <c r="AC59" s="89"/>
      <c r="AD59" s="89"/>
      <c r="AE59" s="89"/>
    </row>
    <row r="60" spans="1:31" ht="15.75" customHeight="1">
      <c r="A60" s="3" t="s">
        <v>1765</v>
      </c>
      <c r="B60" s="109" t="s">
        <v>228</v>
      </c>
      <c r="C60" s="13" t="s">
        <v>229</v>
      </c>
      <c r="D60" s="96">
        <v>1948</v>
      </c>
      <c r="E60" s="91" t="s">
        <v>1715</v>
      </c>
      <c r="F60" s="91" t="s">
        <v>205</v>
      </c>
      <c r="G60" s="91" t="s">
        <v>1796</v>
      </c>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15.75" customHeight="1">
      <c r="A61" s="3" t="s">
        <v>1765</v>
      </c>
      <c r="B61" s="89" t="s">
        <v>1797</v>
      </c>
      <c r="C61" s="13" t="s">
        <v>269</v>
      </c>
      <c r="D61" s="110">
        <v>1949</v>
      </c>
      <c r="E61" s="89" t="s">
        <v>1704</v>
      </c>
      <c r="F61" s="89" t="s">
        <v>1708</v>
      </c>
      <c r="G61" s="112" t="s">
        <v>1798</v>
      </c>
      <c r="H61" s="89"/>
      <c r="I61" s="89"/>
      <c r="J61" s="89"/>
      <c r="K61" s="89"/>
      <c r="L61" s="89"/>
      <c r="M61" s="89"/>
      <c r="N61" s="89"/>
      <c r="O61" s="89"/>
      <c r="P61" s="89"/>
      <c r="Q61" s="89"/>
      <c r="R61" s="89"/>
      <c r="S61" s="89"/>
      <c r="T61" s="89"/>
      <c r="U61" s="89"/>
      <c r="V61" s="89"/>
      <c r="W61" s="89"/>
      <c r="X61" s="89"/>
      <c r="Y61" s="89"/>
      <c r="Z61" s="89"/>
      <c r="AA61" s="89"/>
      <c r="AB61" s="89"/>
      <c r="AC61" s="89"/>
      <c r="AD61" s="89"/>
      <c r="AE61" s="89"/>
    </row>
    <row r="62" spans="1:31" ht="15.75" customHeight="1">
      <c r="A62" s="3" t="s">
        <v>1765</v>
      </c>
      <c r="B62" s="89" t="s">
        <v>207</v>
      </c>
      <c r="C62" s="13" t="s">
        <v>208</v>
      </c>
      <c r="D62" s="110">
        <v>1952</v>
      </c>
      <c r="E62" s="89" t="s">
        <v>1715</v>
      </c>
      <c r="F62" s="89" t="s">
        <v>205</v>
      </c>
      <c r="G62" s="112" t="s">
        <v>1799</v>
      </c>
      <c r="H62" s="89"/>
      <c r="I62" s="89"/>
      <c r="J62" s="89"/>
      <c r="K62" s="89"/>
      <c r="L62" s="89"/>
      <c r="M62" s="89"/>
      <c r="N62" s="89"/>
      <c r="O62" s="89"/>
      <c r="P62" s="89"/>
      <c r="Q62" s="89"/>
      <c r="R62" s="89"/>
      <c r="S62" s="89"/>
      <c r="T62" s="89"/>
      <c r="U62" s="89"/>
      <c r="V62" s="89"/>
      <c r="W62" s="89"/>
      <c r="X62" s="89"/>
      <c r="Y62" s="89"/>
      <c r="Z62" s="89"/>
      <c r="AA62" s="89"/>
      <c r="AB62" s="89"/>
      <c r="AC62" s="89"/>
      <c r="AD62" s="89"/>
      <c r="AE62" s="89"/>
    </row>
    <row r="63" spans="1:31" ht="15.75" customHeight="1">
      <c r="A63" s="3" t="s">
        <v>1765</v>
      </c>
      <c r="B63" s="3" t="s">
        <v>1800</v>
      </c>
      <c r="C63" s="13" t="s">
        <v>1801</v>
      </c>
      <c r="D63" s="96">
        <v>1954</v>
      </c>
      <c r="E63" s="91" t="s">
        <v>1715</v>
      </c>
      <c r="F63" s="91" t="s">
        <v>315</v>
      </c>
      <c r="G63" s="91" t="s">
        <v>1802</v>
      </c>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15.75" customHeight="1">
      <c r="A64" s="3" t="s">
        <v>1765</v>
      </c>
      <c r="B64" s="3" t="s">
        <v>343</v>
      </c>
      <c r="C64" s="13" t="s">
        <v>344</v>
      </c>
      <c r="D64" s="96">
        <v>1955</v>
      </c>
      <c r="E64" s="91" t="s">
        <v>1704</v>
      </c>
      <c r="F64" s="91" t="s">
        <v>1763</v>
      </c>
      <c r="G64" s="91" t="s">
        <v>1803</v>
      </c>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15.75" customHeight="1">
      <c r="A65" s="3" t="s">
        <v>1765</v>
      </c>
      <c r="B65" s="89" t="s">
        <v>1804</v>
      </c>
      <c r="C65" s="13" t="s">
        <v>569</v>
      </c>
      <c r="D65" s="110">
        <v>1955</v>
      </c>
      <c r="E65" s="89" t="s">
        <v>1704</v>
      </c>
      <c r="F65" s="89" t="s">
        <v>566</v>
      </c>
      <c r="G65" s="112" t="s">
        <v>1805</v>
      </c>
      <c r="H65" s="89"/>
      <c r="I65" s="89"/>
      <c r="J65" s="89"/>
      <c r="K65" s="89"/>
      <c r="L65" s="89"/>
      <c r="M65" s="89"/>
      <c r="N65" s="89"/>
      <c r="O65" s="89"/>
      <c r="P65" s="89"/>
      <c r="Q65" s="89"/>
      <c r="R65" s="89"/>
      <c r="S65" s="89"/>
      <c r="T65" s="89"/>
      <c r="U65" s="89"/>
      <c r="V65" s="89"/>
      <c r="W65" s="89"/>
      <c r="X65" s="89"/>
      <c r="Y65" s="89"/>
      <c r="Z65" s="89"/>
      <c r="AA65" s="89"/>
      <c r="AB65" s="89"/>
      <c r="AC65" s="89"/>
      <c r="AD65" s="89"/>
      <c r="AE65" s="89"/>
    </row>
    <row r="66" spans="1:31" ht="15.75" customHeight="1">
      <c r="A66" s="3" t="s">
        <v>1765</v>
      </c>
      <c r="B66" s="3" t="s">
        <v>1806</v>
      </c>
      <c r="C66" s="13" t="s">
        <v>1807</v>
      </c>
      <c r="D66" s="96">
        <v>1957</v>
      </c>
      <c r="E66" s="91" t="s">
        <v>1715</v>
      </c>
      <c r="F66" s="91" t="s">
        <v>315</v>
      </c>
      <c r="G66" s="91" t="s">
        <v>1808</v>
      </c>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15.75" customHeight="1">
      <c r="A67" s="3" t="s">
        <v>1765</v>
      </c>
      <c r="B67" s="3" t="s">
        <v>1809</v>
      </c>
      <c r="C67" s="13" t="s">
        <v>324</v>
      </c>
      <c r="D67" s="96">
        <v>1957</v>
      </c>
      <c r="E67" s="91" t="s">
        <v>1715</v>
      </c>
      <c r="F67" s="91" t="s">
        <v>682</v>
      </c>
      <c r="G67" s="91" t="s">
        <v>1810</v>
      </c>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15.75" customHeight="1">
      <c r="A68" s="3" t="s">
        <v>1765</v>
      </c>
      <c r="B68" s="3" t="s">
        <v>321</v>
      </c>
      <c r="C68" s="13" t="s">
        <v>322</v>
      </c>
      <c r="D68" s="96">
        <v>1957</v>
      </c>
      <c r="E68" s="91" t="s">
        <v>1715</v>
      </c>
      <c r="F68" s="91" t="s">
        <v>1708</v>
      </c>
      <c r="G68" s="91" t="s">
        <v>1811</v>
      </c>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15.75" customHeight="1">
      <c r="A69" s="3" t="s">
        <v>1765</v>
      </c>
      <c r="B69" s="109" t="s">
        <v>92</v>
      </c>
      <c r="C69" s="13" t="s">
        <v>93</v>
      </c>
      <c r="D69" s="96">
        <v>1957</v>
      </c>
      <c r="E69" s="91" t="s">
        <v>1704</v>
      </c>
      <c r="F69" s="91" t="s">
        <v>1763</v>
      </c>
      <c r="G69" s="91" t="s">
        <v>1812</v>
      </c>
      <c r="H69" s="86"/>
      <c r="I69" s="86"/>
      <c r="J69" s="86"/>
      <c r="K69" s="86"/>
      <c r="L69" s="86"/>
      <c r="M69" s="86"/>
      <c r="N69" s="86"/>
      <c r="O69" s="86"/>
      <c r="P69" s="86"/>
      <c r="Q69" s="86"/>
      <c r="R69" s="86"/>
      <c r="S69" s="86"/>
      <c r="T69" s="86"/>
      <c r="U69" s="86"/>
      <c r="V69" s="86"/>
      <c r="W69" s="86"/>
      <c r="X69" s="86"/>
      <c r="Y69" s="86"/>
      <c r="Z69" s="86"/>
      <c r="AA69" s="86"/>
      <c r="AB69" s="86"/>
      <c r="AC69" s="86"/>
      <c r="AD69" s="86"/>
      <c r="AE69" s="86"/>
    </row>
    <row r="70" spans="1:31" ht="15.75" customHeight="1">
      <c r="A70" s="3" t="s">
        <v>1765</v>
      </c>
      <c r="B70" s="3" t="s">
        <v>1813</v>
      </c>
      <c r="C70" s="13" t="s">
        <v>1814</v>
      </c>
      <c r="D70" s="96">
        <v>1958</v>
      </c>
      <c r="E70" s="91" t="s">
        <v>1715</v>
      </c>
      <c r="F70" s="91" t="s">
        <v>1708</v>
      </c>
      <c r="G70" s="91" t="s">
        <v>1815</v>
      </c>
      <c r="H70" s="86"/>
      <c r="I70" s="86"/>
      <c r="J70" s="86"/>
      <c r="K70" s="86"/>
      <c r="L70" s="86"/>
      <c r="M70" s="86"/>
      <c r="N70" s="86"/>
      <c r="O70" s="86"/>
      <c r="P70" s="86"/>
      <c r="Q70" s="86"/>
      <c r="R70" s="86"/>
      <c r="S70" s="86"/>
      <c r="T70" s="86"/>
      <c r="U70" s="86"/>
      <c r="V70" s="86"/>
      <c r="W70" s="86"/>
      <c r="X70" s="86"/>
      <c r="Y70" s="86"/>
      <c r="Z70" s="86"/>
      <c r="AA70" s="86"/>
      <c r="AB70" s="86"/>
      <c r="AC70" s="86"/>
      <c r="AD70" s="86"/>
      <c r="AE70" s="86"/>
    </row>
    <row r="71" spans="1:31" ht="15.75" customHeight="1">
      <c r="A71" s="3" t="s">
        <v>1765</v>
      </c>
      <c r="B71" s="3" t="s">
        <v>592</v>
      </c>
      <c r="C71" s="13" t="s">
        <v>302</v>
      </c>
      <c r="D71" s="96">
        <v>1958</v>
      </c>
      <c r="E71" s="91" t="s">
        <v>1704</v>
      </c>
      <c r="F71" s="91" t="s">
        <v>1763</v>
      </c>
      <c r="G71" s="91" t="s">
        <v>1816</v>
      </c>
      <c r="H71" s="86"/>
      <c r="I71" s="86"/>
      <c r="J71" s="86"/>
      <c r="K71" s="86"/>
      <c r="L71" s="86"/>
      <c r="M71" s="86"/>
      <c r="N71" s="86"/>
      <c r="O71" s="86"/>
      <c r="P71" s="86"/>
      <c r="Q71" s="86"/>
      <c r="R71" s="86"/>
      <c r="S71" s="86"/>
      <c r="T71" s="86"/>
      <c r="U71" s="86"/>
      <c r="V71" s="86"/>
      <c r="W71" s="86"/>
      <c r="X71" s="86"/>
      <c r="Y71" s="86"/>
      <c r="Z71" s="86"/>
      <c r="AA71" s="86"/>
      <c r="AB71" s="86"/>
      <c r="AC71" s="86"/>
      <c r="AD71" s="86"/>
      <c r="AE71" s="86"/>
    </row>
    <row r="72" spans="1:31" ht="15.75" customHeight="1">
      <c r="A72" s="3" t="s">
        <v>1765</v>
      </c>
      <c r="B72" s="3" t="s">
        <v>245</v>
      </c>
      <c r="C72" s="13" t="s">
        <v>246</v>
      </c>
      <c r="D72" s="96">
        <v>1962</v>
      </c>
      <c r="E72" s="91" t="s">
        <v>1715</v>
      </c>
      <c r="F72" s="91" t="s">
        <v>236</v>
      </c>
      <c r="G72" s="91" t="s">
        <v>1817</v>
      </c>
      <c r="H72" s="86"/>
      <c r="I72" s="86"/>
      <c r="J72" s="86"/>
      <c r="K72" s="86"/>
      <c r="L72" s="86"/>
      <c r="M72" s="86"/>
      <c r="N72" s="86"/>
      <c r="O72" s="86"/>
      <c r="P72" s="86"/>
      <c r="Q72" s="86"/>
      <c r="R72" s="86"/>
      <c r="S72" s="86"/>
      <c r="T72" s="86"/>
      <c r="U72" s="86"/>
      <c r="V72" s="86"/>
      <c r="W72" s="86"/>
      <c r="X72" s="86"/>
      <c r="Y72" s="86"/>
      <c r="Z72" s="86"/>
      <c r="AA72" s="86"/>
      <c r="AB72" s="86"/>
      <c r="AC72" s="86"/>
      <c r="AD72" s="86"/>
      <c r="AE72" s="86"/>
    </row>
    <row r="73" spans="1:31" ht="15.75" customHeight="1">
      <c r="A73" s="3" t="s">
        <v>1765</v>
      </c>
      <c r="B73" s="11" t="s">
        <v>461</v>
      </c>
      <c r="C73" s="13" t="s">
        <v>462</v>
      </c>
      <c r="D73" s="96">
        <v>1963</v>
      </c>
      <c r="E73" s="91" t="s">
        <v>1715</v>
      </c>
      <c r="F73" s="91" t="s">
        <v>116</v>
      </c>
      <c r="G73" s="91" t="s">
        <v>1818</v>
      </c>
      <c r="H73" s="86"/>
      <c r="I73" s="86"/>
      <c r="J73" s="86"/>
      <c r="K73" s="86"/>
      <c r="L73" s="86"/>
      <c r="M73" s="86"/>
      <c r="N73" s="86"/>
      <c r="O73" s="86"/>
      <c r="P73" s="86"/>
      <c r="Q73" s="86"/>
      <c r="R73" s="86"/>
      <c r="S73" s="86"/>
      <c r="T73" s="86"/>
      <c r="U73" s="86"/>
      <c r="V73" s="86"/>
      <c r="W73" s="86"/>
      <c r="X73" s="86"/>
      <c r="Y73" s="86"/>
      <c r="Z73" s="86"/>
      <c r="AA73" s="86"/>
      <c r="AB73" s="86"/>
      <c r="AC73" s="86"/>
      <c r="AD73" s="86"/>
      <c r="AE73" s="86"/>
    </row>
    <row r="74" spans="1:31" ht="15.75" customHeight="1">
      <c r="A74" s="3" t="s">
        <v>1765</v>
      </c>
      <c r="B74" s="11" t="s">
        <v>1819</v>
      </c>
      <c r="C74" s="13" t="s">
        <v>1820</v>
      </c>
      <c r="D74" s="96">
        <v>1970</v>
      </c>
      <c r="E74" s="91" t="s">
        <v>1715</v>
      </c>
      <c r="F74" s="91" t="s">
        <v>1763</v>
      </c>
      <c r="G74" s="91" t="s">
        <v>1821</v>
      </c>
      <c r="H74" s="86"/>
      <c r="I74" s="86"/>
      <c r="J74" s="86"/>
      <c r="K74" s="86"/>
      <c r="L74" s="86"/>
      <c r="M74" s="86"/>
      <c r="N74" s="86"/>
      <c r="O74" s="86"/>
      <c r="P74" s="86"/>
      <c r="Q74" s="86"/>
      <c r="R74" s="86"/>
      <c r="S74" s="86"/>
      <c r="T74" s="86"/>
      <c r="U74" s="86"/>
      <c r="V74" s="86"/>
      <c r="W74" s="86"/>
      <c r="X74" s="86"/>
      <c r="Y74" s="86"/>
      <c r="Z74" s="86"/>
      <c r="AA74" s="86"/>
      <c r="AB74" s="86"/>
      <c r="AC74" s="86"/>
      <c r="AD74" s="86"/>
      <c r="AE74" s="86"/>
    </row>
    <row r="75" spans="1:31" ht="15.75" customHeight="1">
      <c r="A75" s="3" t="s">
        <v>1765</v>
      </c>
      <c r="B75" s="86" t="s">
        <v>477</v>
      </c>
      <c r="C75" s="13" t="s">
        <v>478</v>
      </c>
      <c r="D75" s="96">
        <v>1970</v>
      </c>
      <c r="E75" s="91" t="s">
        <v>1715</v>
      </c>
      <c r="F75" s="91" t="s">
        <v>116</v>
      </c>
      <c r="G75" s="91" t="s">
        <v>1822</v>
      </c>
      <c r="H75" s="86"/>
      <c r="I75" s="86"/>
      <c r="J75" s="86"/>
      <c r="K75" s="86"/>
      <c r="L75" s="86"/>
      <c r="M75" s="86"/>
      <c r="N75" s="86"/>
      <c r="O75" s="86"/>
      <c r="P75" s="86"/>
      <c r="Q75" s="86"/>
      <c r="R75" s="86"/>
      <c r="S75" s="86"/>
      <c r="T75" s="86"/>
      <c r="U75" s="86"/>
      <c r="V75" s="86"/>
      <c r="W75" s="86"/>
      <c r="X75" s="86"/>
      <c r="Y75" s="86"/>
      <c r="Z75" s="86"/>
      <c r="AA75" s="86"/>
      <c r="AB75" s="86"/>
      <c r="AC75" s="86"/>
      <c r="AD75" s="86"/>
      <c r="AE75" s="86"/>
    </row>
    <row r="76" spans="1:31" ht="15.75" customHeight="1">
      <c r="A76" s="3" t="s">
        <v>1765</v>
      </c>
      <c r="B76" s="3" t="s">
        <v>1823</v>
      </c>
      <c r="C76" s="90" t="s">
        <v>1714</v>
      </c>
      <c r="D76" s="96">
        <v>1971</v>
      </c>
      <c r="E76" s="91" t="s">
        <v>1704</v>
      </c>
      <c r="F76" s="91" t="s">
        <v>205</v>
      </c>
      <c r="G76" s="91" t="s">
        <v>1824</v>
      </c>
      <c r="H76" s="86"/>
      <c r="I76" s="86"/>
      <c r="J76" s="86"/>
      <c r="K76" s="86"/>
      <c r="L76" s="86"/>
      <c r="M76" s="86"/>
      <c r="N76" s="86"/>
      <c r="O76" s="86"/>
      <c r="P76" s="86"/>
      <c r="Q76" s="86"/>
      <c r="R76" s="86"/>
      <c r="S76" s="86"/>
      <c r="T76" s="86"/>
      <c r="U76" s="86"/>
      <c r="V76" s="86"/>
      <c r="W76" s="86"/>
      <c r="X76" s="86"/>
      <c r="Y76" s="86"/>
      <c r="Z76" s="86"/>
      <c r="AA76" s="86"/>
      <c r="AB76" s="86"/>
      <c r="AC76" s="86"/>
      <c r="AD76" s="86"/>
      <c r="AE76" s="86"/>
    </row>
    <row r="77" spans="1:31" ht="15.75" customHeight="1">
      <c r="A77" s="3" t="s">
        <v>1765</v>
      </c>
      <c r="B77" s="109" t="s">
        <v>247</v>
      </c>
      <c r="C77" s="13" t="s">
        <v>248</v>
      </c>
      <c r="D77" s="96">
        <v>1971</v>
      </c>
      <c r="E77" s="91" t="s">
        <v>1715</v>
      </c>
      <c r="F77" s="91" t="s">
        <v>236</v>
      </c>
      <c r="G77" s="91" t="s">
        <v>1825</v>
      </c>
      <c r="H77" s="86"/>
      <c r="I77" s="86"/>
      <c r="J77" s="86"/>
      <c r="K77" s="86"/>
      <c r="L77" s="86"/>
      <c r="M77" s="86"/>
      <c r="N77" s="86"/>
      <c r="O77" s="86"/>
      <c r="P77" s="86"/>
      <c r="Q77" s="86"/>
      <c r="R77" s="86"/>
      <c r="S77" s="86"/>
      <c r="T77" s="86"/>
      <c r="U77" s="86"/>
      <c r="V77" s="86"/>
      <c r="W77" s="86"/>
      <c r="X77" s="86"/>
      <c r="Y77" s="86"/>
      <c r="Z77" s="86"/>
      <c r="AA77" s="86"/>
      <c r="AB77" s="86"/>
      <c r="AC77" s="86"/>
      <c r="AD77" s="86"/>
      <c r="AE77" s="86"/>
    </row>
    <row r="78" spans="1:31" ht="15.75" customHeight="1">
      <c r="A78" s="3" t="s">
        <v>1765</v>
      </c>
      <c r="B78" s="11" t="s">
        <v>1826</v>
      </c>
      <c r="C78" s="13" t="s">
        <v>1827</v>
      </c>
      <c r="D78" s="96">
        <v>1971</v>
      </c>
      <c r="E78" s="91" t="s">
        <v>1715</v>
      </c>
      <c r="F78" s="91" t="s">
        <v>1708</v>
      </c>
      <c r="G78" s="91" t="s">
        <v>1828</v>
      </c>
      <c r="H78" s="86"/>
      <c r="I78" s="86"/>
      <c r="J78" s="86"/>
      <c r="K78" s="86"/>
      <c r="L78" s="86"/>
      <c r="M78" s="86"/>
      <c r="N78" s="86"/>
      <c r="O78" s="86"/>
      <c r="P78" s="86"/>
      <c r="Q78" s="86"/>
      <c r="R78" s="86"/>
      <c r="S78" s="86"/>
      <c r="T78" s="86"/>
      <c r="U78" s="86"/>
      <c r="V78" s="86"/>
      <c r="W78" s="86"/>
      <c r="X78" s="86"/>
      <c r="Y78" s="86"/>
      <c r="Z78" s="86"/>
      <c r="AA78" s="86"/>
      <c r="AB78" s="86"/>
      <c r="AC78" s="86"/>
      <c r="AD78" s="86"/>
      <c r="AE78" s="86"/>
    </row>
    <row r="79" spans="1:31" ht="15.75" customHeight="1">
      <c r="A79" s="3" t="s">
        <v>1765</v>
      </c>
      <c r="B79" s="11" t="s">
        <v>466</v>
      </c>
      <c r="C79" s="13" t="s">
        <v>467</v>
      </c>
      <c r="D79" s="96">
        <v>1971</v>
      </c>
      <c r="E79" s="91" t="s">
        <v>1715</v>
      </c>
      <c r="F79" s="91" t="s">
        <v>116</v>
      </c>
      <c r="G79" s="91" t="s">
        <v>1829</v>
      </c>
      <c r="H79" s="86"/>
      <c r="I79" s="86"/>
      <c r="J79" s="86"/>
      <c r="K79" s="86"/>
      <c r="L79" s="86"/>
      <c r="M79" s="86"/>
      <c r="N79" s="86"/>
      <c r="O79" s="86"/>
      <c r="P79" s="86"/>
      <c r="Q79" s="86"/>
      <c r="R79" s="86"/>
      <c r="S79" s="86"/>
      <c r="T79" s="86"/>
      <c r="U79" s="86"/>
      <c r="V79" s="86"/>
      <c r="W79" s="86"/>
      <c r="X79" s="86"/>
      <c r="Y79" s="86"/>
      <c r="Z79" s="86"/>
      <c r="AA79" s="86"/>
      <c r="AB79" s="86"/>
      <c r="AC79" s="86"/>
      <c r="AD79" s="86"/>
      <c r="AE79" s="86"/>
    </row>
    <row r="80" spans="1:31" ht="18" customHeight="1">
      <c r="A80" s="3" t="s">
        <v>1765</v>
      </c>
      <c r="B80" s="3" t="s">
        <v>456</v>
      </c>
      <c r="C80" s="13" t="s">
        <v>457</v>
      </c>
      <c r="D80" s="96">
        <v>1971</v>
      </c>
      <c r="E80" s="91" t="s">
        <v>1715</v>
      </c>
      <c r="F80" s="91" t="s">
        <v>116</v>
      </c>
      <c r="G80" s="91" t="s">
        <v>1830</v>
      </c>
      <c r="H80" s="86"/>
      <c r="I80" s="86"/>
      <c r="J80" s="86"/>
      <c r="K80" s="86"/>
      <c r="L80" s="86"/>
      <c r="M80" s="86"/>
      <c r="N80" s="86"/>
      <c r="O80" s="86"/>
      <c r="P80" s="86"/>
      <c r="Q80" s="86"/>
      <c r="R80" s="86"/>
      <c r="S80" s="86"/>
      <c r="T80" s="86"/>
      <c r="U80" s="86"/>
      <c r="V80" s="86"/>
      <c r="W80" s="86"/>
      <c r="X80" s="86"/>
      <c r="Y80" s="86"/>
      <c r="Z80" s="86"/>
      <c r="AA80" s="86"/>
      <c r="AB80" s="86"/>
      <c r="AC80" s="86"/>
      <c r="AD80" s="86"/>
      <c r="AE80" s="86"/>
    </row>
    <row r="81" spans="1:31" ht="15.75" customHeight="1">
      <c r="A81" s="3" t="s">
        <v>1765</v>
      </c>
      <c r="B81" s="3" t="s">
        <v>615</v>
      </c>
      <c r="C81" s="13" t="s">
        <v>616</v>
      </c>
      <c r="D81" s="96">
        <v>1971</v>
      </c>
      <c r="E81" s="91" t="s">
        <v>1715</v>
      </c>
      <c r="F81" s="91" t="s">
        <v>1831</v>
      </c>
      <c r="G81" s="91" t="s">
        <v>1832</v>
      </c>
      <c r="H81" s="86"/>
      <c r="I81" s="86"/>
      <c r="J81" s="86"/>
      <c r="K81" s="86"/>
      <c r="L81" s="86"/>
      <c r="M81" s="86"/>
      <c r="N81" s="86"/>
      <c r="O81" s="86"/>
      <c r="P81" s="86"/>
      <c r="Q81" s="86"/>
      <c r="R81" s="86"/>
      <c r="S81" s="86"/>
      <c r="T81" s="86"/>
      <c r="U81" s="86"/>
      <c r="V81" s="86"/>
      <c r="W81" s="86"/>
      <c r="X81" s="86"/>
      <c r="Y81" s="86"/>
      <c r="Z81" s="86"/>
      <c r="AA81" s="86"/>
      <c r="AB81" s="86"/>
      <c r="AC81" s="86"/>
      <c r="AD81" s="86"/>
      <c r="AE81" s="86"/>
    </row>
    <row r="82" spans="1:31" ht="15.75" customHeight="1">
      <c r="A82" s="3" t="s">
        <v>1765</v>
      </c>
      <c r="B82" s="86" t="s">
        <v>209</v>
      </c>
      <c r="C82" s="13" t="s">
        <v>210</v>
      </c>
      <c r="D82" s="96">
        <v>1972</v>
      </c>
      <c r="E82" s="91" t="s">
        <v>1715</v>
      </c>
      <c r="F82" s="91" t="s">
        <v>205</v>
      </c>
      <c r="G82" s="91" t="s">
        <v>1833</v>
      </c>
      <c r="H82" s="86"/>
      <c r="I82" s="86"/>
      <c r="J82" s="86"/>
      <c r="K82" s="86"/>
      <c r="L82" s="86"/>
      <c r="M82" s="86"/>
      <c r="N82" s="86"/>
      <c r="O82" s="86"/>
      <c r="P82" s="86"/>
      <c r="Q82" s="86"/>
      <c r="R82" s="86"/>
      <c r="S82" s="86"/>
      <c r="T82" s="86"/>
      <c r="U82" s="86"/>
      <c r="V82" s="86"/>
      <c r="W82" s="86"/>
      <c r="X82" s="86"/>
      <c r="Y82" s="86"/>
      <c r="Z82" s="86"/>
      <c r="AA82" s="86"/>
      <c r="AB82" s="86"/>
      <c r="AC82" s="86"/>
      <c r="AD82" s="86"/>
      <c r="AE82" s="86"/>
    </row>
    <row r="83" spans="1:31" ht="15.75" customHeight="1">
      <c r="A83" s="3" t="s">
        <v>1765</v>
      </c>
      <c r="B83" s="3" t="s">
        <v>249</v>
      </c>
      <c r="C83" s="13" t="s">
        <v>250</v>
      </c>
      <c r="D83" s="96">
        <v>1972</v>
      </c>
      <c r="E83" s="91" t="s">
        <v>1715</v>
      </c>
      <c r="F83" s="91" t="s">
        <v>1708</v>
      </c>
      <c r="G83" s="91" t="s">
        <v>1834</v>
      </c>
      <c r="H83" s="86"/>
      <c r="I83" s="86"/>
      <c r="J83" s="86"/>
      <c r="K83" s="86"/>
      <c r="L83" s="86"/>
      <c r="M83" s="86"/>
      <c r="N83" s="86"/>
      <c r="O83" s="86"/>
      <c r="P83" s="86"/>
      <c r="Q83" s="86"/>
      <c r="R83" s="86"/>
      <c r="S83" s="86"/>
      <c r="T83" s="86"/>
      <c r="U83" s="86"/>
      <c r="V83" s="86"/>
      <c r="W83" s="86"/>
      <c r="X83" s="86"/>
      <c r="Y83" s="86"/>
      <c r="Z83" s="86"/>
      <c r="AA83" s="86"/>
      <c r="AB83" s="86"/>
      <c r="AC83" s="86"/>
      <c r="AD83" s="86"/>
      <c r="AE83" s="86"/>
    </row>
    <row r="84" spans="1:31" ht="15.75" customHeight="1">
      <c r="A84" s="3" t="s">
        <v>1765</v>
      </c>
      <c r="B84" s="86" t="s">
        <v>560</v>
      </c>
      <c r="C84" s="13" t="s">
        <v>561</v>
      </c>
      <c r="D84" s="96">
        <v>1973</v>
      </c>
      <c r="E84" s="91" t="s">
        <v>1704</v>
      </c>
      <c r="F84" s="91" t="s">
        <v>557</v>
      </c>
      <c r="G84" s="91" t="s">
        <v>1835</v>
      </c>
      <c r="H84" s="86"/>
      <c r="I84" s="86"/>
      <c r="J84" s="86"/>
      <c r="K84" s="86"/>
      <c r="L84" s="86"/>
      <c r="M84" s="86"/>
      <c r="N84" s="86"/>
      <c r="O84" s="86"/>
      <c r="P84" s="86"/>
      <c r="Q84" s="86"/>
      <c r="R84" s="86"/>
      <c r="S84" s="86"/>
      <c r="T84" s="86"/>
      <c r="U84" s="86"/>
      <c r="V84" s="86"/>
      <c r="W84" s="86"/>
      <c r="X84" s="86"/>
      <c r="Y84" s="86"/>
      <c r="Z84" s="86"/>
      <c r="AA84" s="86"/>
      <c r="AB84" s="86"/>
      <c r="AC84" s="86"/>
      <c r="AD84" s="86"/>
      <c r="AE84" s="86"/>
    </row>
    <row r="85" spans="1:31" ht="15.75" customHeight="1">
      <c r="A85" s="3" t="s">
        <v>1765</v>
      </c>
      <c r="B85" s="3" t="s">
        <v>347</v>
      </c>
      <c r="C85" s="13" t="s">
        <v>348</v>
      </c>
      <c r="D85" s="96">
        <v>1975</v>
      </c>
      <c r="E85" s="91" t="s">
        <v>1715</v>
      </c>
      <c r="F85" s="91" t="s">
        <v>1708</v>
      </c>
      <c r="G85" s="91" t="s">
        <v>1836</v>
      </c>
      <c r="H85" s="86"/>
      <c r="I85" s="86"/>
      <c r="J85" s="86"/>
      <c r="K85" s="86"/>
      <c r="L85" s="86"/>
      <c r="M85" s="86"/>
      <c r="N85" s="86"/>
      <c r="O85" s="86"/>
      <c r="P85" s="86"/>
      <c r="Q85" s="86"/>
      <c r="R85" s="86"/>
      <c r="S85" s="86"/>
      <c r="T85" s="86"/>
      <c r="U85" s="86"/>
      <c r="V85" s="86"/>
      <c r="W85" s="86"/>
      <c r="X85" s="86"/>
      <c r="Y85" s="86"/>
      <c r="Z85" s="86"/>
      <c r="AA85" s="86"/>
      <c r="AB85" s="86"/>
      <c r="AC85" s="86"/>
      <c r="AD85" s="86"/>
      <c r="AE85" s="86"/>
    </row>
    <row r="86" spans="1:31" ht="15.75" customHeight="1">
      <c r="A86" s="3" t="s">
        <v>1765</v>
      </c>
      <c r="B86" s="89" t="s">
        <v>1837</v>
      </c>
      <c r="C86" s="90" t="s">
        <v>1714</v>
      </c>
      <c r="D86" s="110">
        <v>1976</v>
      </c>
      <c r="E86" s="89" t="s">
        <v>1704</v>
      </c>
      <c r="F86" s="89" t="s">
        <v>1708</v>
      </c>
      <c r="G86" s="89" t="s">
        <v>1838</v>
      </c>
      <c r="H86" s="89"/>
      <c r="I86" s="89"/>
      <c r="J86" s="89"/>
      <c r="K86" s="89"/>
      <c r="L86" s="89"/>
      <c r="M86" s="89"/>
      <c r="N86" s="89"/>
      <c r="O86" s="89"/>
      <c r="P86" s="89"/>
      <c r="Q86" s="89"/>
      <c r="R86" s="89"/>
      <c r="S86" s="89"/>
      <c r="T86" s="89"/>
      <c r="U86" s="89"/>
      <c r="V86" s="89"/>
      <c r="W86" s="89"/>
      <c r="X86" s="89"/>
      <c r="Y86" s="89"/>
      <c r="Z86" s="89"/>
      <c r="AA86" s="89"/>
      <c r="AB86" s="89"/>
      <c r="AC86" s="89"/>
      <c r="AD86" s="89"/>
      <c r="AE86" s="89"/>
    </row>
    <row r="87" spans="1:31" ht="15.75" customHeight="1">
      <c r="A87" s="3" t="s">
        <v>1765</v>
      </c>
      <c r="B87" s="89" t="s">
        <v>1839</v>
      </c>
      <c r="C87" s="90" t="s">
        <v>1714</v>
      </c>
      <c r="D87" s="110">
        <v>1976</v>
      </c>
      <c r="E87" s="89" t="s">
        <v>1715</v>
      </c>
      <c r="F87" s="89" t="s">
        <v>116</v>
      </c>
      <c r="G87" s="89" t="s">
        <v>1840</v>
      </c>
      <c r="H87" s="89"/>
      <c r="I87" s="89"/>
      <c r="J87" s="89"/>
      <c r="K87" s="89"/>
      <c r="L87" s="89"/>
      <c r="M87" s="89"/>
      <c r="N87" s="89"/>
      <c r="O87" s="89"/>
      <c r="P87" s="89"/>
      <c r="Q87" s="89"/>
      <c r="R87" s="89"/>
      <c r="S87" s="89"/>
      <c r="T87" s="89"/>
      <c r="U87" s="89"/>
      <c r="V87" s="89"/>
      <c r="W87" s="89"/>
      <c r="X87" s="89"/>
      <c r="Y87" s="89"/>
      <c r="Z87" s="89"/>
      <c r="AA87" s="89"/>
      <c r="AB87" s="89"/>
      <c r="AC87" s="89"/>
      <c r="AD87" s="89"/>
      <c r="AE87" s="89"/>
    </row>
    <row r="88" spans="1:31" ht="15.75" customHeight="1">
      <c r="A88" s="3" t="s">
        <v>1765</v>
      </c>
      <c r="B88" s="89" t="s">
        <v>401</v>
      </c>
      <c r="C88" s="13" t="s">
        <v>402</v>
      </c>
      <c r="D88" s="110">
        <v>1977</v>
      </c>
      <c r="E88" s="89" t="s">
        <v>1704</v>
      </c>
      <c r="F88" s="89" t="s">
        <v>1841</v>
      </c>
      <c r="G88" s="112" t="s">
        <v>1842</v>
      </c>
      <c r="H88" s="89"/>
      <c r="I88" s="89"/>
      <c r="J88" s="89"/>
      <c r="K88" s="89"/>
      <c r="L88" s="89"/>
      <c r="M88" s="89"/>
      <c r="N88" s="89"/>
      <c r="O88" s="89"/>
      <c r="P88" s="89"/>
      <c r="Q88" s="89"/>
      <c r="R88" s="89"/>
      <c r="S88" s="89"/>
      <c r="T88" s="89"/>
      <c r="U88" s="89"/>
      <c r="V88" s="89"/>
      <c r="W88" s="89"/>
      <c r="X88" s="89"/>
      <c r="Y88" s="89"/>
      <c r="Z88" s="89"/>
      <c r="AA88" s="89"/>
      <c r="AB88" s="89"/>
      <c r="AC88" s="89"/>
      <c r="AD88" s="89"/>
      <c r="AE88" s="89"/>
    </row>
    <row r="89" spans="1:31" ht="15.75" customHeight="1">
      <c r="A89" s="3" t="s">
        <v>1765</v>
      </c>
      <c r="B89" s="109" t="s">
        <v>1843</v>
      </c>
      <c r="C89" s="13" t="s">
        <v>1001</v>
      </c>
      <c r="D89" s="85">
        <v>1978</v>
      </c>
      <c r="E89" s="86" t="s">
        <v>1707</v>
      </c>
      <c r="F89" s="86" t="s">
        <v>374</v>
      </c>
      <c r="G89" s="112" t="s">
        <v>1844</v>
      </c>
      <c r="H89" s="86"/>
      <c r="I89" s="86"/>
      <c r="J89" s="86"/>
      <c r="K89" s="86"/>
      <c r="L89" s="86"/>
      <c r="M89" s="86"/>
      <c r="N89" s="86"/>
      <c r="O89" s="86"/>
      <c r="P89" s="86"/>
      <c r="Q89" s="86"/>
      <c r="R89" s="86"/>
      <c r="S89" s="86"/>
      <c r="T89" s="86"/>
      <c r="U89" s="86"/>
      <c r="V89" s="86"/>
      <c r="W89" s="86"/>
      <c r="X89" s="86"/>
      <c r="Y89" s="86"/>
      <c r="Z89" s="86"/>
      <c r="AA89" s="86"/>
      <c r="AB89" s="86"/>
      <c r="AC89" s="86"/>
      <c r="AD89" s="86"/>
      <c r="AE89" s="86"/>
    </row>
    <row r="90" spans="1:31" ht="15.75" customHeight="1">
      <c r="A90" s="3" t="s">
        <v>1765</v>
      </c>
      <c r="B90" s="3" t="s">
        <v>164</v>
      </c>
      <c r="C90" s="13" t="s">
        <v>1845</v>
      </c>
      <c r="D90" s="96">
        <v>1979</v>
      </c>
      <c r="E90" s="91" t="s">
        <v>1715</v>
      </c>
      <c r="F90" s="91" t="s">
        <v>1846</v>
      </c>
      <c r="G90" s="91" t="s">
        <v>1847</v>
      </c>
      <c r="H90" s="86"/>
      <c r="I90" s="86"/>
      <c r="J90" s="86"/>
      <c r="K90" s="86"/>
      <c r="L90" s="86"/>
      <c r="M90" s="86"/>
      <c r="N90" s="86"/>
      <c r="O90" s="86"/>
      <c r="P90" s="86"/>
      <c r="Q90" s="86"/>
      <c r="R90" s="86"/>
      <c r="S90" s="86"/>
      <c r="T90" s="86"/>
      <c r="U90" s="86"/>
      <c r="V90" s="86"/>
      <c r="W90" s="86"/>
      <c r="X90" s="86"/>
      <c r="Y90" s="86"/>
      <c r="Z90" s="86"/>
      <c r="AA90" s="86"/>
      <c r="AB90" s="86"/>
      <c r="AC90" s="86"/>
      <c r="AD90" s="86"/>
      <c r="AE90" s="86"/>
    </row>
    <row r="91" spans="1:31" ht="15.75" customHeight="1">
      <c r="A91" s="3" t="s">
        <v>1765</v>
      </c>
      <c r="B91" s="3" t="s">
        <v>1848</v>
      </c>
      <c r="C91" s="13" t="s">
        <v>1849</v>
      </c>
      <c r="D91" s="96">
        <v>1979</v>
      </c>
      <c r="E91" s="91" t="s">
        <v>1715</v>
      </c>
      <c r="F91" s="91" t="s">
        <v>1850</v>
      </c>
      <c r="G91" s="91" t="s">
        <v>1851</v>
      </c>
      <c r="H91" s="86"/>
      <c r="I91" s="86"/>
      <c r="J91" s="86"/>
      <c r="K91" s="86"/>
      <c r="L91" s="86"/>
      <c r="M91" s="86"/>
      <c r="N91" s="86"/>
      <c r="O91" s="86"/>
      <c r="P91" s="86"/>
      <c r="Q91" s="86"/>
      <c r="R91" s="86"/>
      <c r="S91" s="86"/>
      <c r="T91" s="86"/>
      <c r="U91" s="86"/>
      <c r="V91" s="86"/>
      <c r="W91" s="86"/>
      <c r="X91" s="86"/>
      <c r="Y91" s="86"/>
      <c r="Z91" s="86"/>
      <c r="AA91" s="86"/>
      <c r="AB91" s="86"/>
      <c r="AC91" s="86"/>
      <c r="AD91" s="86"/>
      <c r="AE91" s="86"/>
    </row>
    <row r="92" spans="1:31" ht="15.75" customHeight="1">
      <c r="A92" s="3" t="s">
        <v>1765</v>
      </c>
      <c r="B92" s="109" t="s">
        <v>611</v>
      </c>
      <c r="C92" s="13" t="s">
        <v>612</v>
      </c>
      <c r="D92" s="96">
        <v>1979</v>
      </c>
      <c r="E92" s="91" t="s">
        <v>1715</v>
      </c>
      <c r="F92" s="91" t="s">
        <v>1708</v>
      </c>
      <c r="G92" s="91" t="s">
        <v>1852</v>
      </c>
      <c r="H92" s="86"/>
      <c r="I92" s="86"/>
      <c r="J92" s="86"/>
      <c r="K92" s="86"/>
      <c r="L92" s="86"/>
      <c r="M92" s="86"/>
      <c r="N92" s="86"/>
      <c r="O92" s="86"/>
      <c r="P92" s="86"/>
      <c r="Q92" s="86"/>
      <c r="R92" s="86"/>
      <c r="S92" s="86"/>
      <c r="T92" s="86"/>
      <c r="U92" s="86"/>
      <c r="V92" s="86"/>
      <c r="W92" s="86"/>
      <c r="X92" s="86"/>
      <c r="Y92" s="86"/>
      <c r="Z92" s="86"/>
      <c r="AA92" s="86"/>
      <c r="AB92" s="86"/>
      <c r="AC92" s="86"/>
      <c r="AD92" s="86"/>
      <c r="AE92" s="86"/>
    </row>
    <row r="93" spans="1:31" ht="15.75" customHeight="1">
      <c r="A93" s="3" t="s">
        <v>1765</v>
      </c>
      <c r="B93" s="3" t="s">
        <v>61</v>
      </c>
      <c r="C93" s="13" t="s">
        <v>62</v>
      </c>
      <c r="D93" s="96">
        <v>1980</v>
      </c>
      <c r="E93" s="91" t="s">
        <v>1715</v>
      </c>
      <c r="F93" s="91" t="s">
        <v>52</v>
      </c>
      <c r="G93" s="91" t="s">
        <v>1853</v>
      </c>
      <c r="H93" s="86"/>
      <c r="I93" s="86"/>
      <c r="J93" s="86"/>
      <c r="K93" s="86"/>
      <c r="L93" s="86"/>
      <c r="M93" s="86"/>
      <c r="N93" s="86"/>
      <c r="O93" s="86"/>
      <c r="P93" s="86"/>
      <c r="Q93" s="86"/>
      <c r="R93" s="86"/>
      <c r="S93" s="86"/>
      <c r="T93" s="86"/>
      <c r="U93" s="86"/>
      <c r="V93" s="86"/>
      <c r="W93" s="86"/>
      <c r="X93" s="86"/>
      <c r="Y93" s="86"/>
      <c r="Z93" s="86"/>
      <c r="AA93" s="86"/>
      <c r="AB93" s="86"/>
      <c r="AC93" s="86"/>
      <c r="AD93" s="86"/>
      <c r="AE93" s="86"/>
    </row>
    <row r="94" spans="1:31" ht="15.75" customHeight="1">
      <c r="A94" s="3" t="s">
        <v>1765</v>
      </c>
      <c r="B94" s="89" t="s">
        <v>287</v>
      </c>
      <c r="C94" s="13" t="s">
        <v>288</v>
      </c>
      <c r="D94" s="110">
        <v>1981</v>
      </c>
      <c r="E94" s="89" t="s">
        <v>1715</v>
      </c>
      <c r="F94" s="89" t="s">
        <v>1708</v>
      </c>
      <c r="G94" s="112" t="s">
        <v>1854</v>
      </c>
      <c r="H94" s="89"/>
      <c r="I94" s="89"/>
      <c r="J94" s="89"/>
      <c r="K94" s="89"/>
      <c r="L94" s="89"/>
      <c r="M94" s="89"/>
      <c r="N94" s="89"/>
      <c r="O94" s="89"/>
      <c r="P94" s="89"/>
      <c r="Q94" s="89"/>
      <c r="R94" s="89"/>
      <c r="S94" s="89"/>
      <c r="T94" s="89"/>
      <c r="U94" s="89"/>
      <c r="V94" s="89"/>
      <c r="W94" s="89"/>
      <c r="X94" s="89"/>
      <c r="Y94" s="89"/>
      <c r="Z94" s="89"/>
      <c r="AA94" s="89"/>
      <c r="AB94" s="89"/>
      <c r="AC94" s="89"/>
      <c r="AD94" s="89"/>
      <c r="AE94" s="89"/>
    </row>
    <row r="95" spans="1:31" ht="15.75" customHeight="1">
      <c r="A95" s="3" t="s">
        <v>1765</v>
      </c>
      <c r="B95" s="109" t="s">
        <v>607</v>
      </c>
      <c r="C95" s="13" t="s">
        <v>608</v>
      </c>
      <c r="D95" s="96">
        <v>1981</v>
      </c>
      <c r="E95" s="91" t="s">
        <v>1704</v>
      </c>
      <c r="F95" s="91" t="s">
        <v>1763</v>
      </c>
      <c r="G95" s="91" t="s">
        <v>1855</v>
      </c>
      <c r="H95" s="86"/>
      <c r="I95" s="86"/>
      <c r="J95" s="86"/>
      <c r="K95" s="86"/>
      <c r="L95" s="86"/>
      <c r="M95" s="86"/>
      <c r="N95" s="86"/>
      <c r="O95" s="86"/>
      <c r="P95" s="86"/>
      <c r="Q95" s="86"/>
      <c r="R95" s="86"/>
      <c r="S95" s="86"/>
      <c r="T95" s="86"/>
      <c r="U95" s="86"/>
      <c r="V95" s="86"/>
      <c r="W95" s="86"/>
      <c r="X95" s="86"/>
      <c r="Y95" s="86"/>
      <c r="Z95" s="86"/>
      <c r="AA95" s="86"/>
      <c r="AB95" s="86"/>
      <c r="AC95" s="86"/>
      <c r="AD95" s="86"/>
      <c r="AE95" s="86"/>
    </row>
    <row r="96" spans="1:31" ht="15.75" customHeight="1">
      <c r="A96" s="3" t="s">
        <v>1765</v>
      </c>
      <c r="B96" s="86" t="s">
        <v>155</v>
      </c>
      <c r="C96" s="13" t="s">
        <v>156</v>
      </c>
      <c r="D96" s="85">
        <v>1982</v>
      </c>
      <c r="E96" s="86" t="s">
        <v>1715</v>
      </c>
      <c r="F96" s="91" t="s">
        <v>1763</v>
      </c>
      <c r="G96" s="86" t="s">
        <v>1856</v>
      </c>
      <c r="H96" s="86"/>
      <c r="I96" s="86"/>
      <c r="J96" s="86"/>
      <c r="K96" s="86"/>
      <c r="L96" s="86"/>
      <c r="M96" s="86"/>
      <c r="N96" s="86"/>
      <c r="O96" s="86"/>
      <c r="P96" s="86"/>
      <c r="Q96" s="86"/>
      <c r="R96" s="86"/>
      <c r="S96" s="86"/>
      <c r="T96" s="86"/>
      <c r="U96" s="86"/>
      <c r="V96" s="86"/>
      <c r="W96" s="86"/>
      <c r="X96" s="86"/>
      <c r="Y96" s="86"/>
      <c r="Z96" s="86"/>
      <c r="AA96" s="86"/>
      <c r="AB96" s="86"/>
      <c r="AC96" s="86"/>
      <c r="AD96" s="86"/>
      <c r="AE96" s="86"/>
    </row>
    <row r="97" spans="1:31" ht="15.75" customHeight="1">
      <c r="A97" s="3" t="s">
        <v>1765</v>
      </c>
      <c r="B97" s="86" t="s">
        <v>133</v>
      </c>
      <c r="C97" s="13" t="s">
        <v>134</v>
      </c>
      <c r="D97" s="96">
        <v>1983</v>
      </c>
      <c r="E97" s="91" t="s">
        <v>1715</v>
      </c>
      <c r="F97" s="91" t="s">
        <v>126</v>
      </c>
      <c r="G97" s="91" t="s">
        <v>1857</v>
      </c>
      <c r="H97" s="86"/>
      <c r="I97" s="86"/>
      <c r="J97" s="86"/>
      <c r="K97" s="86"/>
      <c r="L97" s="86"/>
      <c r="M97" s="86"/>
      <c r="N97" s="86"/>
      <c r="O97" s="86"/>
      <c r="P97" s="86"/>
      <c r="Q97" s="86"/>
      <c r="R97" s="86"/>
      <c r="S97" s="86"/>
      <c r="T97" s="86"/>
      <c r="U97" s="86"/>
      <c r="V97" s="86"/>
      <c r="W97" s="86"/>
      <c r="X97" s="86"/>
      <c r="Y97" s="86"/>
      <c r="Z97" s="86"/>
      <c r="AA97" s="86"/>
      <c r="AB97" s="86"/>
      <c r="AC97" s="86"/>
      <c r="AD97" s="86"/>
      <c r="AE97" s="86"/>
    </row>
    <row r="98" spans="1:31" ht="15.75" customHeight="1">
      <c r="A98" s="3" t="s">
        <v>1765</v>
      </c>
      <c r="B98" s="89" t="s">
        <v>369</v>
      </c>
      <c r="C98" s="13" t="s">
        <v>370</v>
      </c>
      <c r="D98" s="110">
        <v>1984</v>
      </c>
      <c r="E98" s="89" t="s">
        <v>1707</v>
      </c>
      <c r="F98" s="89" t="s">
        <v>374</v>
      </c>
      <c r="G98" s="112" t="s">
        <v>1858</v>
      </c>
      <c r="H98" s="89"/>
      <c r="I98" s="89"/>
      <c r="J98" s="89"/>
      <c r="K98" s="89"/>
      <c r="L98" s="89"/>
      <c r="M98" s="89"/>
      <c r="N98" s="89"/>
      <c r="O98" s="89"/>
      <c r="P98" s="89"/>
      <c r="Q98" s="89"/>
      <c r="R98" s="89"/>
      <c r="S98" s="89"/>
      <c r="T98" s="89"/>
      <c r="U98" s="89"/>
      <c r="V98" s="89"/>
      <c r="W98" s="89"/>
      <c r="X98" s="89"/>
      <c r="Y98" s="89"/>
      <c r="Z98" s="89"/>
      <c r="AA98" s="89"/>
      <c r="AB98" s="89"/>
      <c r="AC98" s="89"/>
      <c r="AD98" s="89"/>
      <c r="AE98" s="89"/>
    </row>
    <row r="99" spans="1:31" ht="15.75" customHeight="1">
      <c r="A99" s="3" t="s">
        <v>1765</v>
      </c>
      <c r="B99" s="89" t="s">
        <v>593</v>
      </c>
      <c r="C99" s="13" t="s">
        <v>594</v>
      </c>
      <c r="D99" s="110">
        <v>1988</v>
      </c>
      <c r="E99" s="89" t="s">
        <v>1715</v>
      </c>
      <c r="F99" s="89" t="s">
        <v>1708</v>
      </c>
      <c r="G99" s="112" t="s">
        <v>1859</v>
      </c>
      <c r="H99" s="89"/>
      <c r="I99" s="89"/>
      <c r="J99" s="89"/>
      <c r="K99" s="89"/>
      <c r="L99" s="89"/>
      <c r="M99" s="89"/>
      <c r="N99" s="89"/>
      <c r="O99" s="89"/>
      <c r="P99" s="89"/>
      <c r="Q99" s="89"/>
      <c r="R99" s="89"/>
      <c r="S99" s="89"/>
      <c r="T99" s="89"/>
      <c r="U99" s="89"/>
      <c r="V99" s="89"/>
      <c r="W99" s="89"/>
      <c r="X99" s="89"/>
      <c r="Y99" s="89"/>
      <c r="Z99" s="89"/>
      <c r="AA99" s="89"/>
      <c r="AB99" s="89"/>
      <c r="AC99" s="89"/>
      <c r="AD99" s="89"/>
      <c r="AE99" s="89"/>
    </row>
    <row r="100" spans="1:31" ht="15.75" customHeight="1">
      <c r="A100" s="3" t="s">
        <v>1765</v>
      </c>
      <c r="B100" s="3" t="s">
        <v>1860</v>
      </c>
      <c r="C100" s="13" t="s">
        <v>1861</v>
      </c>
      <c r="D100" s="96">
        <v>1988</v>
      </c>
      <c r="E100" s="91" t="s">
        <v>1715</v>
      </c>
      <c r="F100" s="91" t="s">
        <v>1708</v>
      </c>
      <c r="G100" s="91" t="s">
        <v>1862</v>
      </c>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86"/>
    </row>
    <row r="101" spans="1:31" ht="15.75" customHeight="1">
      <c r="A101" s="3" t="s">
        <v>1765</v>
      </c>
      <c r="B101" s="89" t="s">
        <v>1863</v>
      </c>
      <c r="C101" s="90" t="s">
        <v>1714</v>
      </c>
      <c r="D101" s="110">
        <v>1990</v>
      </c>
      <c r="E101" s="89" t="s">
        <v>1704</v>
      </c>
      <c r="F101" s="89" t="s">
        <v>205</v>
      </c>
      <c r="G101" s="89" t="s">
        <v>1864</v>
      </c>
      <c r="H101" s="89"/>
      <c r="I101" s="89"/>
      <c r="J101" s="89"/>
      <c r="K101" s="89"/>
      <c r="L101" s="89"/>
      <c r="M101" s="89"/>
      <c r="N101" s="89"/>
      <c r="O101" s="89"/>
      <c r="P101" s="89"/>
      <c r="Q101" s="89"/>
      <c r="R101" s="89"/>
      <c r="S101" s="89"/>
      <c r="T101" s="89"/>
      <c r="U101" s="89"/>
      <c r="V101" s="89"/>
      <c r="W101" s="89"/>
      <c r="X101" s="89"/>
      <c r="Y101" s="89"/>
      <c r="Z101" s="89"/>
      <c r="AA101" s="89"/>
      <c r="AB101" s="89"/>
      <c r="AC101" s="89"/>
      <c r="AD101" s="89"/>
      <c r="AE101" s="89"/>
    </row>
    <row r="102" spans="1:31" ht="15.75" customHeight="1">
      <c r="A102" s="3" t="s">
        <v>1765</v>
      </c>
      <c r="B102" s="89" t="s">
        <v>230</v>
      </c>
      <c r="C102" s="13" t="s">
        <v>231</v>
      </c>
      <c r="D102" s="110">
        <v>1991</v>
      </c>
      <c r="E102" s="89" t="s">
        <v>1715</v>
      </c>
      <c r="F102" s="89" t="s">
        <v>205</v>
      </c>
      <c r="G102" s="112" t="s">
        <v>1865</v>
      </c>
      <c r="H102" s="89"/>
      <c r="I102" s="89"/>
      <c r="J102" s="89"/>
      <c r="K102" s="89"/>
      <c r="L102" s="89"/>
      <c r="M102" s="89"/>
      <c r="N102" s="89"/>
      <c r="O102" s="89"/>
      <c r="P102" s="89"/>
      <c r="Q102" s="89"/>
      <c r="R102" s="89"/>
      <c r="S102" s="89"/>
      <c r="T102" s="89"/>
      <c r="U102" s="89"/>
      <c r="V102" s="89"/>
      <c r="W102" s="89"/>
      <c r="X102" s="89"/>
      <c r="Y102" s="89"/>
      <c r="Z102" s="89"/>
      <c r="AA102" s="89"/>
      <c r="AB102" s="89"/>
      <c r="AC102" s="89"/>
      <c r="AD102" s="89"/>
      <c r="AE102" s="89"/>
    </row>
    <row r="103" spans="1:31" ht="15.75" customHeight="1">
      <c r="A103" s="3" t="s">
        <v>1765</v>
      </c>
      <c r="B103" s="109" t="s">
        <v>367</v>
      </c>
      <c r="C103" s="13" t="s">
        <v>368</v>
      </c>
      <c r="D103" s="96">
        <v>1991</v>
      </c>
      <c r="E103" s="91" t="s">
        <v>1715</v>
      </c>
      <c r="F103" s="91" t="s">
        <v>374</v>
      </c>
      <c r="G103" s="91" t="s">
        <v>1866</v>
      </c>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row>
    <row r="104" spans="1:31" ht="15.75" customHeight="1">
      <c r="A104" s="3" t="s">
        <v>1765</v>
      </c>
      <c r="B104" s="89" t="s">
        <v>148</v>
      </c>
      <c r="C104" s="13" t="s">
        <v>149</v>
      </c>
      <c r="D104" s="110">
        <v>1992</v>
      </c>
      <c r="E104" s="89" t="s">
        <v>1704</v>
      </c>
      <c r="F104" s="89" t="s">
        <v>126</v>
      </c>
      <c r="G104" s="112" t="s">
        <v>1867</v>
      </c>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row>
    <row r="105" spans="1:31" ht="15.75" customHeight="1">
      <c r="A105" s="3" t="s">
        <v>1765</v>
      </c>
      <c r="B105" s="3" t="s">
        <v>609</v>
      </c>
      <c r="C105" s="13" t="s">
        <v>610</v>
      </c>
      <c r="D105" s="96">
        <v>1993</v>
      </c>
      <c r="E105" s="91" t="s">
        <v>1715</v>
      </c>
      <c r="F105" s="91" t="s">
        <v>1708</v>
      </c>
      <c r="G105" s="91" t="s">
        <v>1868</v>
      </c>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row>
    <row r="106" spans="1:31" ht="15.75" customHeight="1">
      <c r="A106" s="3" t="s">
        <v>1765</v>
      </c>
      <c r="B106" s="113" t="s">
        <v>1010</v>
      </c>
      <c r="C106" s="13" t="s">
        <v>1011</v>
      </c>
      <c r="D106" s="85">
        <v>1994</v>
      </c>
      <c r="E106" s="86" t="s">
        <v>1704</v>
      </c>
      <c r="F106" s="86" t="s">
        <v>374</v>
      </c>
      <c r="G106" s="112" t="s">
        <v>1869</v>
      </c>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row>
    <row r="107" spans="1:31" ht="15.75" customHeight="1">
      <c r="A107" s="3" t="s">
        <v>1765</v>
      </c>
      <c r="B107" s="109" t="s">
        <v>1206</v>
      </c>
      <c r="C107" s="13" t="s">
        <v>1207</v>
      </c>
      <c r="D107" s="96">
        <v>1994</v>
      </c>
      <c r="E107" s="91" t="s">
        <v>1707</v>
      </c>
      <c r="F107" s="91" t="s">
        <v>1870</v>
      </c>
      <c r="G107" s="91" t="s">
        <v>1871</v>
      </c>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row>
    <row r="108" spans="1:31" ht="15.75" customHeight="1">
      <c r="A108" s="3" t="s">
        <v>1765</v>
      </c>
      <c r="B108" s="109" t="s">
        <v>127</v>
      </c>
      <c r="C108" s="13" t="s">
        <v>128</v>
      </c>
      <c r="D108" s="96">
        <v>1995</v>
      </c>
      <c r="E108" s="91" t="s">
        <v>1704</v>
      </c>
      <c r="F108" s="91" t="s">
        <v>126</v>
      </c>
      <c r="G108" s="91" t="s">
        <v>1872</v>
      </c>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row>
    <row r="109" spans="1:31" ht="15.75" customHeight="1">
      <c r="A109" s="3" t="s">
        <v>1765</v>
      </c>
      <c r="B109" s="109" t="s">
        <v>807</v>
      </c>
      <c r="C109" s="13" t="s">
        <v>808</v>
      </c>
      <c r="D109" s="96">
        <v>1995</v>
      </c>
      <c r="E109" s="91" t="s">
        <v>1707</v>
      </c>
      <c r="F109" s="91" t="s">
        <v>1846</v>
      </c>
      <c r="G109" s="91" t="s">
        <v>1873</v>
      </c>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row>
    <row r="110" spans="1:31" ht="15.75" customHeight="1">
      <c r="A110" s="3" t="s">
        <v>1765</v>
      </c>
      <c r="B110" s="86" t="s">
        <v>1059</v>
      </c>
      <c r="C110" s="13" t="s">
        <v>1060</v>
      </c>
      <c r="D110" s="85">
        <v>1995</v>
      </c>
      <c r="E110" s="86" t="s">
        <v>1707</v>
      </c>
      <c r="F110" s="91" t="s">
        <v>179</v>
      </c>
      <c r="G110" s="89" t="s">
        <v>1874</v>
      </c>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row>
    <row r="111" spans="1:31" ht="15.75" customHeight="1">
      <c r="A111" s="3" t="s">
        <v>1765</v>
      </c>
      <c r="B111" s="109" t="s">
        <v>1149</v>
      </c>
      <c r="C111" s="13" t="s">
        <v>1150</v>
      </c>
      <c r="D111" s="96">
        <v>1995</v>
      </c>
      <c r="E111" s="91" t="s">
        <v>1707</v>
      </c>
      <c r="F111" s="91" t="s">
        <v>116</v>
      </c>
      <c r="G111" s="91" t="s">
        <v>1875</v>
      </c>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row>
    <row r="112" spans="1:31" ht="15.75" customHeight="1">
      <c r="A112" s="3" t="s">
        <v>1765</v>
      </c>
      <c r="B112" s="86" t="s">
        <v>1138</v>
      </c>
      <c r="C112" s="13" t="s">
        <v>1139</v>
      </c>
      <c r="D112" s="85">
        <v>1996</v>
      </c>
      <c r="E112" s="86" t="s">
        <v>1707</v>
      </c>
      <c r="F112" s="86" t="s">
        <v>374</v>
      </c>
      <c r="G112" s="112" t="s">
        <v>1876</v>
      </c>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row>
    <row r="113" spans="1:31" ht="15.75" customHeight="1">
      <c r="A113" s="3" t="s">
        <v>1765</v>
      </c>
      <c r="B113" s="86" t="s">
        <v>1451</v>
      </c>
      <c r="C113" s="13" t="s">
        <v>1452</v>
      </c>
      <c r="D113" s="96">
        <v>1996</v>
      </c>
      <c r="E113" s="91" t="s">
        <v>1707</v>
      </c>
      <c r="F113" s="91" t="s">
        <v>1870</v>
      </c>
      <c r="G113" s="91" t="s">
        <v>1877</v>
      </c>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row>
    <row r="114" spans="1:31" ht="15.75" customHeight="1">
      <c r="A114" s="3" t="s">
        <v>1765</v>
      </c>
      <c r="B114" s="86" t="s">
        <v>895</v>
      </c>
      <c r="C114" s="13" t="s">
        <v>896</v>
      </c>
      <c r="D114" s="85">
        <v>1997</v>
      </c>
      <c r="E114" s="86" t="s">
        <v>1707</v>
      </c>
      <c r="F114" s="86" t="s">
        <v>682</v>
      </c>
      <c r="G114" s="91" t="s">
        <v>1878</v>
      </c>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row>
    <row r="115" spans="1:31" ht="15.75" customHeight="1">
      <c r="A115" s="3" t="s">
        <v>1765</v>
      </c>
      <c r="B115" s="109" t="s">
        <v>1190</v>
      </c>
      <c r="C115" s="13" t="s">
        <v>1191</v>
      </c>
      <c r="D115" s="96">
        <v>1997</v>
      </c>
      <c r="E115" s="91" t="s">
        <v>1707</v>
      </c>
      <c r="F115" s="91" t="s">
        <v>1870</v>
      </c>
      <c r="G115" s="91" t="s">
        <v>1879</v>
      </c>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row>
    <row r="116" spans="1:31" ht="15.75" customHeight="1">
      <c r="A116" s="3" t="s">
        <v>1765</v>
      </c>
      <c r="B116" s="109" t="s">
        <v>1880</v>
      </c>
      <c r="C116" s="13" t="s">
        <v>1881</v>
      </c>
      <c r="D116" s="96">
        <v>1997</v>
      </c>
      <c r="E116" s="91" t="s">
        <v>1882</v>
      </c>
      <c r="F116" s="91" t="s">
        <v>1870</v>
      </c>
      <c r="G116" s="91" t="s">
        <v>1883</v>
      </c>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row>
    <row r="117" spans="1:31" ht="15.75" customHeight="1">
      <c r="A117" s="3" t="s">
        <v>1765</v>
      </c>
      <c r="B117" s="109" t="s">
        <v>1198</v>
      </c>
      <c r="C117" s="13" t="s">
        <v>1199</v>
      </c>
      <c r="D117" s="96">
        <v>1997</v>
      </c>
      <c r="E117" s="91" t="s">
        <v>1707</v>
      </c>
      <c r="F117" s="91" t="s">
        <v>1870</v>
      </c>
      <c r="G117" s="91" t="s">
        <v>1884</v>
      </c>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row>
    <row r="118" spans="1:31" ht="15.75" customHeight="1">
      <c r="A118" s="3" t="s">
        <v>1765</v>
      </c>
      <c r="B118" s="109" t="s">
        <v>1171</v>
      </c>
      <c r="C118" s="13" t="s">
        <v>1172</v>
      </c>
      <c r="D118" s="96">
        <v>1997</v>
      </c>
      <c r="E118" s="91" t="s">
        <v>1707</v>
      </c>
      <c r="F118" s="91" t="s">
        <v>1870</v>
      </c>
      <c r="G118" s="91" t="s">
        <v>1885</v>
      </c>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86"/>
    </row>
    <row r="119" spans="1:31" ht="15.75" customHeight="1">
      <c r="A119" s="3" t="s">
        <v>1765</v>
      </c>
      <c r="B119" s="86" t="s">
        <v>1445</v>
      </c>
      <c r="C119" s="13" t="s">
        <v>1450</v>
      </c>
      <c r="D119" s="96">
        <v>1997</v>
      </c>
      <c r="E119" s="91" t="s">
        <v>1707</v>
      </c>
      <c r="F119" s="91" t="s">
        <v>1870</v>
      </c>
      <c r="G119" s="91" t="s">
        <v>1886</v>
      </c>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row>
    <row r="120" spans="1:31" ht="15.75" customHeight="1">
      <c r="A120" s="3" t="s">
        <v>1765</v>
      </c>
      <c r="B120" s="109" t="s">
        <v>1582</v>
      </c>
      <c r="C120" s="13" t="s">
        <v>1583</v>
      </c>
      <c r="D120" s="96">
        <v>1997</v>
      </c>
      <c r="E120" s="91" t="s">
        <v>1715</v>
      </c>
      <c r="F120" s="91" t="s">
        <v>1870</v>
      </c>
      <c r="G120" s="91" t="s">
        <v>1887</v>
      </c>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row>
    <row r="121" spans="1:31" ht="15.75" customHeight="1">
      <c r="A121" s="3" t="s">
        <v>1765</v>
      </c>
      <c r="B121" s="109" t="s">
        <v>1167</v>
      </c>
      <c r="C121" s="13" t="s">
        <v>1168</v>
      </c>
      <c r="D121" s="96">
        <v>1997</v>
      </c>
      <c r="E121" s="91" t="s">
        <v>1882</v>
      </c>
      <c r="F121" s="91" t="s">
        <v>1870</v>
      </c>
      <c r="G121" s="91" t="s">
        <v>1888</v>
      </c>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row>
    <row r="122" spans="1:31" ht="15.75" customHeight="1">
      <c r="A122" s="3" t="s">
        <v>1765</v>
      </c>
      <c r="B122" s="109" t="s">
        <v>140</v>
      </c>
      <c r="C122" s="13" t="s">
        <v>141</v>
      </c>
      <c r="D122" s="96">
        <v>1998</v>
      </c>
      <c r="E122" s="91" t="s">
        <v>1707</v>
      </c>
      <c r="F122" s="91" t="s">
        <v>126</v>
      </c>
      <c r="G122" s="91" t="s">
        <v>1889</v>
      </c>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row>
    <row r="123" spans="1:31" ht="15.75" customHeight="1">
      <c r="A123" s="3" t="s">
        <v>1765</v>
      </c>
      <c r="B123" s="109" t="s">
        <v>801</v>
      </c>
      <c r="C123" s="13" t="s">
        <v>802</v>
      </c>
      <c r="D123" s="96">
        <v>1998</v>
      </c>
      <c r="E123" s="91" t="s">
        <v>1707</v>
      </c>
      <c r="F123" s="91" t="s">
        <v>1846</v>
      </c>
      <c r="G123" s="91" t="s">
        <v>1890</v>
      </c>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86"/>
    </row>
    <row r="124" spans="1:31" ht="15.75" customHeight="1">
      <c r="A124" s="3" t="s">
        <v>1765</v>
      </c>
      <c r="B124" s="89" t="s">
        <v>1891</v>
      </c>
      <c r="C124" s="13" t="s">
        <v>274</v>
      </c>
      <c r="D124" s="110">
        <v>1998</v>
      </c>
      <c r="E124" s="89" t="s">
        <v>1707</v>
      </c>
      <c r="F124" s="89" t="s">
        <v>1850</v>
      </c>
      <c r="G124" s="112" t="s">
        <v>1892</v>
      </c>
      <c r="H124" s="89"/>
      <c r="I124" s="89"/>
      <c r="J124" s="89"/>
      <c r="K124" s="89"/>
      <c r="L124" s="89"/>
      <c r="M124" s="89"/>
      <c r="N124" s="89"/>
      <c r="O124" s="89"/>
      <c r="P124" s="89"/>
      <c r="Q124" s="89"/>
      <c r="R124" s="89"/>
      <c r="S124" s="89"/>
      <c r="T124" s="89"/>
      <c r="U124" s="89"/>
      <c r="V124" s="89"/>
      <c r="W124" s="89"/>
      <c r="X124" s="89"/>
      <c r="Y124" s="89"/>
      <c r="Z124" s="89"/>
      <c r="AA124" s="89"/>
      <c r="AB124" s="89"/>
      <c r="AC124" s="89"/>
      <c r="AD124" s="89"/>
      <c r="AE124" s="89"/>
    </row>
    <row r="125" spans="1:31" ht="18" customHeight="1">
      <c r="A125" s="3" t="s">
        <v>1765</v>
      </c>
      <c r="B125" s="86" t="s">
        <v>46</v>
      </c>
      <c r="C125" s="13" t="s">
        <v>49</v>
      </c>
      <c r="D125" s="96">
        <v>1998</v>
      </c>
      <c r="E125" s="91" t="s">
        <v>1882</v>
      </c>
      <c r="F125" s="91" t="s">
        <v>1708</v>
      </c>
      <c r="G125" s="91" t="s">
        <v>1893</v>
      </c>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row>
    <row r="126" spans="1:31" ht="18" customHeight="1">
      <c r="A126" s="3" t="s">
        <v>1765</v>
      </c>
      <c r="B126" s="86" t="s">
        <v>1447</v>
      </c>
      <c r="C126" s="13" t="s">
        <v>1448</v>
      </c>
      <c r="D126" s="96">
        <v>1998</v>
      </c>
      <c r="E126" s="91" t="s">
        <v>1707</v>
      </c>
      <c r="F126" s="91" t="s">
        <v>1870</v>
      </c>
      <c r="G126" s="91" t="s">
        <v>1894</v>
      </c>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86"/>
    </row>
    <row r="127" spans="1:31" ht="15.75" customHeight="1">
      <c r="A127" s="3" t="s">
        <v>1765</v>
      </c>
      <c r="B127" s="109" t="s">
        <v>958</v>
      </c>
      <c r="C127" s="13" t="s">
        <v>959</v>
      </c>
      <c r="D127" s="96">
        <v>1998</v>
      </c>
      <c r="E127" s="91" t="s">
        <v>1707</v>
      </c>
      <c r="F127" s="91" t="s">
        <v>1870</v>
      </c>
      <c r="G127" s="91" t="s">
        <v>1895</v>
      </c>
      <c r="H127" s="86"/>
      <c r="I127" s="86"/>
      <c r="J127" s="86"/>
      <c r="K127" s="86"/>
      <c r="L127" s="86"/>
      <c r="M127" s="86"/>
      <c r="N127" s="86"/>
      <c r="O127" s="86"/>
      <c r="P127" s="86"/>
      <c r="Q127" s="86"/>
      <c r="R127" s="86"/>
      <c r="S127" s="86"/>
      <c r="T127" s="86"/>
      <c r="U127" s="86"/>
      <c r="V127" s="86"/>
      <c r="W127" s="86"/>
      <c r="X127" s="86"/>
      <c r="Y127" s="86"/>
      <c r="Z127" s="86"/>
      <c r="AA127" s="86"/>
      <c r="AB127" s="86"/>
      <c r="AC127" s="86"/>
      <c r="AD127" s="86"/>
      <c r="AE127" s="86"/>
    </row>
    <row r="128" spans="1:31" ht="15.75" customHeight="1">
      <c r="A128" s="3" t="s">
        <v>1765</v>
      </c>
      <c r="B128" s="3" t="s">
        <v>187</v>
      </c>
      <c r="C128" s="13" t="s">
        <v>188</v>
      </c>
      <c r="D128" s="85">
        <v>1999</v>
      </c>
      <c r="E128" s="86" t="s">
        <v>1715</v>
      </c>
      <c r="F128" s="86" t="s">
        <v>179</v>
      </c>
      <c r="G128" s="91" t="s">
        <v>1896</v>
      </c>
      <c r="H128" s="86"/>
      <c r="I128" s="86"/>
      <c r="J128" s="86"/>
      <c r="K128" s="86"/>
      <c r="L128" s="86"/>
      <c r="M128" s="86"/>
      <c r="N128" s="86"/>
      <c r="O128" s="86"/>
      <c r="P128" s="86"/>
      <c r="Q128" s="86"/>
      <c r="R128" s="86"/>
      <c r="S128" s="86"/>
      <c r="T128" s="86"/>
      <c r="U128" s="86"/>
      <c r="V128" s="86"/>
      <c r="W128" s="86"/>
      <c r="X128" s="86"/>
      <c r="Y128" s="86"/>
      <c r="Z128" s="86"/>
      <c r="AA128" s="86"/>
      <c r="AB128" s="86"/>
      <c r="AC128" s="86"/>
      <c r="AD128" s="86"/>
      <c r="AE128" s="86"/>
    </row>
    <row r="129" spans="1:31" ht="15.75" customHeight="1">
      <c r="A129" s="3" t="s">
        <v>1765</v>
      </c>
      <c r="B129" s="109" t="s">
        <v>259</v>
      </c>
      <c r="C129" s="13" t="s">
        <v>260</v>
      </c>
      <c r="D129" s="96">
        <v>1999</v>
      </c>
      <c r="E129" s="91" t="s">
        <v>1707</v>
      </c>
      <c r="F129" s="91" t="s">
        <v>52</v>
      </c>
      <c r="G129" s="91" t="s">
        <v>1897</v>
      </c>
      <c r="H129" s="114"/>
      <c r="I129" s="86"/>
      <c r="J129" s="86"/>
      <c r="K129" s="86"/>
      <c r="L129" s="86"/>
      <c r="M129" s="86"/>
      <c r="N129" s="86"/>
      <c r="O129" s="86"/>
      <c r="P129" s="86"/>
      <c r="Q129" s="86"/>
      <c r="R129" s="86"/>
      <c r="S129" s="86"/>
      <c r="T129" s="86"/>
      <c r="U129" s="86"/>
      <c r="V129" s="86"/>
      <c r="W129" s="86"/>
      <c r="X129" s="86"/>
      <c r="Y129" s="86"/>
      <c r="Z129" s="86"/>
      <c r="AA129" s="86"/>
      <c r="AB129" s="86"/>
      <c r="AC129" s="86"/>
      <c r="AD129" s="86"/>
      <c r="AE129" s="86"/>
    </row>
    <row r="130" spans="1:31" ht="15.75" customHeight="1">
      <c r="A130" s="3" t="s">
        <v>1765</v>
      </c>
      <c r="B130" s="3" t="s">
        <v>415</v>
      </c>
      <c r="C130" s="13" t="s">
        <v>416</v>
      </c>
      <c r="D130" s="96">
        <v>1999</v>
      </c>
      <c r="E130" s="91" t="s">
        <v>1707</v>
      </c>
      <c r="F130" s="91" t="s">
        <v>1708</v>
      </c>
      <c r="G130" s="91" t="s">
        <v>1898</v>
      </c>
      <c r="H130" s="86"/>
      <c r="I130" s="86"/>
      <c r="J130" s="86"/>
      <c r="K130" s="86"/>
      <c r="L130" s="86"/>
      <c r="M130" s="86"/>
      <c r="N130" s="86"/>
      <c r="O130" s="86"/>
      <c r="P130" s="86"/>
      <c r="Q130" s="86"/>
      <c r="R130" s="86"/>
      <c r="S130" s="86"/>
      <c r="T130" s="86"/>
      <c r="U130" s="86"/>
      <c r="V130" s="86"/>
      <c r="W130" s="86"/>
      <c r="X130" s="86"/>
      <c r="Y130" s="86"/>
      <c r="Z130" s="86"/>
      <c r="AA130" s="86"/>
      <c r="AB130" s="86"/>
      <c r="AC130" s="86"/>
      <c r="AD130" s="86"/>
      <c r="AE130" s="86"/>
    </row>
    <row r="131" spans="1:31" ht="15.75" customHeight="1">
      <c r="A131" s="3" t="s">
        <v>1765</v>
      </c>
      <c r="B131" s="109" t="s">
        <v>1520</v>
      </c>
      <c r="C131" s="13" t="s">
        <v>1521</v>
      </c>
      <c r="D131" s="96">
        <v>1999</v>
      </c>
      <c r="E131" s="91" t="s">
        <v>1882</v>
      </c>
      <c r="F131" s="91" t="s">
        <v>116</v>
      </c>
      <c r="G131" s="91" t="s">
        <v>1899</v>
      </c>
      <c r="H131" s="86"/>
      <c r="I131" s="86"/>
      <c r="J131" s="86"/>
      <c r="K131" s="86"/>
      <c r="L131" s="86"/>
      <c r="M131" s="86"/>
      <c r="N131" s="86"/>
      <c r="O131" s="86"/>
      <c r="P131" s="86"/>
      <c r="Q131" s="86"/>
      <c r="R131" s="86"/>
      <c r="S131" s="86"/>
      <c r="T131" s="86"/>
      <c r="U131" s="86"/>
      <c r="V131" s="86"/>
      <c r="W131" s="86"/>
      <c r="X131" s="86"/>
      <c r="Y131" s="86"/>
      <c r="Z131" s="86"/>
      <c r="AA131" s="86"/>
      <c r="AB131" s="86"/>
      <c r="AC131" s="86"/>
      <c r="AD131" s="86"/>
      <c r="AE131" s="86"/>
    </row>
    <row r="132" spans="1:31" ht="15.75" customHeight="1">
      <c r="A132" s="3" t="s">
        <v>1765</v>
      </c>
      <c r="B132" s="109" t="s">
        <v>1402</v>
      </c>
      <c r="C132" s="13" t="s">
        <v>1403</v>
      </c>
      <c r="D132" s="96">
        <v>1999</v>
      </c>
      <c r="E132" s="91" t="s">
        <v>1707</v>
      </c>
      <c r="F132" s="91" t="s">
        <v>1870</v>
      </c>
      <c r="G132" s="91" t="s">
        <v>1900</v>
      </c>
      <c r="H132" s="86"/>
      <c r="I132" s="86"/>
      <c r="J132" s="86"/>
      <c r="K132" s="86"/>
      <c r="L132" s="86"/>
      <c r="M132" s="86"/>
      <c r="N132" s="86"/>
      <c r="O132" s="86"/>
      <c r="P132" s="86"/>
      <c r="Q132" s="86"/>
      <c r="R132" s="86"/>
      <c r="S132" s="86"/>
      <c r="T132" s="86"/>
      <c r="U132" s="86"/>
      <c r="V132" s="86"/>
      <c r="W132" s="86"/>
      <c r="X132" s="86"/>
      <c r="Y132" s="86"/>
      <c r="Z132" s="86"/>
      <c r="AA132" s="86"/>
      <c r="AB132" s="86"/>
      <c r="AC132" s="86"/>
      <c r="AD132" s="86"/>
      <c r="AE132" s="86"/>
    </row>
    <row r="133" spans="1:31" ht="15.75" customHeight="1">
      <c r="A133" s="3" t="s">
        <v>1765</v>
      </c>
      <c r="B133" s="109" t="s">
        <v>1562</v>
      </c>
      <c r="C133" s="13" t="s">
        <v>1563</v>
      </c>
      <c r="D133" s="96">
        <v>1999</v>
      </c>
      <c r="E133" s="91" t="s">
        <v>1707</v>
      </c>
      <c r="F133" s="91" t="s">
        <v>1870</v>
      </c>
      <c r="G133" s="91" t="s">
        <v>1901</v>
      </c>
      <c r="H133" s="86"/>
      <c r="I133" s="86"/>
      <c r="J133" s="86"/>
      <c r="K133" s="86"/>
      <c r="L133" s="86"/>
      <c r="M133" s="86"/>
      <c r="N133" s="86"/>
      <c r="O133" s="86"/>
      <c r="P133" s="86"/>
      <c r="Q133" s="86"/>
      <c r="R133" s="86"/>
      <c r="S133" s="86"/>
      <c r="T133" s="86"/>
      <c r="U133" s="86"/>
      <c r="V133" s="86"/>
      <c r="W133" s="86"/>
      <c r="X133" s="86"/>
      <c r="Y133" s="86"/>
      <c r="Z133" s="86"/>
      <c r="AA133" s="86"/>
      <c r="AB133" s="86"/>
      <c r="AC133" s="86"/>
      <c r="AD133" s="86"/>
      <c r="AE133" s="86"/>
    </row>
    <row r="134" spans="1:31" ht="15.75" customHeight="1">
      <c r="A134" s="3" t="s">
        <v>1765</v>
      </c>
      <c r="B134" s="109" t="s">
        <v>1570</v>
      </c>
      <c r="C134" s="13" t="s">
        <v>1571</v>
      </c>
      <c r="D134" s="96">
        <v>1999</v>
      </c>
      <c r="E134" s="91" t="s">
        <v>1882</v>
      </c>
      <c r="F134" s="91" t="s">
        <v>1870</v>
      </c>
      <c r="G134" s="91" t="s">
        <v>1902</v>
      </c>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row>
    <row r="135" spans="1:31" ht="15.75" customHeight="1">
      <c r="A135" s="3" t="s">
        <v>1765</v>
      </c>
      <c r="B135" s="109" t="s">
        <v>964</v>
      </c>
      <c r="C135" s="13" t="s">
        <v>965</v>
      </c>
      <c r="D135" s="96">
        <v>1999</v>
      </c>
      <c r="E135" s="91" t="s">
        <v>1707</v>
      </c>
      <c r="F135" s="91" t="s">
        <v>1870</v>
      </c>
      <c r="G135" s="91" t="s">
        <v>1903</v>
      </c>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c r="AE135" s="86"/>
    </row>
    <row r="136" spans="1:31" ht="15.75" customHeight="1">
      <c r="A136" s="3" t="s">
        <v>1765</v>
      </c>
      <c r="B136" s="109" t="s">
        <v>1086</v>
      </c>
      <c r="C136" s="13" t="s">
        <v>1087</v>
      </c>
      <c r="D136" s="96">
        <v>2000</v>
      </c>
      <c r="E136" s="91" t="s">
        <v>1707</v>
      </c>
      <c r="F136" s="91" t="s">
        <v>1846</v>
      </c>
      <c r="G136" s="91" t="s">
        <v>1904</v>
      </c>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c r="AE136" s="86"/>
    </row>
    <row r="137" spans="1:31" ht="15.75" customHeight="1">
      <c r="A137" s="3" t="s">
        <v>1765</v>
      </c>
      <c r="B137" s="109" t="s">
        <v>1615</v>
      </c>
      <c r="C137" s="13" t="s">
        <v>1616</v>
      </c>
      <c r="D137" s="96">
        <v>2000</v>
      </c>
      <c r="E137" s="91" t="s">
        <v>1882</v>
      </c>
      <c r="F137" s="91" t="s">
        <v>179</v>
      </c>
      <c r="G137" s="91" t="s">
        <v>1905</v>
      </c>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row>
    <row r="138" spans="1:31" ht="15.75" customHeight="1">
      <c r="A138" s="3" t="s">
        <v>1765</v>
      </c>
      <c r="B138" s="86" t="s">
        <v>1906</v>
      </c>
      <c r="C138" s="13" t="s">
        <v>899</v>
      </c>
      <c r="D138" s="85">
        <v>2000</v>
      </c>
      <c r="E138" s="86" t="s">
        <v>1715</v>
      </c>
      <c r="F138" s="86" t="s">
        <v>682</v>
      </c>
      <c r="G138" s="91" t="s">
        <v>1907</v>
      </c>
      <c r="H138" s="86"/>
      <c r="I138" s="86"/>
      <c r="J138" s="86"/>
      <c r="K138" s="86"/>
      <c r="L138" s="86"/>
      <c r="M138" s="86"/>
      <c r="N138" s="86"/>
      <c r="O138" s="86"/>
      <c r="P138" s="86"/>
      <c r="Q138" s="86"/>
      <c r="R138" s="86"/>
      <c r="S138" s="86"/>
      <c r="T138" s="86"/>
      <c r="U138" s="86"/>
      <c r="V138" s="86"/>
      <c r="W138" s="86"/>
      <c r="X138" s="86"/>
      <c r="Y138" s="86"/>
      <c r="Z138" s="86"/>
      <c r="AA138" s="86"/>
      <c r="AB138" s="86"/>
      <c r="AC138" s="86"/>
      <c r="AD138" s="86"/>
      <c r="AE138" s="86"/>
    </row>
    <row r="139" spans="1:31" ht="15.75" customHeight="1">
      <c r="A139" s="3" t="s">
        <v>1765</v>
      </c>
      <c r="B139" s="86" t="s">
        <v>1338</v>
      </c>
      <c r="C139" s="13" t="s">
        <v>1339</v>
      </c>
      <c r="D139" s="85">
        <v>2000</v>
      </c>
      <c r="E139" s="86" t="s">
        <v>1707</v>
      </c>
      <c r="F139" s="86" t="s">
        <v>353</v>
      </c>
      <c r="G139" s="91" t="s">
        <v>1908</v>
      </c>
      <c r="H139" s="86"/>
      <c r="I139" s="86"/>
      <c r="J139" s="86"/>
      <c r="K139" s="86"/>
      <c r="L139" s="86"/>
      <c r="M139" s="86"/>
      <c r="N139" s="86"/>
      <c r="O139" s="86"/>
      <c r="P139" s="86"/>
      <c r="Q139" s="86"/>
      <c r="R139" s="86"/>
      <c r="S139" s="86"/>
      <c r="T139" s="86"/>
      <c r="U139" s="86"/>
      <c r="V139" s="86"/>
      <c r="W139" s="86"/>
      <c r="X139" s="86"/>
      <c r="Y139" s="86"/>
      <c r="Z139" s="86"/>
      <c r="AA139" s="86"/>
      <c r="AB139" s="86"/>
      <c r="AC139" s="86"/>
      <c r="AD139" s="86"/>
      <c r="AE139" s="86"/>
    </row>
    <row r="140" spans="1:31" ht="15.75" customHeight="1">
      <c r="A140" s="3" t="s">
        <v>1765</v>
      </c>
      <c r="B140" s="109" t="s">
        <v>357</v>
      </c>
      <c r="C140" s="13" t="s">
        <v>358</v>
      </c>
      <c r="D140" s="96">
        <v>2000</v>
      </c>
      <c r="E140" s="91" t="s">
        <v>1882</v>
      </c>
      <c r="F140" s="91" t="s">
        <v>353</v>
      </c>
      <c r="G140" s="91" t="s">
        <v>1909</v>
      </c>
      <c r="H140" s="86"/>
      <c r="I140" s="86"/>
      <c r="J140" s="86"/>
      <c r="K140" s="86"/>
      <c r="L140" s="86"/>
      <c r="M140" s="86"/>
      <c r="N140" s="86"/>
      <c r="O140" s="86"/>
      <c r="P140" s="86"/>
      <c r="Q140" s="86"/>
      <c r="R140" s="86"/>
      <c r="S140" s="86"/>
      <c r="T140" s="86"/>
      <c r="U140" s="86"/>
      <c r="V140" s="86"/>
      <c r="W140" s="86"/>
      <c r="X140" s="86"/>
      <c r="Y140" s="86"/>
      <c r="Z140" s="86"/>
      <c r="AA140" s="86"/>
      <c r="AB140" s="86"/>
      <c r="AC140" s="86"/>
      <c r="AD140" s="86"/>
      <c r="AE140" s="86"/>
    </row>
    <row r="141" spans="1:31" ht="15.75" customHeight="1">
      <c r="A141" s="3" t="s">
        <v>1765</v>
      </c>
      <c r="B141" s="3" t="s">
        <v>387</v>
      </c>
      <c r="C141" s="13" t="s">
        <v>388</v>
      </c>
      <c r="D141" s="96">
        <v>2000</v>
      </c>
      <c r="E141" s="91" t="s">
        <v>1707</v>
      </c>
      <c r="F141" s="91" t="s">
        <v>1708</v>
      </c>
      <c r="G141" s="91" t="s">
        <v>1910</v>
      </c>
      <c r="H141" s="86"/>
      <c r="I141" s="86"/>
      <c r="J141" s="86"/>
      <c r="K141" s="86"/>
      <c r="L141" s="86"/>
      <c r="M141" s="86"/>
      <c r="N141" s="86"/>
      <c r="O141" s="86"/>
      <c r="P141" s="86"/>
      <c r="Q141" s="86"/>
      <c r="R141" s="86"/>
      <c r="S141" s="86"/>
      <c r="T141" s="86"/>
      <c r="U141" s="86"/>
      <c r="V141" s="86"/>
      <c r="W141" s="86"/>
      <c r="X141" s="86"/>
      <c r="Y141" s="86"/>
      <c r="Z141" s="86"/>
      <c r="AA141" s="86"/>
      <c r="AB141" s="86"/>
      <c r="AC141" s="86"/>
      <c r="AD141" s="86"/>
      <c r="AE141" s="86"/>
    </row>
    <row r="142" spans="1:31" ht="15.75" customHeight="1">
      <c r="A142" s="3" t="s">
        <v>1765</v>
      </c>
      <c r="B142" s="109" t="s">
        <v>451</v>
      </c>
      <c r="C142" s="13" t="s">
        <v>452</v>
      </c>
      <c r="D142" s="96">
        <v>2000</v>
      </c>
      <c r="E142" s="91" t="s">
        <v>1707</v>
      </c>
      <c r="F142" s="91" t="s">
        <v>629</v>
      </c>
      <c r="G142" s="91" t="s">
        <v>1911</v>
      </c>
      <c r="H142" s="86"/>
      <c r="I142" s="86"/>
      <c r="J142" s="86"/>
      <c r="K142" s="86"/>
      <c r="L142" s="86"/>
      <c r="M142" s="86"/>
      <c r="N142" s="86"/>
      <c r="O142" s="86"/>
      <c r="P142" s="86"/>
      <c r="Q142" s="86"/>
      <c r="R142" s="86"/>
      <c r="S142" s="86"/>
      <c r="T142" s="86"/>
      <c r="U142" s="86"/>
      <c r="V142" s="86"/>
      <c r="W142" s="86"/>
      <c r="X142" s="86"/>
      <c r="Y142" s="86"/>
      <c r="Z142" s="86"/>
      <c r="AA142" s="86"/>
      <c r="AB142" s="86"/>
      <c r="AC142" s="86"/>
      <c r="AD142" s="86"/>
      <c r="AE142" s="86"/>
    </row>
    <row r="143" spans="1:31" ht="15.75" customHeight="1">
      <c r="A143" s="3" t="s">
        <v>1765</v>
      </c>
      <c r="B143" s="11" t="s">
        <v>1540</v>
      </c>
      <c r="C143" s="13" t="s">
        <v>1541</v>
      </c>
      <c r="D143" s="96">
        <v>2000</v>
      </c>
      <c r="E143" s="91" t="s">
        <v>1715</v>
      </c>
      <c r="F143" s="91" t="s">
        <v>116</v>
      </c>
      <c r="G143" s="91" t="s">
        <v>1912</v>
      </c>
      <c r="H143" s="86"/>
      <c r="I143" s="86"/>
      <c r="J143" s="86"/>
      <c r="K143" s="86"/>
      <c r="L143" s="86"/>
      <c r="M143" s="86"/>
      <c r="N143" s="86"/>
      <c r="O143" s="86"/>
      <c r="P143" s="86"/>
      <c r="Q143" s="86"/>
      <c r="R143" s="86"/>
      <c r="S143" s="86"/>
      <c r="T143" s="86"/>
      <c r="U143" s="86"/>
      <c r="V143" s="86"/>
      <c r="W143" s="86"/>
      <c r="X143" s="86"/>
      <c r="Y143" s="86"/>
      <c r="Z143" s="86"/>
      <c r="AA143" s="86"/>
      <c r="AB143" s="86"/>
      <c r="AC143" s="86"/>
      <c r="AD143" s="86"/>
      <c r="AE143" s="86"/>
    </row>
    <row r="144" spans="1:31" ht="15.75" customHeight="1">
      <c r="A144" s="3" t="s">
        <v>1765</v>
      </c>
      <c r="B144" s="11" t="s">
        <v>1524</v>
      </c>
      <c r="C144" s="13" t="s">
        <v>1525</v>
      </c>
      <c r="D144" s="96">
        <v>2000</v>
      </c>
      <c r="E144" s="91" t="s">
        <v>1882</v>
      </c>
      <c r="F144" s="91" t="s">
        <v>116</v>
      </c>
      <c r="G144" s="91" t="s">
        <v>1913</v>
      </c>
      <c r="H144" s="86"/>
      <c r="I144" s="86"/>
      <c r="J144" s="86"/>
      <c r="K144" s="86"/>
      <c r="L144" s="86"/>
      <c r="M144" s="86"/>
      <c r="N144" s="86"/>
      <c r="O144" s="86"/>
      <c r="P144" s="86"/>
      <c r="Q144" s="86"/>
      <c r="R144" s="86"/>
      <c r="S144" s="86"/>
      <c r="T144" s="86"/>
      <c r="U144" s="86"/>
      <c r="V144" s="86"/>
      <c r="W144" s="86"/>
      <c r="X144" s="86"/>
      <c r="Y144" s="86"/>
      <c r="Z144" s="86"/>
      <c r="AA144" s="86"/>
      <c r="AB144" s="86"/>
      <c r="AC144" s="86"/>
      <c r="AD144" s="86"/>
      <c r="AE144" s="86"/>
    </row>
    <row r="145" spans="1:31" ht="15.75" customHeight="1">
      <c r="A145" s="3" t="s">
        <v>1765</v>
      </c>
      <c r="B145" s="86" t="s">
        <v>751</v>
      </c>
      <c r="C145" s="13" t="s">
        <v>752</v>
      </c>
      <c r="D145" s="96">
        <v>2000</v>
      </c>
      <c r="E145" s="91" t="s">
        <v>1704</v>
      </c>
      <c r="F145" s="91" t="s">
        <v>1870</v>
      </c>
      <c r="G145" s="91" t="s">
        <v>1914</v>
      </c>
      <c r="H145" s="86"/>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row>
    <row r="146" spans="1:31" ht="15.75" customHeight="1">
      <c r="A146" s="3" t="s">
        <v>1765</v>
      </c>
      <c r="B146" s="86" t="s">
        <v>1055</v>
      </c>
      <c r="C146" s="13" t="s">
        <v>1056</v>
      </c>
      <c r="D146" s="85">
        <v>2001</v>
      </c>
      <c r="E146" s="86" t="s">
        <v>1707</v>
      </c>
      <c r="F146" s="91" t="s">
        <v>179</v>
      </c>
      <c r="G146" s="89" t="s">
        <v>1915</v>
      </c>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c r="AE146" s="86"/>
    </row>
    <row r="147" spans="1:31" ht="15.75" customHeight="1">
      <c r="A147" s="3" t="s">
        <v>1765</v>
      </c>
      <c r="B147" s="109" t="s">
        <v>359</v>
      </c>
      <c r="C147" s="13" t="s">
        <v>360</v>
      </c>
      <c r="D147" s="96">
        <v>2001</v>
      </c>
      <c r="E147" s="91" t="s">
        <v>1707</v>
      </c>
      <c r="F147" s="91" t="s">
        <v>353</v>
      </c>
      <c r="G147" s="91" t="s">
        <v>1916</v>
      </c>
      <c r="H147" s="86"/>
      <c r="I147" s="86"/>
      <c r="J147" s="86"/>
      <c r="K147" s="86"/>
      <c r="L147" s="86"/>
      <c r="M147" s="86"/>
      <c r="N147" s="86"/>
      <c r="O147" s="86"/>
      <c r="P147" s="86"/>
      <c r="Q147" s="86"/>
      <c r="R147" s="86"/>
      <c r="S147" s="86"/>
      <c r="T147" s="86"/>
      <c r="U147" s="86"/>
      <c r="V147" s="86"/>
      <c r="W147" s="86"/>
      <c r="X147" s="86"/>
      <c r="Y147" s="86"/>
      <c r="Z147" s="86"/>
      <c r="AA147" s="86"/>
      <c r="AB147" s="86"/>
      <c r="AC147" s="86"/>
      <c r="AD147" s="86"/>
      <c r="AE147" s="86"/>
    </row>
    <row r="148" spans="1:31" ht="15.75" customHeight="1">
      <c r="A148" s="3" t="s">
        <v>1765</v>
      </c>
      <c r="B148" s="86" t="s">
        <v>1511</v>
      </c>
      <c r="C148" s="13" t="s">
        <v>1512</v>
      </c>
      <c r="D148" s="85">
        <v>2001</v>
      </c>
      <c r="E148" s="91" t="s">
        <v>1882</v>
      </c>
      <c r="F148" s="86" t="s">
        <v>353</v>
      </c>
      <c r="G148" s="112" t="s">
        <v>1917</v>
      </c>
      <c r="H148" s="86"/>
      <c r="I148" s="86"/>
      <c r="J148" s="86"/>
      <c r="K148" s="86"/>
      <c r="L148" s="86"/>
      <c r="M148" s="86"/>
      <c r="N148" s="86"/>
      <c r="O148" s="86"/>
      <c r="P148" s="86"/>
      <c r="Q148" s="86"/>
      <c r="R148" s="86"/>
      <c r="S148" s="86"/>
      <c r="T148" s="86"/>
      <c r="U148" s="86"/>
      <c r="V148" s="86"/>
      <c r="W148" s="86"/>
      <c r="X148" s="86"/>
      <c r="Y148" s="86"/>
      <c r="Z148" s="86"/>
      <c r="AA148" s="86"/>
      <c r="AB148" s="86"/>
      <c r="AC148" s="86"/>
      <c r="AD148" s="86"/>
      <c r="AE148" s="86"/>
    </row>
    <row r="149" spans="1:31" ht="15.75" customHeight="1">
      <c r="A149" s="3" t="s">
        <v>1765</v>
      </c>
      <c r="B149" s="86" t="s">
        <v>379</v>
      </c>
      <c r="C149" s="13" t="s">
        <v>380</v>
      </c>
      <c r="D149" s="96">
        <v>2001</v>
      </c>
      <c r="E149" s="91" t="s">
        <v>1707</v>
      </c>
      <c r="F149" s="91" t="s">
        <v>107</v>
      </c>
      <c r="G149" s="91" t="s">
        <v>1918</v>
      </c>
      <c r="H149" s="86"/>
      <c r="I149" s="86"/>
      <c r="J149" s="86"/>
      <c r="K149" s="86"/>
      <c r="L149" s="86"/>
      <c r="M149" s="86"/>
      <c r="N149" s="86"/>
      <c r="O149" s="86"/>
      <c r="P149" s="86"/>
      <c r="Q149" s="86"/>
      <c r="R149" s="86"/>
      <c r="S149" s="86"/>
      <c r="T149" s="86"/>
      <c r="U149" s="86"/>
      <c r="V149" s="86"/>
      <c r="W149" s="86"/>
      <c r="X149" s="86"/>
      <c r="Y149" s="86"/>
      <c r="Z149" s="86"/>
      <c r="AA149" s="86"/>
      <c r="AB149" s="86"/>
      <c r="AC149" s="86"/>
      <c r="AD149" s="86"/>
      <c r="AE149" s="86"/>
    </row>
    <row r="150" spans="1:31" ht="15.75" customHeight="1">
      <c r="A150" s="3" t="s">
        <v>1765</v>
      </c>
      <c r="B150" s="89" t="s">
        <v>509</v>
      </c>
      <c r="C150" s="13" t="s">
        <v>483</v>
      </c>
      <c r="D150" s="110">
        <v>2001</v>
      </c>
      <c r="E150" s="89" t="s">
        <v>1707</v>
      </c>
      <c r="F150" s="89" t="s">
        <v>1708</v>
      </c>
      <c r="G150" s="112" t="s">
        <v>1919</v>
      </c>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row>
    <row r="151" spans="1:31" ht="15.75" customHeight="1">
      <c r="A151" s="3" t="s">
        <v>1765</v>
      </c>
      <c r="B151" s="109" t="s">
        <v>251</v>
      </c>
      <c r="C151" s="13" t="s">
        <v>254</v>
      </c>
      <c r="D151" s="96">
        <v>2001</v>
      </c>
      <c r="E151" s="91" t="s">
        <v>1707</v>
      </c>
      <c r="F151" s="91" t="s">
        <v>1708</v>
      </c>
      <c r="G151" s="91" t="s">
        <v>1920</v>
      </c>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c r="AE151" s="86"/>
    </row>
    <row r="152" spans="1:31" ht="15.75" customHeight="1">
      <c r="A152" s="3" t="s">
        <v>1765</v>
      </c>
      <c r="B152" s="109" t="s">
        <v>1415</v>
      </c>
      <c r="C152" s="13" t="s">
        <v>1416</v>
      </c>
      <c r="D152" s="96">
        <v>2001</v>
      </c>
      <c r="E152" s="91" t="s">
        <v>1704</v>
      </c>
      <c r="F152" s="91" t="s">
        <v>1763</v>
      </c>
      <c r="G152" s="91" t="s">
        <v>1921</v>
      </c>
      <c r="H152" s="86"/>
      <c r="I152" s="86"/>
      <c r="J152" s="86"/>
      <c r="K152" s="86"/>
      <c r="L152" s="86"/>
      <c r="M152" s="86"/>
      <c r="N152" s="86"/>
      <c r="O152" s="86"/>
      <c r="P152" s="86"/>
      <c r="Q152" s="86"/>
      <c r="R152" s="86"/>
      <c r="S152" s="86"/>
      <c r="T152" s="86"/>
      <c r="U152" s="86"/>
      <c r="V152" s="86"/>
      <c r="W152" s="86"/>
      <c r="X152" s="86"/>
      <c r="Y152" s="86"/>
      <c r="Z152" s="86"/>
      <c r="AA152" s="86"/>
      <c r="AB152" s="86"/>
      <c r="AC152" s="86"/>
      <c r="AD152" s="86"/>
      <c r="AE152" s="86"/>
    </row>
    <row r="153" spans="1:31" ht="15.75" customHeight="1">
      <c r="A153" s="3" t="s">
        <v>1765</v>
      </c>
      <c r="B153" s="86" t="s">
        <v>1406</v>
      </c>
      <c r="C153" s="13" t="s">
        <v>1407</v>
      </c>
      <c r="D153" s="96">
        <v>2001</v>
      </c>
      <c r="E153" s="91" t="s">
        <v>1707</v>
      </c>
      <c r="F153" s="91" t="s">
        <v>1870</v>
      </c>
      <c r="G153" s="91" t="s">
        <v>1922</v>
      </c>
      <c r="H153" s="114"/>
      <c r="I153" s="86"/>
      <c r="J153" s="86"/>
      <c r="K153" s="86"/>
      <c r="L153" s="86"/>
      <c r="M153" s="86"/>
      <c r="N153" s="86"/>
      <c r="O153" s="86"/>
      <c r="P153" s="86"/>
      <c r="Q153" s="86"/>
      <c r="R153" s="86"/>
      <c r="S153" s="86"/>
      <c r="T153" s="86"/>
      <c r="U153" s="86"/>
      <c r="V153" s="86"/>
      <c r="W153" s="86"/>
      <c r="X153" s="86"/>
      <c r="Y153" s="86"/>
      <c r="Z153" s="86"/>
      <c r="AA153" s="86"/>
      <c r="AB153" s="86"/>
      <c r="AC153" s="86"/>
      <c r="AD153" s="86"/>
      <c r="AE153" s="86"/>
    </row>
    <row r="154" spans="1:31" ht="15.75" customHeight="1">
      <c r="A154" s="3" t="s">
        <v>1765</v>
      </c>
      <c r="B154" s="86" t="s">
        <v>1183</v>
      </c>
      <c r="C154" s="13" t="s">
        <v>1449</v>
      </c>
      <c r="D154" s="96">
        <v>2001</v>
      </c>
      <c r="E154" s="91" t="s">
        <v>1882</v>
      </c>
      <c r="F154" s="91" t="s">
        <v>1870</v>
      </c>
      <c r="G154" s="91" t="s">
        <v>1923</v>
      </c>
      <c r="H154" s="86"/>
      <c r="I154" s="86"/>
      <c r="J154" s="86"/>
      <c r="K154" s="86"/>
      <c r="L154" s="86"/>
      <c r="M154" s="86"/>
      <c r="N154" s="86"/>
      <c r="O154" s="86"/>
      <c r="P154" s="86"/>
      <c r="Q154" s="86"/>
      <c r="R154" s="86"/>
      <c r="S154" s="86"/>
      <c r="T154" s="86"/>
      <c r="U154" s="86"/>
      <c r="V154" s="86"/>
      <c r="W154" s="86"/>
      <c r="X154" s="86"/>
      <c r="Y154" s="86"/>
      <c r="Z154" s="86"/>
      <c r="AA154" s="86"/>
      <c r="AB154" s="86"/>
      <c r="AC154" s="86"/>
      <c r="AD154" s="86"/>
      <c r="AE154" s="86"/>
    </row>
    <row r="155" spans="1:31" ht="15.75" customHeight="1">
      <c r="A155" s="3" t="s">
        <v>1765</v>
      </c>
      <c r="B155" s="86" t="s">
        <v>1404</v>
      </c>
      <c r="C155" s="115" t="s">
        <v>1405</v>
      </c>
      <c r="D155" s="116">
        <v>2001</v>
      </c>
      <c r="E155" s="114" t="s">
        <v>1704</v>
      </c>
      <c r="F155" s="114" t="s">
        <v>1870</v>
      </c>
      <c r="G155" s="114" t="s">
        <v>1924</v>
      </c>
      <c r="H155" s="86"/>
      <c r="I155" s="86"/>
      <c r="J155" s="86"/>
      <c r="K155" s="86"/>
      <c r="L155" s="86"/>
      <c r="M155" s="86"/>
      <c r="N155" s="86"/>
      <c r="O155" s="86"/>
      <c r="P155" s="86"/>
      <c r="Q155" s="86"/>
      <c r="R155" s="86"/>
      <c r="S155" s="86"/>
      <c r="T155" s="86"/>
      <c r="U155" s="86"/>
      <c r="V155" s="86"/>
      <c r="W155" s="86"/>
      <c r="X155" s="86"/>
      <c r="Y155" s="86"/>
      <c r="Z155" s="86"/>
      <c r="AA155" s="86"/>
      <c r="AB155" s="86"/>
      <c r="AC155" s="86"/>
      <c r="AD155" s="86"/>
      <c r="AE155" s="86"/>
    </row>
    <row r="156" spans="1:31" ht="15.75" customHeight="1">
      <c r="A156" s="3" t="s">
        <v>1765</v>
      </c>
      <c r="B156" s="109" t="s">
        <v>564</v>
      </c>
      <c r="C156" s="13" t="s">
        <v>565</v>
      </c>
      <c r="D156" s="96">
        <v>2001</v>
      </c>
      <c r="E156" s="91" t="s">
        <v>1707</v>
      </c>
      <c r="F156" s="91" t="s">
        <v>557</v>
      </c>
      <c r="G156" s="91" t="s">
        <v>1925</v>
      </c>
      <c r="H156" s="86"/>
      <c r="I156" s="86"/>
      <c r="J156" s="86"/>
      <c r="K156" s="86"/>
      <c r="L156" s="86"/>
      <c r="M156" s="86"/>
      <c r="N156" s="86"/>
      <c r="O156" s="86"/>
      <c r="P156" s="86"/>
      <c r="Q156" s="86"/>
      <c r="R156" s="86"/>
      <c r="S156" s="86"/>
      <c r="T156" s="86"/>
      <c r="U156" s="86"/>
      <c r="V156" s="86"/>
      <c r="W156" s="86"/>
      <c r="X156" s="86"/>
      <c r="Y156" s="86"/>
      <c r="Z156" s="86"/>
      <c r="AA156" s="86"/>
      <c r="AB156" s="86"/>
      <c r="AC156" s="86"/>
      <c r="AD156" s="86"/>
      <c r="AE156" s="86"/>
    </row>
    <row r="157" spans="1:31" ht="15.75" customHeight="1">
      <c r="A157" s="3" t="s">
        <v>1765</v>
      </c>
      <c r="B157" s="109" t="s">
        <v>820</v>
      </c>
      <c r="C157" s="13" t="s">
        <v>821</v>
      </c>
      <c r="D157" s="96">
        <v>2002</v>
      </c>
      <c r="E157" s="91" t="s">
        <v>1707</v>
      </c>
      <c r="F157" s="91" t="s">
        <v>179</v>
      </c>
      <c r="G157" s="91" t="s">
        <v>1926</v>
      </c>
      <c r="H157" s="86"/>
      <c r="I157" s="86"/>
      <c r="J157" s="86"/>
      <c r="K157" s="86"/>
      <c r="L157" s="86"/>
      <c r="M157" s="86"/>
      <c r="N157" s="86"/>
      <c r="O157" s="86"/>
      <c r="P157" s="86"/>
      <c r="Q157" s="86"/>
      <c r="R157" s="86"/>
      <c r="S157" s="86"/>
      <c r="T157" s="86"/>
      <c r="U157" s="86"/>
      <c r="V157" s="86"/>
      <c r="W157" s="86"/>
      <c r="X157" s="86"/>
      <c r="Y157" s="86"/>
      <c r="Z157" s="86"/>
      <c r="AA157" s="86"/>
      <c r="AB157" s="86"/>
      <c r="AC157" s="86"/>
      <c r="AD157" s="86"/>
      <c r="AE157" s="86"/>
    </row>
    <row r="158" spans="1:31" ht="15.75" customHeight="1">
      <c r="A158" s="3" t="s">
        <v>1765</v>
      </c>
      <c r="B158" s="86" t="s">
        <v>1063</v>
      </c>
      <c r="C158" s="13" t="s">
        <v>1064</v>
      </c>
      <c r="D158" s="85">
        <v>2002</v>
      </c>
      <c r="E158" s="86" t="s">
        <v>1707</v>
      </c>
      <c r="F158" s="91" t="s">
        <v>179</v>
      </c>
      <c r="G158" s="89" t="s">
        <v>1927</v>
      </c>
      <c r="H158" s="86"/>
      <c r="I158" s="86"/>
      <c r="J158" s="86"/>
      <c r="K158" s="86"/>
      <c r="L158" s="86"/>
      <c r="M158" s="86"/>
      <c r="N158" s="86"/>
      <c r="O158" s="86"/>
      <c r="P158" s="86"/>
      <c r="Q158" s="86"/>
      <c r="R158" s="86"/>
      <c r="S158" s="86"/>
      <c r="T158" s="86"/>
      <c r="U158" s="86"/>
      <c r="V158" s="86"/>
      <c r="W158" s="86"/>
      <c r="X158" s="86"/>
      <c r="Y158" s="86"/>
      <c r="Z158" s="86"/>
      <c r="AA158" s="86"/>
      <c r="AB158" s="86"/>
      <c r="AC158" s="86"/>
      <c r="AD158" s="86"/>
      <c r="AE158" s="86"/>
    </row>
    <row r="159" spans="1:31" ht="15.75" customHeight="1">
      <c r="A159" s="3" t="s">
        <v>1765</v>
      </c>
      <c r="B159" s="109" t="s">
        <v>243</v>
      </c>
      <c r="C159" s="13" t="s">
        <v>244</v>
      </c>
      <c r="D159" s="96">
        <v>2002</v>
      </c>
      <c r="E159" s="91" t="s">
        <v>1707</v>
      </c>
      <c r="F159" s="91" t="s">
        <v>236</v>
      </c>
      <c r="G159" s="91" t="s">
        <v>1928</v>
      </c>
      <c r="H159" s="86"/>
      <c r="I159" s="86"/>
      <c r="J159" s="86"/>
      <c r="K159" s="86"/>
      <c r="L159" s="86"/>
      <c r="M159" s="86"/>
      <c r="N159" s="86"/>
      <c r="O159" s="86"/>
      <c r="P159" s="86"/>
      <c r="Q159" s="86"/>
      <c r="R159" s="86"/>
      <c r="S159" s="86"/>
      <c r="T159" s="86"/>
      <c r="U159" s="86"/>
      <c r="V159" s="86"/>
      <c r="W159" s="86"/>
      <c r="X159" s="86"/>
      <c r="Y159" s="86"/>
      <c r="Z159" s="86"/>
      <c r="AA159" s="86"/>
      <c r="AB159" s="86"/>
      <c r="AC159" s="86"/>
      <c r="AD159" s="86"/>
      <c r="AE159" s="86"/>
    </row>
    <row r="160" spans="1:31" ht="15.75" customHeight="1">
      <c r="A160" s="3" t="s">
        <v>1765</v>
      </c>
      <c r="B160" s="86" t="s">
        <v>1319</v>
      </c>
      <c r="C160" s="13" t="s">
        <v>1320</v>
      </c>
      <c r="D160" s="85">
        <v>2002</v>
      </c>
      <c r="E160" s="86" t="s">
        <v>1707</v>
      </c>
      <c r="F160" s="86" t="s">
        <v>353</v>
      </c>
      <c r="G160" s="112" t="s">
        <v>1929</v>
      </c>
      <c r="H160" s="86"/>
      <c r="I160" s="86"/>
      <c r="J160" s="86"/>
      <c r="K160" s="86"/>
      <c r="L160" s="86"/>
      <c r="M160" s="86"/>
      <c r="N160" s="86"/>
      <c r="O160" s="86"/>
      <c r="P160" s="86"/>
      <c r="Q160" s="86"/>
      <c r="R160" s="86"/>
      <c r="S160" s="86"/>
      <c r="T160" s="86"/>
      <c r="U160" s="86"/>
      <c r="V160" s="86"/>
      <c r="W160" s="86"/>
      <c r="X160" s="86"/>
      <c r="Y160" s="86"/>
      <c r="Z160" s="86"/>
      <c r="AA160" s="86"/>
      <c r="AB160" s="86"/>
      <c r="AC160" s="86"/>
      <c r="AD160" s="86"/>
      <c r="AE160" s="86"/>
    </row>
    <row r="161" spans="1:31" ht="15.75" customHeight="1">
      <c r="A161" s="3" t="s">
        <v>1765</v>
      </c>
      <c r="B161" s="86" t="s">
        <v>371</v>
      </c>
      <c r="C161" s="13" t="s">
        <v>372</v>
      </c>
      <c r="D161" s="85">
        <v>2002</v>
      </c>
      <c r="E161" s="86" t="s">
        <v>1707</v>
      </c>
      <c r="F161" s="86" t="s">
        <v>374</v>
      </c>
      <c r="G161" s="112" t="s">
        <v>1930</v>
      </c>
      <c r="H161" s="86"/>
      <c r="I161" s="86"/>
      <c r="J161" s="86"/>
      <c r="K161" s="86"/>
      <c r="L161" s="86"/>
      <c r="M161" s="86"/>
      <c r="N161" s="86"/>
      <c r="O161" s="86"/>
      <c r="P161" s="86"/>
      <c r="Q161" s="86"/>
      <c r="R161" s="86"/>
      <c r="S161" s="86"/>
      <c r="T161" s="86"/>
      <c r="U161" s="86"/>
      <c r="V161" s="86"/>
      <c r="W161" s="86"/>
      <c r="X161" s="86"/>
      <c r="Y161" s="86"/>
      <c r="Z161" s="86"/>
      <c r="AA161" s="86"/>
      <c r="AB161" s="86"/>
      <c r="AC161" s="86"/>
      <c r="AD161" s="86"/>
      <c r="AE161" s="86"/>
    </row>
    <row r="162" spans="1:31" ht="15.75" customHeight="1">
      <c r="A162" s="3" t="s">
        <v>1765</v>
      </c>
      <c r="B162" s="3" t="s">
        <v>169</v>
      </c>
      <c r="C162" s="13" t="s">
        <v>170</v>
      </c>
      <c r="D162" s="96">
        <v>2002</v>
      </c>
      <c r="E162" s="91" t="s">
        <v>1715</v>
      </c>
      <c r="F162" s="91" t="s">
        <v>1708</v>
      </c>
      <c r="G162" s="91" t="s">
        <v>1931</v>
      </c>
      <c r="H162" s="86"/>
      <c r="I162" s="86"/>
      <c r="J162" s="86"/>
      <c r="K162" s="86"/>
      <c r="L162" s="86"/>
      <c r="M162" s="86"/>
      <c r="N162" s="86"/>
      <c r="O162" s="86"/>
      <c r="P162" s="86"/>
      <c r="Q162" s="86"/>
      <c r="R162" s="86"/>
      <c r="S162" s="86"/>
      <c r="T162" s="86"/>
      <c r="U162" s="86"/>
      <c r="V162" s="86"/>
      <c r="W162" s="86"/>
      <c r="X162" s="86"/>
      <c r="Y162" s="86"/>
      <c r="Z162" s="86"/>
      <c r="AA162" s="86"/>
      <c r="AB162" s="86"/>
      <c r="AC162" s="86"/>
      <c r="AD162" s="86"/>
      <c r="AE162" s="86"/>
    </row>
    <row r="163" spans="1:31" ht="15.75" customHeight="1">
      <c r="A163" s="3" t="s">
        <v>1765</v>
      </c>
      <c r="B163" s="109" t="s">
        <v>970</v>
      </c>
      <c r="C163" s="13" t="s">
        <v>971</v>
      </c>
      <c r="D163" s="96">
        <v>2002</v>
      </c>
      <c r="E163" s="91" t="s">
        <v>1715</v>
      </c>
      <c r="F163" s="91" t="s">
        <v>1870</v>
      </c>
      <c r="G163" s="91" t="s">
        <v>1932</v>
      </c>
      <c r="H163" s="86"/>
      <c r="I163" s="86"/>
      <c r="J163" s="86"/>
      <c r="K163" s="86"/>
      <c r="L163" s="86"/>
      <c r="M163" s="86"/>
      <c r="N163" s="86"/>
      <c r="O163" s="86"/>
      <c r="P163" s="86"/>
      <c r="Q163" s="86"/>
      <c r="R163" s="86"/>
      <c r="S163" s="86"/>
      <c r="T163" s="86"/>
      <c r="U163" s="86"/>
      <c r="V163" s="86"/>
      <c r="W163" s="86"/>
      <c r="X163" s="86"/>
      <c r="Y163" s="86"/>
      <c r="Z163" s="86"/>
      <c r="AA163" s="86"/>
      <c r="AB163" s="86"/>
      <c r="AC163" s="86"/>
      <c r="AD163" s="86"/>
      <c r="AE163" s="86"/>
    </row>
    <row r="164" spans="1:31" ht="15.75" customHeight="1">
      <c r="A164" s="3" t="s">
        <v>1765</v>
      </c>
      <c r="B164" s="86" t="s">
        <v>1186</v>
      </c>
      <c r="C164" s="13" t="s">
        <v>1187</v>
      </c>
      <c r="D164" s="96">
        <v>2002</v>
      </c>
      <c r="E164" s="91" t="s">
        <v>1707</v>
      </c>
      <c r="F164" s="91" t="s">
        <v>1870</v>
      </c>
      <c r="G164" s="91" t="s">
        <v>1933</v>
      </c>
      <c r="H164" s="86"/>
      <c r="I164" s="86"/>
      <c r="J164" s="86"/>
      <c r="K164" s="86"/>
      <c r="L164" s="86"/>
      <c r="M164" s="86"/>
      <c r="N164" s="86"/>
      <c r="O164" s="86"/>
      <c r="P164" s="86"/>
      <c r="Q164" s="86"/>
      <c r="R164" s="86"/>
      <c r="S164" s="86"/>
      <c r="T164" s="86"/>
      <c r="U164" s="86"/>
      <c r="V164" s="86"/>
      <c r="W164" s="86"/>
      <c r="X164" s="86"/>
      <c r="Y164" s="86"/>
      <c r="Z164" s="86"/>
      <c r="AA164" s="86"/>
      <c r="AB164" s="86"/>
      <c r="AC164" s="86"/>
      <c r="AD164" s="86"/>
      <c r="AE164" s="86"/>
    </row>
    <row r="165" spans="1:31" ht="15.75" customHeight="1">
      <c r="A165" s="3" t="s">
        <v>1765</v>
      </c>
      <c r="B165" s="86" t="s">
        <v>747</v>
      </c>
      <c r="C165" s="13" t="s">
        <v>748</v>
      </c>
      <c r="D165" s="96">
        <v>2002</v>
      </c>
      <c r="E165" s="91" t="s">
        <v>1707</v>
      </c>
      <c r="F165" s="91" t="s">
        <v>1870</v>
      </c>
      <c r="G165" s="91" t="s">
        <v>1934</v>
      </c>
      <c r="H165" s="86"/>
      <c r="I165" s="86"/>
      <c r="J165" s="86"/>
      <c r="K165" s="86"/>
      <c r="L165" s="86"/>
      <c r="M165" s="86"/>
      <c r="N165" s="86"/>
      <c r="O165" s="86"/>
      <c r="P165" s="86"/>
      <c r="Q165" s="86"/>
      <c r="R165" s="86"/>
      <c r="S165" s="86"/>
      <c r="T165" s="86"/>
      <c r="U165" s="86"/>
      <c r="V165" s="86"/>
      <c r="W165" s="86"/>
      <c r="X165" s="86"/>
      <c r="Y165" s="86"/>
      <c r="Z165" s="86"/>
      <c r="AA165" s="86"/>
      <c r="AB165" s="86"/>
      <c r="AC165" s="86"/>
      <c r="AD165" s="86"/>
      <c r="AE165" s="86"/>
    </row>
    <row r="166" spans="1:31" ht="15.75" customHeight="1">
      <c r="A166" s="3" t="s">
        <v>1765</v>
      </c>
      <c r="B166" s="109" t="s">
        <v>1658</v>
      </c>
      <c r="C166" s="13" t="s">
        <v>1659</v>
      </c>
      <c r="D166" s="96">
        <v>2002</v>
      </c>
      <c r="E166" s="91" t="s">
        <v>1882</v>
      </c>
      <c r="F166" s="91" t="s">
        <v>1870</v>
      </c>
      <c r="G166" s="91" t="s">
        <v>1935</v>
      </c>
      <c r="H166" s="86"/>
      <c r="I166" s="86"/>
      <c r="J166" s="86"/>
      <c r="K166" s="86"/>
      <c r="L166" s="86"/>
      <c r="M166" s="86"/>
      <c r="N166" s="86"/>
      <c r="O166" s="86"/>
      <c r="P166" s="86"/>
      <c r="Q166" s="86"/>
      <c r="R166" s="86"/>
      <c r="S166" s="86"/>
      <c r="T166" s="86"/>
      <c r="U166" s="86"/>
      <c r="V166" s="86"/>
      <c r="W166" s="86"/>
      <c r="X166" s="86"/>
      <c r="Y166" s="86"/>
      <c r="Z166" s="86"/>
      <c r="AA166" s="86"/>
      <c r="AB166" s="86"/>
      <c r="AC166" s="86"/>
      <c r="AD166" s="86"/>
      <c r="AE166" s="86"/>
    </row>
    <row r="167" spans="1:31" ht="15.75" customHeight="1">
      <c r="A167" s="3" t="s">
        <v>1765</v>
      </c>
      <c r="B167" s="109" t="s">
        <v>967</v>
      </c>
      <c r="C167" s="13" t="s">
        <v>968</v>
      </c>
      <c r="D167" s="96">
        <v>2002</v>
      </c>
      <c r="E167" s="91" t="s">
        <v>1882</v>
      </c>
      <c r="F167" s="91" t="s">
        <v>1870</v>
      </c>
      <c r="G167" s="91" t="s">
        <v>1936</v>
      </c>
      <c r="H167" s="86"/>
      <c r="I167" s="86"/>
      <c r="J167" s="86"/>
      <c r="K167" s="86"/>
      <c r="L167" s="86"/>
      <c r="M167" s="86"/>
      <c r="N167" s="86"/>
      <c r="O167" s="86"/>
      <c r="P167" s="86"/>
      <c r="Q167" s="86"/>
      <c r="R167" s="86"/>
      <c r="S167" s="86"/>
      <c r="T167" s="86"/>
      <c r="U167" s="86"/>
      <c r="V167" s="86"/>
      <c r="W167" s="86"/>
      <c r="X167" s="86"/>
      <c r="Y167" s="86"/>
      <c r="Z167" s="86"/>
      <c r="AA167" s="86"/>
      <c r="AB167" s="86"/>
      <c r="AC167" s="86"/>
      <c r="AD167" s="86"/>
      <c r="AE167" s="86"/>
    </row>
    <row r="168" spans="1:31" ht="15.75" customHeight="1">
      <c r="A168" s="3" t="s">
        <v>1765</v>
      </c>
      <c r="B168" s="86" t="s">
        <v>1661</v>
      </c>
      <c r="C168" s="13" t="s">
        <v>1662</v>
      </c>
      <c r="D168" s="96">
        <v>2002</v>
      </c>
      <c r="E168" s="91" t="s">
        <v>1707</v>
      </c>
      <c r="F168" s="91" t="s">
        <v>1870</v>
      </c>
      <c r="G168" s="91" t="s">
        <v>1937</v>
      </c>
      <c r="H168" s="86"/>
      <c r="I168" s="86"/>
      <c r="J168" s="86"/>
      <c r="K168" s="86"/>
      <c r="L168" s="86"/>
      <c r="M168" s="86"/>
      <c r="N168" s="86"/>
      <c r="O168" s="86"/>
      <c r="P168" s="86"/>
      <c r="Q168" s="86"/>
      <c r="R168" s="86"/>
      <c r="S168" s="86"/>
      <c r="T168" s="86"/>
      <c r="U168" s="86"/>
      <c r="V168" s="86"/>
      <c r="W168" s="86"/>
      <c r="X168" s="86"/>
      <c r="Y168" s="86"/>
      <c r="Z168" s="86"/>
      <c r="AA168" s="86"/>
      <c r="AB168" s="86"/>
      <c r="AC168" s="86"/>
      <c r="AD168" s="86"/>
      <c r="AE168" s="86"/>
    </row>
    <row r="169" spans="1:31" ht="15.75" customHeight="1">
      <c r="A169" s="3" t="s">
        <v>1765</v>
      </c>
      <c r="B169" s="109" t="s">
        <v>1578</v>
      </c>
      <c r="C169" s="13" t="s">
        <v>1579</v>
      </c>
      <c r="D169" s="96">
        <v>2002</v>
      </c>
      <c r="E169" s="91" t="s">
        <v>1882</v>
      </c>
      <c r="F169" s="91" t="s">
        <v>1870</v>
      </c>
      <c r="G169" s="91" t="s">
        <v>1938</v>
      </c>
      <c r="H169" s="86"/>
      <c r="I169" s="86"/>
      <c r="J169" s="86"/>
      <c r="K169" s="86"/>
      <c r="L169" s="86"/>
      <c r="M169" s="86"/>
      <c r="N169" s="86"/>
      <c r="O169" s="86"/>
      <c r="P169" s="86"/>
      <c r="Q169" s="86"/>
      <c r="R169" s="86"/>
      <c r="S169" s="86"/>
      <c r="T169" s="86"/>
      <c r="U169" s="86"/>
      <c r="V169" s="86"/>
      <c r="W169" s="86"/>
      <c r="X169" s="86"/>
      <c r="Y169" s="86"/>
      <c r="Z169" s="86"/>
      <c r="AA169" s="86"/>
      <c r="AB169" s="86"/>
      <c r="AC169" s="86"/>
      <c r="AD169" s="86"/>
      <c r="AE169" s="86"/>
    </row>
    <row r="170" spans="1:31" ht="15.75" customHeight="1">
      <c r="A170" s="3" t="s">
        <v>1765</v>
      </c>
      <c r="B170" s="109" t="s">
        <v>826</v>
      </c>
      <c r="C170" s="13" t="s">
        <v>827</v>
      </c>
      <c r="D170" s="96">
        <v>2003</v>
      </c>
      <c r="E170" s="91" t="s">
        <v>1707</v>
      </c>
      <c r="F170" s="91" t="s">
        <v>179</v>
      </c>
      <c r="G170" s="91" t="s">
        <v>1939</v>
      </c>
      <c r="H170" s="86"/>
      <c r="I170" s="86"/>
      <c r="J170" s="86"/>
      <c r="K170" s="86"/>
      <c r="L170" s="86"/>
      <c r="M170" s="86"/>
      <c r="N170" s="86"/>
      <c r="O170" s="86"/>
      <c r="P170" s="86"/>
      <c r="Q170" s="86"/>
      <c r="R170" s="86"/>
      <c r="S170" s="86"/>
      <c r="T170" s="86"/>
      <c r="U170" s="86"/>
      <c r="V170" s="86"/>
      <c r="W170" s="86"/>
      <c r="X170" s="86"/>
      <c r="Y170" s="86"/>
      <c r="Z170" s="86"/>
      <c r="AA170" s="86"/>
      <c r="AB170" s="86"/>
      <c r="AC170" s="86"/>
      <c r="AD170" s="86"/>
      <c r="AE170" s="86"/>
    </row>
    <row r="171" spans="1:31" ht="15.75" customHeight="1">
      <c r="A171" s="3" t="s">
        <v>1765</v>
      </c>
      <c r="B171" s="86" t="s">
        <v>1066</v>
      </c>
      <c r="C171" s="13" t="s">
        <v>1067</v>
      </c>
      <c r="D171" s="85">
        <v>2003</v>
      </c>
      <c r="E171" s="86" t="s">
        <v>1707</v>
      </c>
      <c r="F171" s="91" t="s">
        <v>179</v>
      </c>
      <c r="G171" s="89" t="s">
        <v>1940</v>
      </c>
      <c r="H171" s="86"/>
      <c r="I171" s="86"/>
      <c r="J171" s="86"/>
      <c r="K171" s="86"/>
      <c r="L171" s="86"/>
      <c r="M171" s="86"/>
      <c r="N171" s="86"/>
      <c r="O171" s="86"/>
      <c r="P171" s="86"/>
      <c r="Q171" s="86"/>
      <c r="R171" s="86"/>
      <c r="S171" s="86"/>
      <c r="T171" s="86"/>
      <c r="U171" s="86"/>
      <c r="V171" s="86"/>
      <c r="W171" s="86"/>
      <c r="X171" s="86"/>
      <c r="Y171" s="86"/>
      <c r="Z171" s="86"/>
      <c r="AA171" s="86"/>
      <c r="AB171" s="86"/>
      <c r="AC171" s="86"/>
      <c r="AD171" s="86"/>
      <c r="AE171" s="86"/>
    </row>
    <row r="172" spans="1:31" ht="15.75" customHeight="1">
      <c r="A172" s="3" t="s">
        <v>1765</v>
      </c>
      <c r="B172" s="86" t="s">
        <v>1495</v>
      </c>
      <c r="C172" s="13" t="s">
        <v>1496</v>
      </c>
      <c r="D172" s="85">
        <v>2003</v>
      </c>
      <c r="E172" s="86" t="s">
        <v>1715</v>
      </c>
      <c r="F172" s="86" t="s">
        <v>682</v>
      </c>
      <c r="G172" s="91" t="s">
        <v>1941</v>
      </c>
      <c r="H172" s="86"/>
      <c r="I172" s="86"/>
      <c r="J172" s="86"/>
      <c r="K172" s="86"/>
      <c r="L172" s="86"/>
      <c r="M172" s="86"/>
      <c r="N172" s="86"/>
      <c r="O172" s="86"/>
      <c r="P172" s="86"/>
      <c r="Q172" s="86"/>
      <c r="R172" s="86"/>
      <c r="S172" s="86"/>
      <c r="T172" s="86"/>
      <c r="U172" s="86"/>
      <c r="V172" s="86"/>
      <c r="W172" s="86"/>
      <c r="X172" s="86"/>
      <c r="Y172" s="86"/>
      <c r="Z172" s="86"/>
      <c r="AA172" s="86"/>
      <c r="AB172" s="86"/>
      <c r="AC172" s="86"/>
      <c r="AD172" s="86"/>
      <c r="AE172" s="86"/>
    </row>
    <row r="173" spans="1:31" ht="15.75" customHeight="1">
      <c r="A173" s="3" t="s">
        <v>1765</v>
      </c>
      <c r="B173" s="109" t="s">
        <v>361</v>
      </c>
      <c r="C173" s="13" t="s">
        <v>362</v>
      </c>
      <c r="D173" s="96">
        <v>2003</v>
      </c>
      <c r="E173" s="91" t="s">
        <v>1882</v>
      </c>
      <c r="F173" s="91" t="s">
        <v>353</v>
      </c>
      <c r="G173" s="91" t="s">
        <v>1942</v>
      </c>
      <c r="H173" s="86"/>
      <c r="I173" s="86"/>
      <c r="J173" s="86"/>
      <c r="K173" s="86"/>
      <c r="L173" s="86"/>
      <c r="M173" s="86"/>
      <c r="N173" s="86"/>
      <c r="O173" s="86"/>
      <c r="P173" s="86"/>
      <c r="Q173" s="86"/>
      <c r="R173" s="86"/>
      <c r="S173" s="86"/>
      <c r="T173" s="86"/>
      <c r="U173" s="86"/>
      <c r="V173" s="86"/>
      <c r="W173" s="86"/>
      <c r="X173" s="86"/>
      <c r="Y173" s="86"/>
      <c r="Z173" s="86"/>
      <c r="AA173" s="86"/>
      <c r="AB173" s="86"/>
      <c r="AC173" s="86"/>
      <c r="AD173" s="86"/>
      <c r="AE173" s="86"/>
    </row>
    <row r="174" spans="1:31" ht="15.75" customHeight="1">
      <c r="A174" s="3" t="s">
        <v>1765</v>
      </c>
      <c r="B174" s="86" t="s">
        <v>1943</v>
      </c>
      <c r="C174" s="92" t="s">
        <v>508</v>
      </c>
      <c r="D174" s="85">
        <v>2003</v>
      </c>
      <c r="E174" s="86" t="s">
        <v>1707</v>
      </c>
      <c r="F174" s="91" t="s">
        <v>488</v>
      </c>
      <c r="G174" s="117" t="s">
        <v>1944</v>
      </c>
      <c r="H174" s="86"/>
      <c r="I174" s="86"/>
      <c r="J174" s="86"/>
      <c r="K174" s="86"/>
      <c r="L174" s="86"/>
      <c r="M174" s="86"/>
      <c r="N174" s="86"/>
      <c r="O174" s="86"/>
      <c r="P174" s="86"/>
      <c r="Q174" s="86"/>
      <c r="R174" s="86"/>
      <c r="S174" s="86"/>
      <c r="T174" s="86"/>
      <c r="U174" s="86"/>
      <c r="V174" s="86"/>
      <c r="W174" s="86"/>
      <c r="X174" s="86"/>
      <c r="Y174" s="86"/>
      <c r="Z174" s="86"/>
      <c r="AA174" s="86"/>
      <c r="AB174" s="86"/>
      <c r="AC174" s="86"/>
      <c r="AD174" s="86"/>
      <c r="AE174" s="86"/>
    </row>
    <row r="175" spans="1:31" ht="15.75" customHeight="1">
      <c r="A175" s="3" t="s">
        <v>1765</v>
      </c>
      <c r="B175" s="109" t="s">
        <v>1574</v>
      </c>
      <c r="C175" s="13" t="s">
        <v>1575</v>
      </c>
      <c r="D175" s="96">
        <v>2003</v>
      </c>
      <c r="E175" s="91" t="s">
        <v>1882</v>
      </c>
      <c r="F175" s="91" t="s">
        <v>1870</v>
      </c>
      <c r="G175" s="91" t="s">
        <v>1945</v>
      </c>
      <c r="H175" s="86"/>
      <c r="I175" s="86"/>
      <c r="J175" s="86"/>
      <c r="K175" s="86"/>
      <c r="L175" s="86"/>
      <c r="M175" s="86"/>
      <c r="N175" s="86"/>
      <c r="O175" s="86"/>
      <c r="P175" s="86"/>
      <c r="Q175" s="86"/>
      <c r="R175" s="86"/>
      <c r="S175" s="86"/>
      <c r="T175" s="86"/>
      <c r="U175" s="86"/>
      <c r="V175" s="86"/>
      <c r="W175" s="86"/>
      <c r="X175" s="86"/>
      <c r="Y175" s="86"/>
      <c r="Z175" s="86"/>
      <c r="AA175" s="86"/>
      <c r="AB175" s="86"/>
      <c r="AC175" s="86"/>
      <c r="AD175" s="86"/>
      <c r="AE175" s="86"/>
    </row>
    <row r="176" spans="1:31" ht="15.75" customHeight="1">
      <c r="A176" s="3" t="s">
        <v>1765</v>
      </c>
      <c r="B176" s="86" t="s">
        <v>761</v>
      </c>
      <c r="C176" s="13" t="s">
        <v>762</v>
      </c>
      <c r="D176" s="96">
        <v>2003</v>
      </c>
      <c r="E176" s="91" t="s">
        <v>1882</v>
      </c>
      <c r="F176" s="91" t="s">
        <v>1870</v>
      </c>
      <c r="G176" s="91" t="s">
        <v>1946</v>
      </c>
      <c r="H176" s="86"/>
      <c r="I176" s="86"/>
      <c r="J176" s="86"/>
      <c r="K176" s="86"/>
      <c r="L176" s="86"/>
      <c r="M176" s="86"/>
      <c r="N176" s="86"/>
      <c r="O176" s="86"/>
      <c r="P176" s="86"/>
      <c r="Q176" s="86"/>
      <c r="R176" s="86"/>
      <c r="S176" s="86"/>
      <c r="T176" s="86"/>
      <c r="U176" s="86"/>
      <c r="V176" s="86"/>
      <c r="W176" s="86"/>
      <c r="X176" s="86"/>
      <c r="Y176" s="86"/>
      <c r="Z176" s="86"/>
      <c r="AA176" s="86"/>
      <c r="AB176" s="86"/>
      <c r="AC176" s="86"/>
      <c r="AD176" s="86"/>
      <c r="AE176" s="86"/>
    </row>
    <row r="177" spans="1:31" ht="15.75" customHeight="1">
      <c r="A177" s="3" t="s">
        <v>1765</v>
      </c>
      <c r="B177" s="109" t="s">
        <v>525</v>
      </c>
      <c r="C177" s="13" t="s">
        <v>526</v>
      </c>
      <c r="D177" s="96">
        <v>2003</v>
      </c>
      <c r="E177" s="91" t="s">
        <v>1707</v>
      </c>
      <c r="F177" s="91" t="s">
        <v>1870</v>
      </c>
      <c r="G177" s="91" t="s">
        <v>1947</v>
      </c>
      <c r="H177" s="86"/>
      <c r="I177" s="86"/>
      <c r="J177" s="86"/>
      <c r="K177" s="86"/>
      <c r="L177" s="86"/>
      <c r="M177" s="86"/>
      <c r="N177" s="86"/>
      <c r="O177" s="86"/>
      <c r="P177" s="86"/>
      <c r="Q177" s="86"/>
      <c r="R177" s="86"/>
      <c r="S177" s="86"/>
      <c r="T177" s="86"/>
      <c r="U177" s="86"/>
      <c r="V177" s="86"/>
      <c r="W177" s="86"/>
      <c r="X177" s="86"/>
      <c r="Y177" s="86"/>
      <c r="Z177" s="86"/>
      <c r="AA177" s="86"/>
      <c r="AB177" s="86"/>
      <c r="AC177" s="86"/>
      <c r="AD177" s="86"/>
      <c r="AE177" s="86"/>
    </row>
    <row r="178" spans="1:31" ht="15.75" customHeight="1">
      <c r="A178" s="3" t="s">
        <v>1765</v>
      </c>
      <c r="B178" s="109" t="s">
        <v>1396</v>
      </c>
      <c r="C178" s="13" t="s">
        <v>1397</v>
      </c>
      <c r="D178" s="96">
        <v>2003</v>
      </c>
      <c r="E178" s="91" t="s">
        <v>1882</v>
      </c>
      <c r="F178" s="91" t="s">
        <v>1870</v>
      </c>
      <c r="G178" s="91" t="s">
        <v>1948</v>
      </c>
      <c r="H178" s="86"/>
      <c r="I178" s="86"/>
      <c r="J178" s="86"/>
      <c r="K178" s="86"/>
      <c r="L178" s="86"/>
      <c r="M178" s="86"/>
      <c r="N178" s="86"/>
      <c r="O178" s="86"/>
      <c r="P178" s="86"/>
      <c r="Q178" s="86"/>
      <c r="R178" s="86"/>
      <c r="S178" s="86"/>
      <c r="T178" s="86"/>
      <c r="U178" s="86"/>
      <c r="V178" s="86"/>
      <c r="W178" s="86"/>
      <c r="X178" s="86"/>
      <c r="Y178" s="86"/>
      <c r="Z178" s="86"/>
      <c r="AA178" s="86"/>
      <c r="AB178" s="86"/>
      <c r="AC178" s="86"/>
      <c r="AD178" s="86"/>
      <c r="AE178" s="86"/>
    </row>
    <row r="179" spans="1:31" ht="15.75" customHeight="1">
      <c r="A179" s="3" t="s">
        <v>1765</v>
      </c>
      <c r="B179" s="109" t="s">
        <v>1686</v>
      </c>
      <c r="C179" s="13" t="s">
        <v>1687</v>
      </c>
      <c r="D179" s="96">
        <v>2003</v>
      </c>
      <c r="E179" s="91" t="s">
        <v>1707</v>
      </c>
      <c r="F179" s="91" t="s">
        <v>1870</v>
      </c>
      <c r="G179" s="91" t="s">
        <v>1949</v>
      </c>
      <c r="H179" s="86"/>
      <c r="I179" s="86"/>
      <c r="J179" s="86"/>
      <c r="K179" s="86"/>
      <c r="L179" s="86"/>
      <c r="M179" s="86"/>
      <c r="N179" s="86"/>
      <c r="O179" s="86"/>
      <c r="P179" s="86"/>
      <c r="Q179" s="86"/>
      <c r="R179" s="86"/>
      <c r="S179" s="86"/>
      <c r="T179" s="86"/>
      <c r="U179" s="86"/>
      <c r="V179" s="86"/>
      <c r="W179" s="86"/>
      <c r="X179" s="86"/>
      <c r="Y179" s="86"/>
      <c r="Z179" s="86"/>
      <c r="AA179" s="86"/>
      <c r="AB179" s="86"/>
      <c r="AC179" s="86"/>
      <c r="AD179" s="86"/>
      <c r="AE179" s="86"/>
    </row>
    <row r="180" spans="1:31" ht="16.5" customHeight="1">
      <c r="A180" s="3" t="s">
        <v>1765</v>
      </c>
      <c r="B180" s="109" t="s">
        <v>789</v>
      </c>
      <c r="C180" s="13" t="s">
        <v>790</v>
      </c>
      <c r="D180" s="96">
        <v>2003</v>
      </c>
      <c r="E180" s="91" t="s">
        <v>1707</v>
      </c>
      <c r="F180" s="91" t="s">
        <v>1870</v>
      </c>
      <c r="G180" s="91" t="s">
        <v>1950</v>
      </c>
      <c r="H180" s="86"/>
      <c r="I180" s="86"/>
      <c r="J180" s="86"/>
      <c r="K180" s="86"/>
      <c r="L180" s="86"/>
      <c r="M180" s="86"/>
      <c r="N180" s="86"/>
      <c r="O180" s="86"/>
      <c r="P180" s="86"/>
      <c r="Q180" s="86"/>
      <c r="R180" s="86"/>
      <c r="S180" s="86"/>
      <c r="T180" s="86"/>
      <c r="U180" s="86"/>
      <c r="V180" s="86"/>
      <c r="W180" s="86"/>
      <c r="X180" s="86"/>
      <c r="Y180" s="86"/>
      <c r="Z180" s="86"/>
      <c r="AA180" s="86"/>
      <c r="AB180" s="86"/>
      <c r="AC180" s="86"/>
      <c r="AD180" s="86"/>
      <c r="AE180" s="86"/>
    </row>
    <row r="181" spans="1:31" ht="15.75" customHeight="1">
      <c r="A181" s="3" t="s">
        <v>1765</v>
      </c>
      <c r="B181" s="109" t="s">
        <v>1566</v>
      </c>
      <c r="C181" s="13" t="s">
        <v>1567</v>
      </c>
      <c r="D181" s="96">
        <v>2003</v>
      </c>
      <c r="E181" s="91" t="s">
        <v>1882</v>
      </c>
      <c r="F181" s="91" t="s">
        <v>1870</v>
      </c>
      <c r="G181" s="91" t="s">
        <v>1951</v>
      </c>
      <c r="H181" s="86"/>
      <c r="I181" s="86"/>
      <c r="J181" s="86"/>
      <c r="K181" s="86"/>
      <c r="L181" s="86"/>
      <c r="M181" s="86"/>
      <c r="N181" s="86"/>
      <c r="O181" s="86"/>
      <c r="P181" s="86"/>
      <c r="Q181" s="86"/>
      <c r="R181" s="86"/>
      <c r="S181" s="86"/>
      <c r="T181" s="86"/>
      <c r="U181" s="86"/>
      <c r="V181" s="86"/>
      <c r="W181" s="86"/>
      <c r="X181" s="86"/>
      <c r="Y181" s="86"/>
      <c r="Z181" s="86"/>
      <c r="AA181" s="86"/>
      <c r="AB181" s="86"/>
      <c r="AC181" s="86"/>
      <c r="AD181" s="86"/>
      <c r="AE181" s="86"/>
    </row>
    <row r="182" spans="1:31" ht="15.75" customHeight="1">
      <c r="A182" s="3" t="s">
        <v>1765</v>
      </c>
      <c r="B182" s="109" t="s">
        <v>1231</v>
      </c>
      <c r="C182" s="13" t="s">
        <v>1232</v>
      </c>
      <c r="D182" s="96">
        <v>2004</v>
      </c>
      <c r="E182" s="91" t="s">
        <v>1707</v>
      </c>
      <c r="F182" s="91" t="s">
        <v>179</v>
      </c>
      <c r="G182" s="91" t="s">
        <v>1952</v>
      </c>
      <c r="H182" s="86"/>
      <c r="I182" s="86"/>
      <c r="J182" s="86"/>
      <c r="K182" s="86"/>
      <c r="L182" s="86"/>
      <c r="M182" s="86"/>
      <c r="N182" s="86"/>
      <c r="O182" s="86"/>
      <c r="P182" s="86"/>
      <c r="Q182" s="86"/>
      <c r="R182" s="86"/>
      <c r="S182" s="86"/>
      <c r="T182" s="86"/>
      <c r="U182" s="86"/>
      <c r="V182" s="86"/>
      <c r="W182" s="86"/>
      <c r="X182" s="86"/>
      <c r="Y182" s="86"/>
      <c r="Z182" s="86"/>
      <c r="AA182" s="86"/>
      <c r="AB182" s="86"/>
      <c r="AC182" s="86"/>
      <c r="AD182" s="86"/>
      <c r="AE182" s="86"/>
    </row>
    <row r="183" spans="1:31" ht="15.75" customHeight="1">
      <c r="A183" s="3" t="s">
        <v>1765</v>
      </c>
      <c r="B183" s="89" t="s">
        <v>838</v>
      </c>
      <c r="C183" s="13" t="s">
        <v>193</v>
      </c>
      <c r="D183" s="110">
        <v>2004</v>
      </c>
      <c r="E183" s="89" t="s">
        <v>1882</v>
      </c>
      <c r="F183" s="89" t="s">
        <v>191</v>
      </c>
      <c r="G183" s="112" t="s">
        <v>1953</v>
      </c>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row>
    <row r="184" spans="1:31" ht="15.75" customHeight="1">
      <c r="A184" s="3" t="s">
        <v>1765</v>
      </c>
      <c r="B184" s="11" t="s">
        <v>1954</v>
      </c>
      <c r="C184" s="13" t="s">
        <v>1820</v>
      </c>
      <c r="D184" s="96">
        <v>2004</v>
      </c>
      <c r="E184" s="91" t="s">
        <v>1715</v>
      </c>
      <c r="F184" s="91" t="s">
        <v>1708</v>
      </c>
      <c r="G184" s="91" t="s">
        <v>1955</v>
      </c>
      <c r="H184" s="86"/>
      <c r="I184" s="86"/>
      <c r="J184" s="86"/>
      <c r="K184" s="86"/>
      <c r="L184" s="86"/>
      <c r="M184" s="86"/>
      <c r="N184" s="86"/>
      <c r="O184" s="86"/>
      <c r="P184" s="86"/>
      <c r="Q184" s="86"/>
      <c r="R184" s="86"/>
      <c r="S184" s="86"/>
      <c r="T184" s="86"/>
      <c r="U184" s="86"/>
      <c r="V184" s="86"/>
      <c r="W184" s="86"/>
      <c r="X184" s="86"/>
      <c r="Y184" s="86"/>
      <c r="Z184" s="86"/>
      <c r="AA184" s="86"/>
      <c r="AB184" s="86"/>
      <c r="AC184" s="86"/>
      <c r="AD184" s="86"/>
      <c r="AE184" s="86"/>
    </row>
    <row r="185" spans="1:31" ht="15.75" customHeight="1">
      <c r="A185" s="3" t="s">
        <v>1765</v>
      </c>
      <c r="B185" s="89" t="s">
        <v>486</v>
      </c>
      <c r="C185" s="13" t="s">
        <v>487</v>
      </c>
      <c r="D185" s="110">
        <v>2004</v>
      </c>
      <c r="E185" s="89" t="s">
        <v>1704</v>
      </c>
      <c r="F185" s="89" t="s">
        <v>1708</v>
      </c>
      <c r="G185" s="112" t="s">
        <v>1956</v>
      </c>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row>
    <row r="186" spans="1:31" ht="15.75" customHeight="1">
      <c r="A186" s="3" t="s">
        <v>1765</v>
      </c>
      <c r="B186" s="3" t="s">
        <v>295</v>
      </c>
      <c r="C186" s="13" t="s">
        <v>296</v>
      </c>
      <c r="D186" s="96">
        <v>2004</v>
      </c>
      <c r="E186" s="91" t="s">
        <v>1882</v>
      </c>
      <c r="F186" s="91" t="s">
        <v>1708</v>
      </c>
      <c r="G186" s="91" t="s">
        <v>1957</v>
      </c>
      <c r="H186" s="86"/>
      <c r="I186" s="86"/>
      <c r="J186" s="86"/>
      <c r="K186" s="86"/>
      <c r="L186" s="86"/>
      <c r="M186" s="86"/>
      <c r="N186" s="86"/>
      <c r="O186" s="86"/>
      <c r="P186" s="86"/>
      <c r="Q186" s="86"/>
      <c r="R186" s="86"/>
      <c r="S186" s="86"/>
      <c r="T186" s="86"/>
      <c r="U186" s="86"/>
      <c r="V186" s="86"/>
      <c r="W186" s="86"/>
      <c r="X186" s="86"/>
      <c r="Y186" s="86"/>
      <c r="Z186" s="86"/>
      <c r="AA186" s="86"/>
      <c r="AB186" s="86"/>
      <c r="AC186" s="86"/>
      <c r="AD186" s="86"/>
      <c r="AE186" s="86"/>
    </row>
    <row r="187" spans="1:31" ht="15.75" customHeight="1">
      <c r="A187" s="3" t="s">
        <v>1765</v>
      </c>
      <c r="B187" s="86" t="s">
        <v>283</v>
      </c>
      <c r="C187" s="13" t="s">
        <v>284</v>
      </c>
      <c r="D187" s="96">
        <v>2004</v>
      </c>
      <c r="E187" s="91" t="s">
        <v>1715</v>
      </c>
      <c r="F187" s="91" t="s">
        <v>1708</v>
      </c>
      <c r="G187" s="91" t="s">
        <v>1958</v>
      </c>
      <c r="H187" s="86"/>
      <c r="I187" s="86"/>
      <c r="J187" s="86"/>
      <c r="K187" s="86"/>
      <c r="L187" s="86"/>
      <c r="M187" s="86"/>
      <c r="N187" s="86"/>
      <c r="O187" s="86"/>
      <c r="P187" s="86"/>
      <c r="Q187" s="86"/>
      <c r="R187" s="86"/>
      <c r="S187" s="86"/>
      <c r="T187" s="86"/>
      <c r="U187" s="86"/>
      <c r="V187" s="86"/>
      <c r="W187" s="86"/>
      <c r="X187" s="86"/>
      <c r="Y187" s="86"/>
      <c r="Z187" s="86"/>
      <c r="AA187" s="86"/>
      <c r="AB187" s="86"/>
      <c r="AC187" s="86"/>
      <c r="AD187" s="86"/>
      <c r="AE187" s="86"/>
    </row>
    <row r="188" spans="1:31" ht="15.75" customHeight="1">
      <c r="A188" s="3" t="s">
        <v>1765</v>
      </c>
      <c r="B188" s="3" t="s">
        <v>289</v>
      </c>
      <c r="C188" s="13" t="s">
        <v>290</v>
      </c>
      <c r="D188" s="96">
        <v>2004</v>
      </c>
      <c r="E188" s="91" t="s">
        <v>1707</v>
      </c>
      <c r="F188" s="91" t="s">
        <v>1708</v>
      </c>
      <c r="G188" s="91" t="s">
        <v>1959</v>
      </c>
      <c r="H188" s="86"/>
      <c r="I188" s="86"/>
      <c r="J188" s="86"/>
      <c r="K188" s="86"/>
      <c r="L188" s="86"/>
      <c r="M188" s="86"/>
      <c r="N188" s="86"/>
      <c r="O188" s="86"/>
      <c r="P188" s="86"/>
      <c r="Q188" s="86"/>
      <c r="R188" s="86"/>
      <c r="S188" s="86"/>
      <c r="T188" s="86"/>
      <c r="U188" s="86"/>
      <c r="V188" s="86"/>
      <c r="W188" s="86"/>
      <c r="X188" s="86"/>
      <c r="Y188" s="86"/>
      <c r="Z188" s="86"/>
      <c r="AA188" s="86"/>
      <c r="AB188" s="86"/>
      <c r="AC188" s="86"/>
      <c r="AD188" s="86"/>
      <c r="AE188" s="86"/>
    </row>
    <row r="189" spans="1:31" ht="15.75" customHeight="1">
      <c r="A189" s="3" t="s">
        <v>1765</v>
      </c>
      <c r="B189" s="109" t="s">
        <v>773</v>
      </c>
      <c r="C189" s="13" t="s">
        <v>1411</v>
      </c>
      <c r="D189" s="96">
        <v>2004</v>
      </c>
      <c r="E189" s="91" t="s">
        <v>1704</v>
      </c>
      <c r="F189" s="91" t="s">
        <v>1763</v>
      </c>
      <c r="G189" s="91" t="s">
        <v>1960</v>
      </c>
      <c r="H189" s="86"/>
      <c r="I189" s="86"/>
      <c r="J189" s="86"/>
      <c r="K189" s="86"/>
      <c r="L189" s="86"/>
      <c r="M189" s="86"/>
      <c r="N189" s="86"/>
      <c r="O189" s="86"/>
      <c r="P189" s="86"/>
      <c r="Q189" s="86"/>
      <c r="R189" s="86"/>
      <c r="S189" s="86"/>
      <c r="T189" s="86"/>
      <c r="U189" s="86"/>
      <c r="V189" s="86"/>
      <c r="W189" s="86"/>
      <c r="X189" s="86"/>
      <c r="Y189" s="86"/>
      <c r="Z189" s="86"/>
      <c r="AA189" s="86"/>
      <c r="AB189" s="86"/>
      <c r="AC189" s="86"/>
      <c r="AD189" s="86"/>
      <c r="AE189" s="86"/>
    </row>
    <row r="190" spans="1:31" ht="15.75" customHeight="1">
      <c r="A190" s="3" t="s">
        <v>1765</v>
      </c>
      <c r="B190" s="86" t="s">
        <v>1961</v>
      </c>
      <c r="C190" s="13" t="s">
        <v>1014</v>
      </c>
      <c r="D190" s="85">
        <v>2004</v>
      </c>
      <c r="E190" s="86" t="s">
        <v>1704</v>
      </c>
      <c r="F190" s="86" t="s">
        <v>1763</v>
      </c>
      <c r="G190" s="112" t="s">
        <v>1962</v>
      </c>
      <c r="H190" s="86"/>
      <c r="I190" s="86"/>
      <c r="J190" s="86"/>
      <c r="K190" s="86"/>
      <c r="L190" s="86"/>
      <c r="M190" s="86"/>
      <c r="N190" s="86"/>
      <c r="O190" s="86"/>
      <c r="P190" s="86"/>
      <c r="Q190" s="86"/>
      <c r="R190" s="86"/>
      <c r="S190" s="86"/>
      <c r="T190" s="86"/>
      <c r="U190" s="86"/>
      <c r="V190" s="86"/>
      <c r="W190" s="86"/>
      <c r="X190" s="86"/>
      <c r="Y190" s="86"/>
      <c r="Z190" s="86"/>
      <c r="AA190" s="86"/>
      <c r="AB190" s="86"/>
      <c r="AC190" s="86"/>
      <c r="AD190" s="86"/>
      <c r="AE190" s="86"/>
    </row>
    <row r="191" spans="1:31" ht="15.75" customHeight="1">
      <c r="A191" s="3" t="s">
        <v>1765</v>
      </c>
      <c r="B191" s="109" t="s">
        <v>1516</v>
      </c>
      <c r="C191" s="13" t="s">
        <v>1517</v>
      </c>
      <c r="D191" s="96">
        <v>2004</v>
      </c>
      <c r="E191" s="91" t="s">
        <v>1882</v>
      </c>
      <c r="F191" s="91" t="s">
        <v>116</v>
      </c>
      <c r="G191" s="91" t="s">
        <v>1963</v>
      </c>
      <c r="H191" s="86"/>
      <c r="I191" s="86"/>
      <c r="J191" s="86"/>
      <c r="K191" s="86"/>
      <c r="L191" s="86"/>
      <c r="M191" s="86"/>
      <c r="N191" s="86"/>
      <c r="O191" s="86"/>
      <c r="P191" s="86"/>
      <c r="Q191" s="86"/>
      <c r="R191" s="86"/>
      <c r="S191" s="86"/>
      <c r="T191" s="86"/>
      <c r="U191" s="86"/>
      <c r="V191" s="86"/>
      <c r="W191" s="86"/>
      <c r="X191" s="86"/>
      <c r="Y191" s="86"/>
      <c r="Z191" s="86"/>
      <c r="AA191" s="86"/>
      <c r="AB191" s="86"/>
      <c r="AC191" s="86"/>
      <c r="AD191" s="86"/>
      <c r="AE191" s="86"/>
    </row>
    <row r="192" spans="1:31" ht="15.75" customHeight="1">
      <c r="A192" s="3" t="s">
        <v>1765</v>
      </c>
      <c r="B192" s="109" t="s">
        <v>1554</v>
      </c>
      <c r="C192" s="13" t="s">
        <v>1555</v>
      </c>
      <c r="D192" s="96">
        <v>2004</v>
      </c>
      <c r="E192" s="91" t="s">
        <v>1882</v>
      </c>
      <c r="F192" s="91" t="s">
        <v>116</v>
      </c>
      <c r="G192" s="91" t="s">
        <v>1964</v>
      </c>
      <c r="H192" s="86"/>
      <c r="I192" s="86"/>
      <c r="J192" s="86"/>
      <c r="K192" s="86"/>
      <c r="L192" s="86"/>
      <c r="M192" s="86"/>
      <c r="N192" s="86"/>
      <c r="O192" s="86"/>
      <c r="P192" s="86"/>
      <c r="Q192" s="86"/>
      <c r="R192" s="86"/>
      <c r="S192" s="86"/>
      <c r="T192" s="86"/>
      <c r="U192" s="86"/>
      <c r="V192" s="86"/>
      <c r="W192" s="86"/>
      <c r="X192" s="86"/>
      <c r="Y192" s="86"/>
      <c r="Z192" s="86"/>
      <c r="AA192" s="86"/>
      <c r="AB192" s="86"/>
      <c r="AC192" s="86"/>
      <c r="AD192" s="86"/>
      <c r="AE192" s="86"/>
    </row>
    <row r="193" spans="1:31" ht="15.75" customHeight="1">
      <c r="A193" s="3" t="s">
        <v>1765</v>
      </c>
      <c r="B193" s="109" t="s">
        <v>472</v>
      </c>
      <c r="C193" s="13" t="s">
        <v>473</v>
      </c>
      <c r="D193" s="96">
        <v>2004</v>
      </c>
      <c r="E193" s="91" t="s">
        <v>1707</v>
      </c>
      <c r="F193" s="91" t="s">
        <v>116</v>
      </c>
      <c r="G193" s="91" t="s">
        <v>1965</v>
      </c>
      <c r="H193" s="86"/>
      <c r="I193" s="86"/>
      <c r="J193" s="86"/>
      <c r="K193" s="86"/>
      <c r="L193" s="86"/>
      <c r="M193" s="86"/>
      <c r="N193" s="86"/>
      <c r="O193" s="86"/>
      <c r="P193" s="86"/>
      <c r="Q193" s="86"/>
      <c r="R193" s="86"/>
      <c r="S193" s="86"/>
      <c r="T193" s="86"/>
      <c r="U193" s="86"/>
      <c r="V193" s="86"/>
      <c r="W193" s="86"/>
      <c r="X193" s="86"/>
      <c r="Y193" s="86"/>
      <c r="Z193" s="86"/>
      <c r="AA193" s="86"/>
      <c r="AB193" s="86"/>
      <c r="AC193" s="86"/>
      <c r="AD193" s="86"/>
      <c r="AE193" s="86"/>
    </row>
    <row r="194" spans="1:31" ht="15.75" customHeight="1">
      <c r="A194" s="3" t="s">
        <v>1765</v>
      </c>
      <c r="B194" s="109" t="s">
        <v>1455</v>
      </c>
      <c r="C194" s="13" t="s">
        <v>1456</v>
      </c>
      <c r="D194" s="96">
        <v>2004</v>
      </c>
      <c r="E194" s="91" t="s">
        <v>1707</v>
      </c>
      <c r="F194" s="91" t="s">
        <v>1870</v>
      </c>
      <c r="G194" s="91" t="s">
        <v>1966</v>
      </c>
      <c r="H194" s="86"/>
      <c r="I194" s="86"/>
      <c r="J194" s="86"/>
      <c r="K194" s="86"/>
      <c r="L194" s="86"/>
      <c r="M194" s="86"/>
      <c r="N194" s="86"/>
      <c r="O194" s="86"/>
      <c r="P194" s="86"/>
      <c r="Q194" s="86"/>
      <c r="R194" s="86"/>
      <c r="S194" s="86"/>
      <c r="T194" s="86"/>
      <c r="U194" s="86"/>
      <c r="V194" s="86"/>
      <c r="W194" s="86"/>
      <c r="X194" s="86"/>
      <c r="Y194" s="86"/>
      <c r="Z194" s="86"/>
      <c r="AA194" s="86"/>
      <c r="AB194" s="86"/>
      <c r="AC194" s="86"/>
      <c r="AD194" s="86"/>
      <c r="AE194" s="86"/>
    </row>
    <row r="195" spans="1:31" ht="15.75" customHeight="1">
      <c r="A195" s="3" t="s">
        <v>1765</v>
      </c>
      <c r="B195" s="92" t="s">
        <v>835</v>
      </c>
      <c r="C195" s="13" t="s">
        <v>836</v>
      </c>
      <c r="D195" s="85">
        <v>2005</v>
      </c>
      <c r="E195" s="86" t="s">
        <v>1715</v>
      </c>
      <c r="F195" s="91" t="s">
        <v>179</v>
      </c>
      <c r="G195" s="89" t="s">
        <v>1967</v>
      </c>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c r="AE195" s="86"/>
    </row>
    <row r="196" spans="1:31" ht="15.75" customHeight="1">
      <c r="A196" s="3" t="s">
        <v>1765</v>
      </c>
      <c r="B196" s="118" t="s">
        <v>1611</v>
      </c>
      <c r="C196" s="13" t="s">
        <v>1612</v>
      </c>
      <c r="D196" s="110">
        <v>2005</v>
      </c>
      <c r="E196" s="89" t="s">
        <v>1882</v>
      </c>
      <c r="F196" s="89" t="s">
        <v>179</v>
      </c>
      <c r="G196" s="112" t="s">
        <v>1968</v>
      </c>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row>
    <row r="197" spans="1:31" ht="15.75" customHeight="1">
      <c r="A197" s="3" t="s">
        <v>1765</v>
      </c>
      <c r="B197" s="86" t="s">
        <v>902</v>
      </c>
      <c r="C197" s="13" t="s">
        <v>903</v>
      </c>
      <c r="D197" s="85">
        <v>2005</v>
      </c>
      <c r="E197" s="86" t="s">
        <v>1707</v>
      </c>
      <c r="F197" s="86" t="s">
        <v>682</v>
      </c>
      <c r="G197" s="91" t="s">
        <v>1969</v>
      </c>
      <c r="H197" s="86"/>
      <c r="I197" s="86"/>
      <c r="J197" s="86"/>
      <c r="K197" s="86"/>
      <c r="L197" s="86"/>
      <c r="M197" s="86"/>
      <c r="N197" s="86"/>
      <c r="O197" s="86"/>
      <c r="P197" s="86"/>
      <c r="Q197" s="86"/>
      <c r="R197" s="86"/>
      <c r="S197" s="86"/>
      <c r="T197" s="86"/>
      <c r="U197" s="86"/>
      <c r="V197" s="86"/>
      <c r="W197" s="86"/>
      <c r="X197" s="86"/>
      <c r="Y197" s="86"/>
      <c r="Z197" s="86"/>
      <c r="AA197" s="86"/>
      <c r="AB197" s="86"/>
      <c r="AC197" s="86"/>
      <c r="AD197" s="86"/>
      <c r="AE197" s="86"/>
    </row>
    <row r="198" spans="1:31" ht="15.75" customHeight="1">
      <c r="A198" s="3" t="s">
        <v>1765</v>
      </c>
      <c r="B198" s="86" t="s">
        <v>1970</v>
      </c>
      <c r="C198" s="13" t="s">
        <v>1078</v>
      </c>
      <c r="D198" s="85">
        <v>2005</v>
      </c>
      <c r="E198" s="86" t="s">
        <v>1707</v>
      </c>
      <c r="F198" s="86" t="s">
        <v>374</v>
      </c>
      <c r="G198" s="112" t="s">
        <v>1971</v>
      </c>
      <c r="H198" s="86"/>
      <c r="I198" s="86"/>
      <c r="J198" s="86"/>
      <c r="K198" s="86"/>
      <c r="L198" s="86"/>
      <c r="M198" s="86"/>
      <c r="N198" s="86"/>
      <c r="O198" s="86"/>
      <c r="P198" s="86"/>
      <c r="Q198" s="86"/>
      <c r="R198" s="86"/>
      <c r="S198" s="86"/>
      <c r="T198" s="86"/>
      <c r="U198" s="86"/>
      <c r="V198" s="86"/>
      <c r="W198" s="86"/>
      <c r="X198" s="86"/>
      <c r="Y198" s="86"/>
      <c r="Z198" s="86"/>
      <c r="AA198" s="86"/>
      <c r="AB198" s="86"/>
      <c r="AC198" s="86"/>
      <c r="AD198" s="86"/>
      <c r="AE198" s="86"/>
    </row>
    <row r="199" spans="1:31" ht="15.75" customHeight="1">
      <c r="A199" s="3" t="s">
        <v>1765</v>
      </c>
      <c r="B199" s="109" t="s">
        <v>589</v>
      </c>
      <c r="C199" s="13" t="s">
        <v>588</v>
      </c>
      <c r="D199" s="96">
        <v>2005</v>
      </c>
      <c r="E199" s="91" t="s">
        <v>1882</v>
      </c>
      <c r="F199" s="91" t="s">
        <v>1708</v>
      </c>
      <c r="G199" s="91" t="s">
        <v>1972</v>
      </c>
      <c r="H199" s="86"/>
      <c r="I199" s="86"/>
      <c r="J199" s="86"/>
      <c r="K199" s="86"/>
      <c r="L199" s="86"/>
      <c r="M199" s="86"/>
      <c r="N199" s="86"/>
      <c r="O199" s="86"/>
      <c r="P199" s="86"/>
      <c r="Q199" s="86"/>
      <c r="R199" s="86"/>
      <c r="S199" s="86"/>
      <c r="T199" s="86"/>
      <c r="U199" s="86"/>
      <c r="V199" s="86"/>
      <c r="W199" s="86"/>
      <c r="X199" s="86"/>
      <c r="Y199" s="86"/>
      <c r="Z199" s="86"/>
      <c r="AA199" s="86"/>
      <c r="AB199" s="86"/>
      <c r="AC199" s="86"/>
      <c r="AD199" s="86"/>
      <c r="AE199" s="86"/>
    </row>
    <row r="200" spans="1:31" ht="15.75" customHeight="1">
      <c r="A200" s="3" t="s">
        <v>1765</v>
      </c>
      <c r="B200" s="3" t="s">
        <v>429</v>
      </c>
      <c r="C200" s="13" t="s">
        <v>430</v>
      </c>
      <c r="D200" s="96">
        <v>2005</v>
      </c>
      <c r="E200" s="91" t="s">
        <v>1707</v>
      </c>
      <c r="F200" s="91" t="s">
        <v>1708</v>
      </c>
      <c r="G200" s="91" t="s">
        <v>1973</v>
      </c>
      <c r="H200" s="86"/>
      <c r="I200" s="86"/>
      <c r="J200" s="86"/>
      <c r="K200" s="86"/>
      <c r="L200" s="86"/>
      <c r="M200" s="86"/>
      <c r="N200" s="86"/>
      <c r="O200" s="86"/>
      <c r="P200" s="86"/>
      <c r="Q200" s="86"/>
      <c r="R200" s="86"/>
      <c r="S200" s="86"/>
      <c r="T200" s="86"/>
      <c r="U200" s="86"/>
      <c r="V200" s="86"/>
      <c r="W200" s="86"/>
      <c r="X200" s="86"/>
      <c r="Y200" s="86"/>
      <c r="Z200" s="86"/>
      <c r="AA200" s="86"/>
      <c r="AB200" s="86"/>
      <c r="AC200" s="86"/>
      <c r="AD200" s="86"/>
      <c r="AE200" s="86"/>
    </row>
    <row r="201" spans="1:31" ht="15.75" customHeight="1">
      <c r="A201" s="3" t="s">
        <v>1765</v>
      </c>
      <c r="B201" s="89" t="s">
        <v>1974</v>
      </c>
      <c r="C201" s="13" t="s">
        <v>424</v>
      </c>
      <c r="D201" s="110">
        <v>2005</v>
      </c>
      <c r="E201" s="89" t="s">
        <v>1707</v>
      </c>
      <c r="F201" s="89" t="s">
        <v>417</v>
      </c>
      <c r="G201" s="112" t="s">
        <v>1975</v>
      </c>
      <c r="H201" s="89"/>
      <c r="I201" s="89"/>
      <c r="J201" s="89"/>
      <c r="K201" s="89"/>
      <c r="L201" s="89"/>
      <c r="M201" s="89"/>
      <c r="N201" s="89"/>
      <c r="O201" s="89"/>
      <c r="P201" s="89"/>
      <c r="Q201" s="89"/>
      <c r="R201" s="89"/>
      <c r="S201" s="89"/>
      <c r="T201" s="89"/>
      <c r="U201" s="89"/>
      <c r="V201" s="89"/>
      <c r="W201" s="89"/>
      <c r="X201" s="89"/>
      <c r="Y201" s="89"/>
      <c r="Z201" s="89"/>
      <c r="AA201" s="89"/>
      <c r="AB201" s="89"/>
      <c r="AC201" s="89"/>
      <c r="AD201" s="89"/>
      <c r="AE201" s="89"/>
    </row>
    <row r="202" spans="1:31" ht="15.75" customHeight="1">
      <c r="A202" s="3" t="s">
        <v>1765</v>
      </c>
      <c r="B202" s="109" t="s">
        <v>730</v>
      </c>
      <c r="C202" s="13" t="s">
        <v>731</v>
      </c>
      <c r="D202" s="96">
        <v>2005</v>
      </c>
      <c r="E202" s="91" t="s">
        <v>1882</v>
      </c>
      <c r="F202" s="91" t="s">
        <v>116</v>
      </c>
      <c r="G202" s="91" t="s">
        <v>1976</v>
      </c>
      <c r="H202" s="86"/>
      <c r="I202" s="86"/>
      <c r="J202" s="86"/>
      <c r="K202" s="86"/>
      <c r="L202" s="86"/>
      <c r="M202" s="86"/>
      <c r="N202" s="86"/>
      <c r="O202" s="86"/>
      <c r="P202" s="86"/>
      <c r="Q202" s="86"/>
      <c r="R202" s="86"/>
      <c r="S202" s="86"/>
      <c r="T202" s="86"/>
      <c r="U202" s="86"/>
      <c r="V202" s="86"/>
      <c r="W202" s="86"/>
      <c r="X202" s="86"/>
      <c r="Y202" s="86"/>
      <c r="Z202" s="86"/>
      <c r="AA202" s="86"/>
      <c r="AB202" s="86"/>
      <c r="AC202" s="86"/>
      <c r="AD202" s="86"/>
      <c r="AE202" s="86"/>
    </row>
    <row r="203" spans="1:31" ht="15.75" customHeight="1">
      <c r="A203" s="3" t="s">
        <v>1765</v>
      </c>
      <c r="B203" s="11" t="s">
        <v>1536</v>
      </c>
      <c r="C203" s="13" t="s">
        <v>1537</v>
      </c>
      <c r="D203" s="96">
        <v>2005</v>
      </c>
      <c r="E203" s="91" t="s">
        <v>1707</v>
      </c>
      <c r="F203" s="91" t="s">
        <v>116</v>
      </c>
      <c r="G203" s="91" t="s">
        <v>1977</v>
      </c>
      <c r="H203" s="86"/>
      <c r="I203" s="86"/>
      <c r="J203" s="86"/>
      <c r="K203" s="86"/>
      <c r="L203" s="86"/>
      <c r="M203" s="86"/>
      <c r="N203" s="86"/>
      <c r="O203" s="86"/>
      <c r="P203" s="86"/>
      <c r="Q203" s="86"/>
      <c r="R203" s="86"/>
      <c r="S203" s="86"/>
      <c r="T203" s="86"/>
      <c r="U203" s="86"/>
      <c r="V203" s="86"/>
      <c r="W203" s="86"/>
      <c r="X203" s="86"/>
      <c r="Y203" s="86"/>
      <c r="Z203" s="86"/>
      <c r="AA203" s="86"/>
      <c r="AB203" s="86"/>
      <c r="AC203" s="86"/>
      <c r="AD203" s="86"/>
      <c r="AE203" s="86"/>
    </row>
    <row r="204" spans="1:31" ht="15.75" customHeight="1">
      <c r="A204" s="3" t="s">
        <v>1765</v>
      </c>
      <c r="B204" s="3" t="s">
        <v>529</v>
      </c>
      <c r="C204" s="13" t="s">
        <v>530</v>
      </c>
      <c r="D204" s="96">
        <v>2005</v>
      </c>
      <c r="E204" s="91" t="s">
        <v>1707</v>
      </c>
      <c r="F204" s="91" t="s">
        <v>1870</v>
      </c>
      <c r="G204" s="91" t="s">
        <v>1978</v>
      </c>
      <c r="H204" s="86"/>
      <c r="I204" s="86"/>
      <c r="J204" s="86"/>
      <c r="K204" s="86"/>
      <c r="L204" s="86"/>
      <c r="M204" s="86"/>
      <c r="N204" s="86"/>
      <c r="O204" s="86"/>
      <c r="P204" s="86"/>
      <c r="Q204" s="86"/>
      <c r="R204" s="86"/>
      <c r="S204" s="86"/>
      <c r="T204" s="86"/>
      <c r="U204" s="86"/>
      <c r="V204" s="86"/>
      <c r="W204" s="86"/>
      <c r="X204" s="86"/>
      <c r="Y204" s="86"/>
      <c r="Z204" s="86"/>
      <c r="AA204" s="86"/>
      <c r="AB204" s="86"/>
      <c r="AC204" s="86"/>
      <c r="AD204" s="86"/>
      <c r="AE204" s="86"/>
    </row>
    <row r="205" spans="1:31" ht="15.75" customHeight="1">
      <c r="A205" s="3" t="s">
        <v>1765</v>
      </c>
      <c r="B205" s="109" t="s">
        <v>1210</v>
      </c>
      <c r="C205" s="13" t="s">
        <v>1211</v>
      </c>
      <c r="D205" s="96">
        <v>2005</v>
      </c>
      <c r="E205" s="91" t="s">
        <v>1707</v>
      </c>
      <c r="F205" s="91" t="s">
        <v>1870</v>
      </c>
      <c r="G205" s="91" t="s">
        <v>1979</v>
      </c>
      <c r="H205" s="86"/>
      <c r="I205" s="86"/>
      <c r="J205" s="86"/>
      <c r="K205" s="86"/>
      <c r="L205" s="86"/>
      <c r="M205" s="86"/>
      <c r="N205" s="86"/>
      <c r="O205" s="86"/>
      <c r="P205" s="86"/>
      <c r="Q205" s="86"/>
      <c r="R205" s="86"/>
      <c r="S205" s="86"/>
      <c r="T205" s="86"/>
      <c r="U205" s="86"/>
      <c r="V205" s="86"/>
      <c r="W205" s="86"/>
      <c r="X205" s="86"/>
      <c r="Y205" s="86"/>
      <c r="Z205" s="86"/>
      <c r="AA205" s="86"/>
      <c r="AB205" s="86"/>
      <c r="AC205" s="86"/>
      <c r="AD205" s="86"/>
      <c r="AE205" s="86"/>
    </row>
    <row r="206" spans="1:31" ht="15.75" customHeight="1">
      <c r="A206" s="3" t="s">
        <v>1765</v>
      </c>
      <c r="B206" s="109" t="s">
        <v>1202</v>
      </c>
      <c r="C206" s="13" t="s">
        <v>1203</v>
      </c>
      <c r="D206" s="96">
        <v>2005</v>
      </c>
      <c r="E206" s="91" t="s">
        <v>1707</v>
      </c>
      <c r="F206" s="91" t="s">
        <v>1870</v>
      </c>
      <c r="G206" s="91" t="s">
        <v>1980</v>
      </c>
      <c r="H206" s="86"/>
      <c r="I206" s="86"/>
      <c r="J206" s="86"/>
      <c r="K206" s="86"/>
      <c r="L206" s="86"/>
      <c r="M206" s="86"/>
      <c r="N206" s="86"/>
      <c r="O206" s="86"/>
      <c r="P206" s="86"/>
      <c r="Q206" s="86"/>
      <c r="R206" s="86"/>
      <c r="S206" s="86"/>
      <c r="T206" s="86"/>
      <c r="U206" s="86"/>
      <c r="V206" s="86"/>
      <c r="W206" s="86"/>
      <c r="X206" s="86"/>
      <c r="Y206" s="86"/>
      <c r="Z206" s="86"/>
      <c r="AA206" s="86"/>
      <c r="AB206" s="86"/>
      <c r="AC206" s="86"/>
      <c r="AD206" s="86"/>
      <c r="AE206" s="86"/>
    </row>
    <row r="207" spans="1:31" ht="15.75" customHeight="1">
      <c r="A207" s="3" t="s">
        <v>1765</v>
      </c>
      <c r="B207" s="109" t="s">
        <v>1439</v>
      </c>
      <c r="C207" s="13" t="s">
        <v>1440</v>
      </c>
      <c r="D207" s="96">
        <v>2005</v>
      </c>
      <c r="E207" s="91" t="s">
        <v>1707</v>
      </c>
      <c r="F207" s="91" t="s">
        <v>1870</v>
      </c>
      <c r="G207" s="91" t="s">
        <v>1981</v>
      </c>
      <c r="H207" s="86"/>
      <c r="I207" s="86"/>
      <c r="J207" s="86"/>
      <c r="K207" s="86"/>
      <c r="L207" s="86"/>
      <c r="M207" s="86"/>
      <c r="N207" s="86"/>
      <c r="O207" s="86"/>
      <c r="P207" s="86"/>
      <c r="Q207" s="86"/>
      <c r="R207" s="86"/>
      <c r="S207" s="86"/>
      <c r="T207" s="86"/>
      <c r="U207" s="86"/>
      <c r="V207" s="86"/>
      <c r="W207" s="86"/>
      <c r="X207" s="86"/>
      <c r="Y207" s="86"/>
      <c r="Z207" s="86"/>
      <c r="AA207" s="86"/>
      <c r="AB207" s="86"/>
      <c r="AC207" s="86"/>
      <c r="AD207" s="86"/>
      <c r="AE207" s="86"/>
    </row>
    <row r="208" spans="1:31" ht="15.75" customHeight="1">
      <c r="A208" s="3" t="s">
        <v>1765</v>
      </c>
      <c r="B208" s="109" t="s">
        <v>954</v>
      </c>
      <c r="C208" s="13" t="s">
        <v>955</v>
      </c>
      <c r="D208" s="96">
        <v>2005</v>
      </c>
      <c r="E208" s="91" t="s">
        <v>1707</v>
      </c>
      <c r="F208" s="91" t="s">
        <v>1870</v>
      </c>
      <c r="G208" s="91" t="s">
        <v>1982</v>
      </c>
      <c r="H208" s="86"/>
      <c r="I208" s="86"/>
      <c r="J208" s="86"/>
      <c r="K208" s="86"/>
      <c r="L208" s="86"/>
      <c r="M208" s="86"/>
      <c r="N208" s="86"/>
      <c r="O208" s="86"/>
      <c r="P208" s="86"/>
      <c r="Q208" s="86"/>
      <c r="R208" s="86"/>
      <c r="S208" s="86"/>
      <c r="T208" s="86"/>
      <c r="U208" s="86"/>
      <c r="V208" s="86"/>
      <c r="W208" s="86"/>
      <c r="X208" s="86"/>
      <c r="Y208" s="86"/>
      <c r="Z208" s="86"/>
      <c r="AA208" s="86"/>
      <c r="AB208" s="86"/>
      <c r="AC208" s="86"/>
      <c r="AD208" s="86"/>
      <c r="AE208" s="86"/>
    </row>
    <row r="209" spans="1:31" ht="15.75" customHeight="1">
      <c r="A209" s="3" t="s">
        <v>1765</v>
      </c>
      <c r="B209" s="109" t="s">
        <v>1090</v>
      </c>
      <c r="C209" s="13" t="s">
        <v>1091</v>
      </c>
      <c r="D209" s="96">
        <v>2006</v>
      </c>
      <c r="E209" s="91" t="s">
        <v>1707</v>
      </c>
      <c r="F209" s="91" t="s">
        <v>1846</v>
      </c>
      <c r="G209" s="91" t="s">
        <v>1983</v>
      </c>
      <c r="H209" s="86"/>
      <c r="I209" s="86"/>
      <c r="J209" s="86"/>
      <c r="K209" s="86"/>
      <c r="L209" s="86"/>
      <c r="M209" s="86"/>
      <c r="N209" s="86"/>
      <c r="O209" s="86"/>
      <c r="P209" s="86"/>
      <c r="Q209" s="86"/>
      <c r="R209" s="86"/>
      <c r="S209" s="86"/>
      <c r="T209" s="86"/>
      <c r="U209" s="86"/>
      <c r="V209" s="86"/>
      <c r="W209" s="86"/>
      <c r="X209" s="86"/>
      <c r="Y209" s="86"/>
      <c r="Z209" s="86"/>
      <c r="AA209" s="86"/>
      <c r="AB209" s="86"/>
      <c r="AC209" s="86"/>
      <c r="AD209" s="86"/>
      <c r="AE209" s="86"/>
    </row>
    <row r="210" spans="1:31" ht="15.75" customHeight="1">
      <c r="A210" s="3" t="s">
        <v>1765</v>
      </c>
      <c r="B210" s="3" t="s">
        <v>285</v>
      </c>
      <c r="C210" s="13" t="s">
        <v>286</v>
      </c>
      <c r="D210" s="96">
        <v>2006</v>
      </c>
      <c r="E210" s="91" t="s">
        <v>1707</v>
      </c>
      <c r="F210" s="91" t="s">
        <v>1708</v>
      </c>
      <c r="G210" s="91" t="s">
        <v>1984</v>
      </c>
      <c r="H210" s="86"/>
      <c r="I210" s="86"/>
      <c r="J210" s="86"/>
      <c r="K210" s="86"/>
      <c r="L210" s="86"/>
      <c r="M210" s="86"/>
      <c r="N210" s="86"/>
      <c r="O210" s="86"/>
      <c r="P210" s="86"/>
      <c r="Q210" s="86"/>
      <c r="R210" s="86"/>
      <c r="S210" s="86"/>
      <c r="T210" s="86"/>
      <c r="U210" s="86"/>
      <c r="V210" s="86"/>
      <c r="W210" s="86"/>
      <c r="X210" s="86"/>
      <c r="Y210" s="86"/>
      <c r="Z210" s="86"/>
      <c r="AA210" s="86"/>
      <c r="AB210" s="86"/>
      <c r="AC210" s="86"/>
      <c r="AD210" s="86"/>
      <c r="AE210" s="86"/>
    </row>
    <row r="211" spans="1:31" ht="15.75" customHeight="1">
      <c r="A211" s="3" t="s">
        <v>1765</v>
      </c>
      <c r="B211" s="109" t="s">
        <v>1550</v>
      </c>
      <c r="C211" s="13" t="s">
        <v>1551</v>
      </c>
      <c r="D211" s="96">
        <v>2006</v>
      </c>
      <c r="E211" s="91" t="s">
        <v>1882</v>
      </c>
      <c r="F211" s="91" t="s">
        <v>116</v>
      </c>
      <c r="G211" s="91" t="s">
        <v>1985</v>
      </c>
      <c r="H211" s="86"/>
      <c r="I211" s="86"/>
      <c r="J211" s="86"/>
      <c r="K211" s="86"/>
      <c r="L211" s="86"/>
      <c r="M211" s="86"/>
      <c r="N211" s="86"/>
      <c r="O211" s="86"/>
      <c r="P211" s="86"/>
      <c r="Q211" s="86"/>
      <c r="R211" s="86"/>
      <c r="S211" s="86"/>
      <c r="T211" s="86"/>
      <c r="U211" s="86"/>
      <c r="V211" s="86"/>
      <c r="W211" s="86"/>
      <c r="X211" s="86"/>
      <c r="Y211" s="86"/>
      <c r="Z211" s="86"/>
      <c r="AA211" s="86"/>
      <c r="AB211" s="86"/>
      <c r="AC211" s="86"/>
      <c r="AD211" s="86"/>
      <c r="AE211" s="86"/>
    </row>
    <row r="212" spans="1:31" ht="15.75" customHeight="1">
      <c r="A212" s="3" t="s">
        <v>1765</v>
      </c>
      <c r="B212" s="11" t="s">
        <v>469</v>
      </c>
      <c r="C212" s="13" t="s">
        <v>1527</v>
      </c>
      <c r="D212" s="96">
        <v>2006</v>
      </c>
      <c r="E212" s="91" t="s">
        <v>1882</v>
      </c>
      <c r="F212" s="91" t="s">
        <v>116</v>
      </c>
      <c r="G212" s="91" t="s">
        <v>1986</v>
      </c>
      <c r="H212" s="86"/>
      <c r="I212" s="86"/>
      <c r="J212" s="86"/>
      <c r="K212" s="86"/>
      <c r="L212" s="86"/>
      <c r="M212" s="86"/>
      <c r="N212" s="86"/>
      <c r="O212" s="86"/>
      <c r="P212" s="86"/>
      <c r="Q212" s="86"/>
      <c r="R212" s="86"/>
      <c r="S212" s="86"/>
      <c r="T212" s="86"/>
      <c r="U212" s="86"/>
      <c r="V212" s="86"/>
      <c r="W212" s="86"/>
      <c r="X212" s="86"/>
      <c r="Y212" s="86"/>
      <c r="Z212" s="86"/>
      <c r="AA212" s="86"/>
      <c r="AB212" s="86"/>
      <c r="AC212" s="86"/>
      <c r="AD212" s="86"/>
      <c r="AE212" s="86"/>
    </row>
    <row r="213" spans="1:31" ht="15.75" customHeight="1">
      <c r="A213" s="3" t="s">
        <v>1765</v>
      </c>
      <c r="B213" s="109" t="s">
        <v>1558</v>
      </c>
      <c r="C213" s="13" t="s">
        <v>1559</v>
      </c>
      <c r="D213" s="96">
        <v>2006</v>
      </c>
      <c r="E213" s="91" t="s">
        <v>1882</v>
      </c>
      <c r="F213" s="91" t="s">
        <v>1870</v>
      </c>
      <c r="G213" s="91" t="s">
        <v>1987</v>
      </c>
      <c r="H213" s="86"/>
      <c r="I213" s="86"/>
      <c r="J213" s="86"/>
      <c r="K213" s="86"/>
      <c r="L213" s="86"/>
      <c r="M213" s="86"/>
      <c r="N213" s="86"/>
      <c r="O213" s="86"/>
      <c r="P213" s="86"/>
      <c r="Q213" s="86"/>
      <c r="R213" s="86"/>
      <c r="S213" s="86"/>
      <c r="T213" s="86"/>
      <c r="U213" s="86"/>
      <c r="V213" s="86"/>
      <c r="W213" s="86"/>
      <c r="X213" s="86"/>
      <c r="Y213" s="86"/>
      <c r="Z213" s="86"/>
      <c r="AA213" s="86"/>
      <c r="AB213" s="86"/>
      <c r="AC213" s="86"/>
      <c r="AD213" s="86"/>
      <c r="AE213" s="86"/>
    </row>
    <row r="214" spans="1:31" ht="15.75" customHeight="1">
      <c r="A214" s="3" t="s">
        <v>1765</v>
      </c>
      <c r="B214" s="109" t="s">
        <v>784</v>
      </c>
      <c r="C214" s="13" t="s">
        <v>785</v>
      </c>
      <c r="D214" s="96">
        <v>2006</v>
      </c>
      <c r="E214" s="91" t="s">
        <v>1707</v>
      </c>
      <c r="F214" s="91" t="s">
        <v>1870</v>
      </c>
      <c r="G214" s="91" t="s">
        <v>1988</v>
      </c>
      <c r="H214" s="86"/>
      <c r="I214" s="86"/>
      <c r="J214" s="86"/>
      <c r="K214" s="86"/>
      <c r="L214" s="86"/>
      <c r="M214" s="86"/>
      <c r="N214" s="86"/>
      <c r="O214" s="86"/>
      <c r="P214" s="86"/>
      <c r="Q214" s="86"/>
      <c r="R214" s="86"/>
      <c r="S214" s="86"/>
      <c r="T214" s="86"/>
      <c r="U214" s="86"/>
      <c r="V214" s="86"/>
      <c r="W214" s="86"/>
      <c r="X214" s="86"/>
      <c r="Y214" s="86"/>
      <c r="Z214" s="86"/>
      <c r="AA214" s="86"/>
      <c r="AB214" s="86"/>
      <c r="AC214" s="86"/>
      <c r="AD214" s="86"/>
      <c r="AE214" s="86"/>
    </row>
    <row r="215" spans="1:31" ht="15.75" customHeight="1">
      <c r="A215" s="3" t="s">
        <v>1765</v>
      </c>
      <c r="B215" s="109" t="s">
        <v>1989</v>
      </c>
      <c r="C215" s="13" t="s">
        <v>794</v>
      </c>
      <c r="D215" s="96">
        <v>2006</v>
      </c>
      <c r="E215" s="91" t="s">
        <v>1882</v>
      </c>
      <c r="F215" s="91" t="s">
        <v>1870</v>
      </c>
      <c r="G215" s="91" t="s">
        <v>1990</v>
      </c>
      <c r="H215" s="86"/>
      <c r="I215" s="86"/>
      <c r="J215" s="86"/>
      <c r="K215" s="86"/>
      <c r="L215" s="86"/>
      <c r="M215" s="86"/>
      <c r="N215" s="86"/>
      <c r="O215" s="86"/>
      <c r="P215" s="86"/>
      <c r="Q215" s="86"/>
      <c r="R215" s="86"/>
      <c r="S215" s="86"/>
      <c r="T215" s="86"/>
      <c r="U215" s="86"/>
      <c r="V215" s="86"/>
      <c r="W215" s="86"/>
      <c r="X215" s="86"/>
      <c r="Y215" s="86"/>
      <c r="Z215" s="86"/>
      <c r="AA215" s="86"/>
      <c r="AB215" s="86"/>
      <c r="AC215" s="86"/>
      <c r="AD215" s="86"/>
      <c r="AE215" s="86"/>
    </row>
    <row r="216" spans="1:31" ht="15.75" customHeight="1">
      <c r="A216" s="3" t="s">
        <v>1765</v>
      </c>
      <c r="B216" s="109" t="s">
        <v>1991</v>
      </c>
      <c r="C216" s="13" t="s">
        <v>1665</v>
      </c>
      <c r="D216" s="96">
        <v>2006</v>
      </c>
      <c r="E216" s="91" t="s">
        <v>1882</v>
      </c>
      <c r="F216" s="91" t="s">
        <v>1870</v>
      </c>
      <c r="G216" s="91" t="s">
        <v>1992</v>
      </c>
      <c r="H216" s="86"/>
      <c r="I216" s="86"/>
      <c r="J216" s="86"/>
      <c r="K216" s="86"/>
      <c r="L216" s="86"/>
      <c r="M216" s="86"/>
      <c r="N216" s="86"/>
      <c r="O216" s="86"/>
      <c r="P216" s="86"/>
      <c r="Q216" s="86"/>
      <c r="R216" s="86"/>
      <c r="S216" s="86"/>
      <c r="T216" s="86"/>
      <c r="U216" s="86"/>
      <c r="V216" s="86"/>
      <c r="W216" s="86"/>
      <c r="X216" s="86"/>
      <c r="Y216" s="86"/>
      <c r="Z216" s="86"/>
      <c r="AA216" s="86"/>
      <c r="AB216" s="86"/>
      <c r="AC216" s="86"/>
      <c r="AD216" s="86"/>
      <c r="AE216" s="86"/>
    </row>
    <row r="217" spans="1:31" ht="15.75" customHeight="1">
      <c r="A217" s="3" t="s">
        <v>1765</v>
      </c>
      <c r="B217" s="109" t="s">
        <v>1163</v>
      </c>
      <c r="C217" s="13" t="s">
        <v>1164</v>
      </c>
      <c r="D217" s="96">
        <v>2006</v>
      </c>
      <c r="E217" s="91" t="s">
        <v>1707</v>
      </c>
      <c r="F217" s="91" t="s">
        <v>1870</v>
      </c>
      <c r="G217" s="91" t="s">
        <v>1993</v>
      </c>
      <c r="H217" s="86"/>
      <c r="I217" s="86"/>
      <c r="J217" s="86"/>
      <c r="K217" s="86"/>
      <c r="L217" s="86"/>
      <c r="M217" s="86"/>
      <c r="N217" s="86"/>
      <c r="O217" s="86"/>
      <c r="P217" s="86"/>
      <c r="Q217" s="86"/>
      <c r="R217" s="86"/>
      <c r="S217" s="86"/>
      <c r="T217" s="86"/>
      <c r="U217" s="86"/>
      <c r="V217" s="86"/>
      <c r="W217" s="86"/>
      <c r="X217" s="86"/>
      <c r="Y217" s="86"/>
      <c r="Z217" s="86"/>
      <c r="AA217" s="86"/>
      <c r="AB217" s="86"/>
      <c r="AC217" s="86"/>
      <c r="AD217" s="86"/>
      <c r="AE217" s="86"/>
    </row>
    <row r="218" spans="1:31" ht="18.75" customHeight="1">
      <c r="A218" s="3" t="s">
        <v>1765</v>
      </c>
      <c r="B218" s="3" t="s">
        <v>567</v>
      </c>
      <c r="C218" s="13" t="s">
        <v>568</v>
      </c>
      <c r="D218" s="96">
        <v>2006</v>
      </c>
      <c r="E218" s="91" t="s">
        <v>1882</v>
      </c>
      <c r="F218" s="91" t="s">
        <v>566</v>
      </c>
      <c r="G218" s="91" t="s">
        <v>1994</v>
      </c>
      <c r="H218" s="86"/>
      <c r="I218" s="86"/>
      <c r="J218" s="86"/>
      <c r="K218" s="86"/>
      <c r="L218" s="86"/>
      <c r="M218" s="86"/>
      <c r="N218" s="86"/>
      <c r="O218" s="86"/>
      <c r="P218" s="86"/>
      <c r="Q218" s="86"/>
      <c r="R218" s="86"/>
      <c r="S218" s="86"/>
      <c r="T218" s="86"/>
      <c r="U218" s="86"/>
      <c r="V218" s="86"/>
      <c r="W218" s="86"/>
      <c r="X218" s="86"/>
      <c r="Y218" s="86"/>
      <c r="Z218" s="86"/>
      <c r="AA218" s="86"/>
      <c r="AB218" s="86"/>
      <c r="AC218" s="86"/>
      <c r="AD218" s="86"/>
      <c r="AE218" s="86"/>
    </row>
    <row r="219" spans="1:31" ht="16.5" customHeight="1">
      <c r="A219" s="3" t="s">
        <v>1765</v>
      </c>
      <c r="B219" s="109" t="s">
        <v>843</v>
      </c>
      <c r="C219" s="13" t="s">
        <v>844</v>
      </c>
      <c r="D219" s="96">
        <v>2007</v>
      </c>
      <c r="E219" s="91" t="s">
        <v>1707</v>
      </c>
      <c r="F219" s="91" t="s">
        <v>191</v>
      </c>
      <c r="G219" s="91" t="s">
        <v>1995</v>
      </c>
      <c r="H219" s="86"/>
      <c r="I219" s="86"/>
      <c r="J219" s="86"/>
      <c r="K219" s="86"/>
      <c r="L219" s="86"/>
      <c r="M219" s="86"/>
      <c r="N219" s="86"/>
      <c r="O219" s="86"/>
      <c r="P219" s="86"/>
      <c r="Q219" s="86"/>
      <c r="R219" s="86"/>
      <c r="S219" s="86"/>
      <c r="T219" s="86"/>
      <c r="U219" s="86"/>
      <c r="V219" s="86"/>
      <c r="W219" s="86"/>
      <c r="X219" s="86"/>
      <c r="Y219" s="86"/>
      <c r="Z219" s="86"/>
      <c r="AA219" s="86"/>
      <c r="AB219" s="86"/>
      <c r="AC219" s="86"/>
      <c r="AD219" s="86"/>
      <c r="AE219" s="86"/>
    </row>
    <row r="220" spans="1:31" ht="16.5" customHeight="1">
      <c r="A220" s="3" t="s">
        <v>1765</v>
      </c>
      <c r="B220" s="3" t="s">
        <v>237</v>
      </c>
      <c r="C220" s="13" t="s">
        <v>238</v>
      </c>
      <c r="D220" s="96">
        <v>2007</v>
      </c>
      <c r="E220" s="91" t="s">
        <v>1707</v>
      </c>
      <c r="F220" s="91" t="s">
        <v>191</v>
      </c>
      <c r="G220" s="91" t="s">
        <v>1996</v>
      </c>
      <c r="H220" s="86"/>
      <c r="I220" s="86"/>
      <c r="J220" s="86"/>
      <c r="K220" s="86"/>
      <c r="L220" s="86"/>
      <c r="M220" s="86"/>
      <c r="N220" s="86"/>
      <c r="O220" s="86"/>
      <c r="P220" s="86"/>
      <c r="Q220" s="86"/>
      <c r="R220" s="86"/>
      <c r="S220" s="86"/>
      <c r="T220" s="86"/>
      <c r="U220" s="86"/>
      <c r="V220" s="86"/>
      <c r="W220" s="86"/>
      <c r="X220" s="86"/>
      <c r="Y220" s="86"/>
      <c r="Z220" s="86"/>
      <c r="AA220" s="86"/>
      <c r="AB220" s="86"/>
      <c r="AC220" s="86"/>
      <c r="AD220" s="86"/>
      <c r="AE220" s="86"/>
    </row>
    <row r="221" spans="1:31" ht="15.75" customHeight="1">
      <c r="A221" s="3" t="s">
        <v>1765</v>
      </c>
      <c r="B221" s="109" t="s">
        <v>846</v>
      </c>
      <c r="C221" s="13" t="s">
        <v>847</v>
      </c>
      <c r="D221" s="96">
        <v>2007</v>
      </c>
      <c r="E221" s="91" t="s">
        <v>1882</v>
      </c>
      <c r="F221" s="91" t="s">
        <v>191</v>
      </c>
      <c r="G221" s="91" t="s">
        <v>1997</v>
      </c>
      <c r="H221" s="86"/>
      <c r="I221" s="86"/>
      <c r="J221" s="86"/>
      <c r="K221" s="86"/>
      <c r="L221" s="86"/>
      <c r="M221" s="86"/>
      <c r="N221" s="86"/>
      <c r="O221" s="86"/>
      <c r="P221" s="86"/>
      <c r="Q221" s="86"/>
      <c r="R221" s="86"/>
      <c r="S221" s="86"/>
      <c r="T221" s="86"/>
      <c r="U221" s="86"/>
      <c r="V221" s="86"/>
      <c r="W221" s="86"/>
      <c r="X221" s="86"/>
      <c r="Y221" s="86"/>
      <c r="Z221" s="86"/>
      <c r="AA221" s="86"/>
      <c r="AB221" s="86"/>
      <c r="AC221" s="86"/>
      <c r="AD221" s="86"/>
      <c r="AE221" s="86"/>
    </row>
    <row r="222" spans="1:31" ht="15.75" customHeight="1">
      <c r="A222" s="3" t="s">
        <v>1765</v>
      </c>
      <c r="B222" s="89" t="s">
        <v>597</v>
      </c>
      <c r="C222" s="13" t="s">
        <v>598</v>
      </c>
      <c r="D222" s="110">
        <v>2007</v>
      </c>
      <c r="E222" s="89" t="s">
        <v>1715</v>
      </c>
      <c r="F222" s="89" t="s">
        <v>205</v>
      </c>
      <c r="G222" s="112" t="s">
        <v>1998</v>
      </c>
      <c r="H222" s="89"/>
      <c r="I222" s="89"/>
      <c r="J222" s="89"/>
      <c r="K222" s="89"/>
      <c r="L222" s="89"/>
      <c r="M222" s="89"/>
      <c r="N222" s="89"/>
      <c r="O222" s="89"/>
      <c r="P222" s="89"/>
      <c r="Q222" s="89"/>
      <c r="R222" s="89"/>
      <c r="S222" s="89"/>
      <c r="T222" s="89"/>
      <c r="U222" s="89"/>
      <c r="V222" s="89"/>
      <c r="W222" s="89"/>
      <c r="X222" s="89"/>
      <c r="Y222" s="89"/>
      <c r="Z222" s="89"/>
      <c r="AA222" s="89"/>
      <c r="AB222" s="89"/>
      <c r="AC222" s="89"/>
      <c r="AD222" s="89"/>
      <c r="AE222" s="89"/>
    </row>
    <row r="223" spans="1:31" ht="15.75" customHeight="1">
      <c r="A223" s="3" t="s">
        <v>1765</v>
      </c>
      <c r="B223" s="3" t="s">
        <v>1999</v>
      </c>
      <c r="C223" s="13" t="s">
        <v>171</v>
      </c>
      <c r="D223" s="96">
        <v>2007</v>
      </c>
      <c r="E223" s="91" t="s">
        <v>1707</v>
      </c>
      <c r="F223" s="91" t="s">
        <v>1708</v>
      </c>
      <c r="G223" s="91" t="s">
        <v>2000</v>
      </c>
      <c r="H223" s="86"/>
      <c r="I223" s="86"/>
      <c r="J223" s="86"/>
      <c r="K223" s="86"/>
      <c r="L223" s="86"/>
      <c r="M223" s="86"/>
      <c r="N223" s="86"/>
      <c r="O223" s="86"/>
      <c r="P223" s="86"/>
      <c r="Q223" s="86"/>
      <c r="R223" s="86"/>
      <c r="S223" s="86"/>
      <c r="T223" s="86"/>
      <c r="U223" s="86"/>
      <c r="V223" s="86"/>
      <c r="W223" s="86"/>
      <c r="X223" s="86"/>
      <c r="Y223" s="86"/>
      <c r="Z223" s="86"/>
      <c r="AA223" s="86"/>
      <c r="AB223" s="86"/>
      <c r="AC223" s="86"/>
      <c r="AD223" s="86"/>
      <c r="AE223" s="86"/>
    </row>
    <row r="224" spans="1:31" ht="15.75" customHeight="1">
      <c r="A224" s="3" t="s">
        <v>1765</v>
      </c>
      <c r="B224" s="109" t="s">
        <v>195</v>
      </c>
      <c r="C224" s="13" t="s">
        <v>196</v>
      </c>
      <c r="D224" s="96">
        <v>2007</v>
      </c>
      <c r="E224" s="91" t="s">
        <v>1707</v>
      </c>
      <c r="F224" s="91" t="s">
        <v>1708</v>
      </c>
      <c r="G224" s="91" t="s">
        <v>2001</v>
      </c>
      <c r="H224" s="86"/>
      <c r="I224" s="86"/>
      <c r="J224" s="86"/>
      <c r="K224" s="86"/>
      <c r="L224" s="86"/>
      <c r="M224" s="86"/>
      <c r="N224" s="86"/>
      <c r="O224" s="86"/>
      <c r="P224" s="86"/>
      <c r="Q224" s="86"/>
      <c r="R224" s="86"/>
      <c r="S224" s="86"/>
      <c r="T224" s="86"/>
      <c r="U224" s="86"/>
      <c r="V224" s="86"/>
      <c r="W224" s="86"/>
      <c r="X224" s="86"/>
      <c r="Y224" s="86"/>
      <c r="Z224" s="86"/>
      <c r="AA224" s="86"/>
      <c r="AB224" s="86"/>
      <c r="AC224" s="86"/>
      <c r="AD224" s="86"/>
      <c r="AE224" s="86"/>
    </row>
    <row r="225" spans="1:31" ht="16.5" customHeight="1">
      <c r="A225" s="3" t="s">
        <v>1765</v>
      </c>
      <c r="B225" s="3" t="s">
        <v>603</v>
      </c>
      <c r="C225" s="13" t="s">
        <v>604</v>
      </c>
      <c r="D225" s="96">
        <v>2007</v>
      </c>
      <c r="E225" s="91" t="s">
        <v>1707</v>
      </c>
      <c r="F225" s="91" t="s">
        <v>1708</v>
      </c>
      <c r="G225" s="91" t="s">
        <v>2002</v>
      </c>
      <c r="H225" s="86"/>
      <c r="I225" s="86"/>
      <c r="J225" s="86"/>
      <c r="K225" s="86"/>
      <c r="L225" s="86"/>
      <c r="M225" s="86"/>
      <c r="N225" s="86"/>
      <c r="O225" s="86"/>
      <c r="P225" s="86"/>
      <c r="Q225" s="86"/>
      <c r="R225" s="86"/>
      <c r="S225" s="86"/>
      <c r="T225" s="86"/>
      <c r="U225" s="86"/>
      <c r="V225" s="86"/>
      <c r="W225" s="86"/>
      <c r="X225" s="86"/>
      <c r="Y225" s="86"/>
      <c r="Z225" s="86"/>
      <c r="AA225" s="86"/>
      <c r="AB225" s="86"/>
      <c r="AC225" s="86"/>
      <c r="AD225" s="86"/>
      <c r="AE225" s="86"/>
    </row>
    <row r="226" spans="1:31" ht="15.75" customHeight="1">
      <c r="A226" s="3" t="s">
        <v>1765</v>
      </c>
      <c r="B226" s="3" t="s">
        <v>393</v>
      </c>
      <c r="C226" s="13" t="s">
        <v>394</v>
      </c>
      <c r="D226" s="96">
        <v>2007</v>
      </c>
      <c r="E226" s="91" t="s">
        <v>1707</v>
      </c>
      <c r="F226" s="91" t="s">
        <v>1708</v>
      </c>
      <c r="G226" s="91" t="s">
        <v>2003</v>
      </c>
      <c r="H226" s="86"/>
      <c r="I226" s="86"/>
      <c r="J226" s="86"/>
      <c r="K226" s="86"/>
      <c r="L226" s="86"/>
      <c r="M226" s="86"/>
      <c r="N226" s="86"/>
      <c r="O226" s="86"/>
      <c r="P226" s="86"/>
      <c r="Q226" s="86"/>
      <c r="R226" s="86"/>
      <c r="S226" s="86"/>
      <c r="T226" s="86"/>
      <c r="U226" s="86"/>
      <c r="V226" s="86"/>
      <c r="W226" s="86"/>
      <c r="X226" s="86"/>
      <c r="Y226" s="86"/>
      <c r="Z226" s="86"/>
      <c r="AA226" s="86"/>
      <c r="AB226" s="86"/>
      <c r="AC226" s="86"/>
      <c r="AD226" s="86"/>
      <c r="AE226" s="86"/>
    </row>
    <row r="227" spans="1:31" ht="15.75" customHeight="1">
      <c r="A227" s="3" t="s">
        <v>1765</v>
      </c>
      <c r="B227" s="86" t="s">
        <v>2004</v>
      </c>
      <c r="C227" s="13" t="s">
        <v>1331</v>
      </c>
      <c r="D227" s="85">
        <v>2007</v>
      </c>
      <c r="E227" s="91" t="s">
        <v>1882</v>
      </c>
      <c r="F227" s="86" t="s">
        <v>1708</v>
      </c>
      <c r="G227" s="86" t="s">
        <v>2005</v>
      </c>
      <c r="H227" s="86"/>
      <c r="I227" s="86"/>
      <c r="J227" s="86"/>
      <c r="K227" s="86"/>
      <c r="L227" s="86"/>
      <c r="M227" s="86"/>
      <c r="N227" s="86"/>
      <c r="O227" s="86"/>
      <c r="P227" s="86"/>
      <c r="Q227" s="86"/>
      <c r="R227" s="86"/>
      <c r="S227" s="86"/>
      <c r="T227" s="86"/>
      <c r="U227" s="86"/>
      <c r="V227" s="86"/>
      <c r="W227" s="86"/>
      <c r="X227" s="86"/>
      <c r="Y227" s="86"/>
      <c r="Z227" s="86"/>
      <c r="AA227" s="86"/>
      <c r="AB227" s="86"/>
      <c r="AC227" s="86"/>
      <c r="AD227" s="86"/>
      <c r="AE227" s="86"/>
    </row>
    <row r="228" spans="1:31" ht="15.75" customHeight="1">
      <c r="A228" s="3" t="s">
        <v>1765</v>
      </c>
      <c r="B228" s="109" t="s">
        <v>1179</v>
      </c>
      <c r="C228" s="13" t="s">
        <v>1180</v>
      </c>
      <c r="D228" s="96">
        <v>2007</v>
      </c>
      <c r="E228" s="91" t="s">
        <v>1704</v>
      </c>
      <c r="F228" s="91" t="s">
        <v>1763</v>
      </c>
      <c r="G228" s="91" t="s">
        <v>2006</v>
      </c>
      <c r="H228" s="86"/>
      <c r="I228" s="86"/>
      <c r="J228" s="86"/>
      <c r="K228" s="86"/>
      <c r="L228" s="86"/>
      <c r="M228" s="86"/>
      <c r="N228" s="86"/>
      <c r="O228" s="86"/>
      <c r="P228" s="86"/>
      <c r="Q228" s="86"/>
      <c r="R228" s="86"/>
      <c r="S228" s="86"/>
      <c r="T228" s="86"/>
      <c r="U228" s="86"/>
      <c r="V228" s="86"/>
      <c r="W228" s="86"/>
      <c r="X228" s="86"/>
      <c r="Y228" s="86"/>
      <c r="Z228" s="86"/>
      <c r="AA228" s="86"/>
      <c r="AB228" s="86"/>
      <c r="AC228" s="86"/>
      <c r="AD228" s="86"/>
      <c r="AE228" s="86"/>
    </row>
    <row r="229" spans="1:31" ht="15.75" customHeight="1">
      <c r="A229" s="3" t="s">
        <v>1765</v>
      </c>
      <c r="B229" s="109" t="s">
        <v>459</v>
      </c>
      <c r="C229" s="13" t="s">
        <v>460</v>
      </c>
      <c r="D229" s="96">
        <v>2007</v>
      </c>
      <c r="E229" s="91" t="s">
        <v>1704</v>
      </c>
      <c r="F229" s="91" t="s">
        <v>1763</v>
      </c>
      <c r="G229" s="91" t="s">
        <v>2007</v>
      </c>
      <c r="H229" s="86"/>
      <c r="I229" s="86"/>
      <c r="J229" s="86"/>
      <c r="K229" s="86"/>
      <c r="L229" s="86"/>
      <c r="M229" s="86"/>
      <c r="N229" s="86"/>
      <c r="O229" s="86"/>
      <c r="P229" s="86"/>
      <c r="Q229" s="86"/>
      <c r="R229" s="86"/>
      <c r="S229" s="86"/>
      <c r="T229" s="86"/>
      <c r="U229" s="86"/>
      <c r="V229" s="86"/>
      <c r="W229" s="86"/>
      <c r="X229" s="86"/>
      <c r="Y229" s="86"/>
      <c r="Z229" s="86"/>
      <c r="AA229" s="86"/>
      <c r="AB229" s="86"/>
      <c r="AC229" s="86"/>
      <c r="AD229" s="86"/>
      <c r="AE229" s="86"/>
    </row>
    <row r="230" spans="1:31" ht="15.75" customHeight="1">
      <c r="A230" s="3" t="s">
        <v>1765</v>
      </c>
      <c r="B230" s="109" t="s">
        <v>475</v>
      </c>
      <c r="C230" s="13" t="s">
        <v>476</v>
      </c>
      <c r="D230" s="96">
        <v>2007</v>
      </c>
      <c r="E230" s="91" t="s">
        <v>1715</v>
      </c>
      <c r="F230" s="91" t="s">
        <v>116</v>
      </c>
      <c r="G230" s="91" t="s">
        <v>2008</v>
      </c>
      <c r="H230" s="86"/>
      <c r="I230" s="86"/>
      <c r="J230" s="86"/>
      <c r="K230" s="86"/>
      <c r="L230" s="86"/>
      <c r="M230" s="86"/>
      <c r="N230" s="86"/>
      <c r="O230" s="86"/>
      <c r="P230" s="86"/>
      <c r="Q230" s="86"/>
      <c r="R230" s="86"/>
      <c r="S230" s="86"/>
      <c r="T230" s="86"/>
      <c r="U230" s="86"/>
      <c r="V230" s="86"/>
      <c r="W230" s="86"/>
      <c r="X230" s="86"/>
      <c r="Y230" s="86"/>
      <c r="Z230" s="86"/>
      <c r="AA230" s="86"/>
      <c r="AB230" s="86"/>
      <c r="AC230" s="86"/>
      <c r="AD230" s="86"/>
      <c r="AE230" s="86"/>
    </row>
    <row r="231" spans="1:31" ht="15.75" customHeight="1">
      <c r="A231" s="3" t="s">
        <v>1765</v>
      </c>
      <c r="B231" s="109" t="s">
        <v>736</v>
      </c>
      <c r="C231" s="13" t="s">
        <v>737</v>
      </c>
      <c r="D231" s="96">
        <v>2007</v>
      </c>
      <c r="E231" s="91" t="s">
        <v>1715</v>
      </c>
      <c r="F231" s="91" t="s">
        <v>116</v>
      </c>
      <c r="G231" s="91" t="s">
        <v>2009</v>
      </c>
      <c r="H231" s="86"/>
      <c r="I231" s="86"/>
      <c r="J231" s="86"/>
      <c r="K231" s="86"/>
      <c r="L231" s="86"/>
      <c r="M231" s="86"/>
      <c r="N231" s="86"/>
      <c r="O231" s="86"/>
      <c r="P231" s="86"/>
      <c r="Q231" s="86"/>
      <c r="R231" s="86"/>
      <c r="S231" s="86"/>
      <c r="T231" s="86"/>
      <c r="U231" s="86"/>
      <c r="V231" s="86"/>
      <c r="W231" s="86"/>
      <c r="X231" s="86"/>
      <c r="Y231" s="86"/>
      <c r="Z231" s="86"/>
      <c r="AA231" s="86"/>
      <c r="AB231" s="86"/>
      <c r="AC231" s="86"/>
      <c r="AD231" s="86"/>
      <c r="AE231" s="86"/>
    </row>
    <row r="232" spans="1:31" ht="15.75" customHeight="1">
      <c r="A232" s="3" t="s">
        <v>1765</v>
      </c>
      <c r="B232" s="109" t="s">
        <v>1420</v>
      </c>
      <c r="C232" s="13" t="s">
        <v>1421</v>
      </c>
      <c r="D232" s="96">
        <v>2007</v>
      </c>
      <c r="E232" s="91" t="s">
        <v>1707</v>
      </c>
      <c r="F232" s="91" t="s">
        <v>1870</v>
      </c>
      <c r="G232" s="91" t="s">
        <v>2010</v>
      </c>
      <c r="H232" s="86"/>
      <c r="I232" s="86"/>
      <c r="J232" s="86"/>
      <c r="K232" s="86"/>
      <c r="L232" s="86"/>
      <c r="M232" s="86"/>
      <c r="N232" s="86"/>
      <c r="O232" s="86"/>
      <c r="P232" s="86"/>
      <c r="Q232" s="86"/>
      <c r="R232" s="86"/>
      <c r="S232" s="86"/>
      <c r="T232" s="86"/>
      <c r="U232" s="86"/>
      <c r="V232" s="86"/>
      <c r="W232" s="86"/>
      <c r="X232" s="86"/>
      <c r="Y232" s="86"/>
      <c r="Z232" s="86"/>
      <c r="AA232" s="86"/>
      <c r="AB232" s="86"/>
      <c r="AC232" s="86"/>
      <c r="AD232" s="86"/>
      <c r="AE232" s="86"/>
    </row>
    <row r="233" spans="1:31" ht="15.75" customHeight="1">
      <c r="A233" s="3" t="s">
        <v>1765</v>
      </c>
      <c r="B233" s="109" t="s">
        <v>745</v>
      </c>
      <c r="C233" s="13" t="s">
        <v>746</v>
      </c>
      <c r="D233" s="96">
        <v>2007</v>
      </c>
      <c r="E233" s="91" t="s">
        <v>1715</v>
      </c>
      <c r="F233" s="91" t="s">
        <v>1870</v>
      </c>
      <c r="G233" s="91" t="s">
        <v>2011</v>
      </c>
      <c r="H233" s="86"/>
      <c r="I233" s="86"/>
      <c r="J233" s="86"/>
      <c r="K233" s="86"/>
      <c r="L233" s="86"/>
      <c r="M233" s="86"/>
      <c r="N233" s="86"/>
      <c r="O233" s="86"/>
      <c r="P233" s="86"/>
      <c r="Q233" s="86"/>
      <c r="R233" s="86"/>
      <c r="S233" s="86"/>
      <c r="T233" s="86"/>
      <c r="U233" s="86"/>
      <c r="V233" s="86"/>
      <c r="W233" s="86"/>
      <c r="X233" s="86"/>
      <c r="Y233" s="86"/>
      <c r="Z233" s="86"/>
      <c r="AA233" s="86"/>
      <c r="AB233" s="86"/>
      <c r="AC233" s="86"/>
      <c r="AD233" s="86"/>
      <c r="AE233" s="86"/>
    </row>
    <row r="234" spans="1:31" ht="15.75" customHeight="1">
      <c r="A234" s="3" t="s">
        <v>1765</v>
      </c>
      <c r="B234" s="109" t="s">
        <v>547</v>
      </c>
      <c r="C234" s="13" t="s">
        <v>548</v>
      </c>
      <c r="D234" s="96">
        <v>2007</v>
      </c>
      <c r="E234" s="91" t="s">
        <v>1707</v>
      </c>
      <c r="F234" s="91" t="s">
        <v>544</v>
      </c>
      <c r="G234" s="91" t="s">
        <v>2012</v>
      </c>
      <c r="H234" s="86"/>
      <c r="I234" s="86"/>
      <c r="J234" s="86"/>
      <c r="K234" s="86"/>
      <c r="L234" s="86"/>
      <c r="M234" s="86"/>
      <c r="N234" s="86"/>
      <c r="O234" s="86"/>
      <c r="P234" s="86"/>
      <c r="Q234" s="86"/>
      <c r="R234" s="86"/>
      <c r="S234" s="86"/>
      <c r="T234" s="86"/>
      <c r="U234" s="86"/>
      <c r="V234" s="86"/>
      <c r="W234" s="86"/>
      <c r="X234" s="86"/>
      <c r="Y234" s="86"/>
      <c r="Z234" s="86"/>
      <c r="AA234" s="86"/>
      <c r="AB234" s="86"/>
      <c r="AC234" s="86"/>
      <c r="AD234" s="86"/>
      <c r="AE234" s="86"/>
    </row>
    <row r="235" spans="1:31" ht="15.75" customHeight="1">
      <c r="A235" s="3" t="s">
        <v>1765</v>
      </c>
      <c r="B235" s="109" t="s">
        <v>823</v>
      </c>
      <c r="C235" s="13" t="s">
        <v>824</v>
      </c>
      <c r="D235" s="96">
        <v>2008</v>
      </c>
      <c r="E235" s="91" t="s">
        <v>1707</v>
      </c>
      <c r="F235" s="91" t="s">
        <v>179</v>
      </c>
      <c r="G235" s="91" t="s">
        <v>2013</v>
      </c>
      <c r="H235" s="86"/>
      <c r="I235" s="86"/>
      <c r="J235" s="86"/>
      <c r="K235" s="86"/>
      <c r="L235" s="86"/>
      <c r="M235" s="86"/>
      <c r="N235" s="86"/>
      <c r="O235" s="86"/>
      <c r="P235" s="86"/>
      <c r="Q235" s="86"/>
      <c r="R235" s="86"/>
      <c r="S235" s="86"/>
      <c r="T235" s="86"/>
      <c r="U235" s="86"/>
      <c r="V235" s="86"/>
      <c r="W235" s="86"/>
      <c r="X235" s="86"/>
      <c r="Y235" s="86"/>
      <c r="Z235" s="86"/>
      <c r="AA235" s="86"/>
      <c r="AB235" s="86"/>
      <c r="AC235" s="86"/>
      <c r="AD235" s="86"/>
      <c r="AE235" s="86"/>
    </row>
    <row r="236" spans="1:31" ht="15.75" customHeight="1">
      <c r="A236" s="3" t="s">
        <v>1765</v>
      </c>
      <c r="B236" s="109" t="s">
        <v>1619</v>
      </c>
      <c r="C236" s="13" t="s">
        <v>1620</v>
      </c>
      <c r="D236" s="96">
        <v>2008</v>
      </c>
      <c r="E236" s="91" t="s">
        <v>1707</v>
      </c>
      <c r="F236" s="91" t="s">
        <v>191</v>
      </c>
      <c r="G236" s="91" t="s">
        <v>2014</v>
      </c>
      <c r="H236" s="86"/>
      <c r="I236" s="86"/>
      <c r="J236" s="86"/>
      <c r="K236" s="86"/>
      <c r="L236" s="86"/>
      <c r="M236" s="86"/>
      <c r="N236" s="86"/>
      <c r="O236" s="86"/>
      <c r="P236" s="86"/>
      <c r="Q236" s="86"/>
      <c r="R236" s="86"/>
      <c r="S236" s="86"/>
      <c r="T236" s="86"/>
      <c r="U236" s="86"/>
      <c r="V236" s="86"/>
      <c r="W236" s="86"/>
      <c r="X236" s="86"/>
      <c r="Y236" s="86"/>
      <c r="Z236" s="86"/>
      <c r="AA236" s="86"/>
      <c r="AB236" s="86"/>
      <c r="AC236" s="86"/>
      <c r="AD236" s="86"/>
      <c r="AE236" s="86"/>
    </row>
    <row r="237" spans="1:31" ht="15.75" customHeight="1">
      <c r="A237" s="3" t="s">
        <v>1765</v>
      </c>
      <c r="B237" s="109" t="s">
        <v>306</v>
      </c>
      <c r="C237" s="13" t="s">
        <v>874</v>
      </c>
      <c r="D237" s="85">
        <v>2008</v>
      </c>
      <c r="E237" s="86" t="s">
        <v>1707</v>
      </c>
      <c r="F237" s="86" t="s">
        <v>672</v>
      </c>
      <c r="G237" s="93" t="s">
        <v>2015</v>
      </c>
      <c r="H237" s="86"/>
      <c r="I237" s="86"/>
      <c r="J237" s="86"/>
      <c r="K237" s="86"/>
      <c r="L237" s="86"/>
      <c r="M237" s="86"/>
      <c r="N237" s="86"/>
      <c r="O237" s="86"/>
      <c r="P237" s="86"/>
      <c r="Q237" s="86"/>
      <c r="R237" s="86"/>
      <c r="S237" s="86"/>
      <c r="T237" s="86"/>
      <c r="U237" s="86"/>
      <c r="V237" s="86"/>
      <c r="W237" s="86"/>
      <c r="X237" s="86"/>
      <c r="Y237" s="86"/>
      <c r="Z237" s="86"/>
      <c r="AA237" s="86"/>
      <c r="AB237" s="86"/>
      <c r="AC237" s="86"/>
      <c r="AD237" s="86"/>
      <c r="AE237" s="86"/>
    </row>
    <row r="238" spans="1:31" ht="15.75" customHeight="1">
      <c r="A238" s="3" t="s">
        <v>1765</v>
      </c>
      <c r="B238" s="86" t="s">
        <v>329</v>
      </c>
      <c r="C238" s="13" t="s">
        <v>330</v>
      </c>
      <c r="D238" s="96">
        <v>2008</v>
      </c>
      <c r="E238" s="91" t="s">
        <v>1707</v>
      </c>
      <c r="F238" s="91" t="s">
        <v>682</v>
      </c>
      <c r="G238" s="91" t="s">
        <v>2016</v>
      </c>
      <c r="H238" s="86"/>
      <c r="I238" s="86"/>
      <c r="J238" s="86"/>
      <c r="K238" s="86"/>
      <c r="L238" s="86"/>
      <c r="M238" s="86"/>
      <c r="N238" s="86"/>
      <c r="O238" s="86"/>
      <c r="P238" s="86"/>
      <c r="Q238" s="86"/>
      <c r="R238" s="86"/>
      <c r="S238" s="86"/>
      <c r="T238" s="86"/>
      <c r="U238" s="86"/>
      <c r="V238" s="86"/>
      <c r="W238" s="86"/>
      <c r="X238" s="86"/>
      <c r="Y238" s="86"/>
      <c r="Z238" s="86"/>
      <c r="AA238" s="86"/>
      <c r="AB238" s="86"/>
      <c r="AC238" s="86"/>
      <c r="AD238" s="86"/>
      <c r="AE238" s="86"/>
    </row>
    <row r="239" spans="1:31" ht="15.75" customHeight="1">
      <c r="A239" s="3" t="s">
        <v>1765</v>
      </c>
      <c r="B239" s="119" t="s">
        <v>712</v>
      </c>
      <c r="C239" s="13" t="s">
        <v>713</v>
      </c>
      <c r="D239" s="85">
        <v>2008</v>
      </c>
      <c r="E239" s="86" t="s">
        <v>1707</v>
      </c>
      <c r="F239" s="86" t="s">
        <v>629</v>
      </c>
      <c r="G239" s="91" t="s">
        <v>2017</v>
      </c>
      <c r="H239" s="86"/>
      <c r="I239" s="86"/>
      <c r="J239" s="86"/>
      <c r="K239" s="86"/>
      <c r="L239" s="86"/>
      <c r="M239" s="86"/>
      <c r="N239" s="86"/>
      <c r="O239" s="86"/>
      <c r="P239" s="86"/>
      <c r="Q239" s="86"/>
      <c r="R239" s="86"/>
      <c r="S239" s="86"/>
      <c r="T239" s="86"/>
      <c r="U239" s="86"/>
      <c r="V239" s="86"/>
      <c r="W239" s="86"/>
      <c r="X239" s="86"/>
      <c r="Y239" s="86"/>
      <c r="Z239" s="86"/>
      <c r="AA239" s="86"/>
      <c r="AB239" s="86"/>
      <c r="AC239" s="86"/>
      <c r="AD239" s="86"/>
      <c r="AE239" s="86"/>
    </row>
    <row r="240" spans="1:31" ht="15.75" customHeight="1">
      <c r="A240" s="3" t="s">
        <v>1765</v>
      </c>
      <c r="B240" s="109" t="s">
        <v>470</v>
      </c>
      <c r="C240" s="13" t="s">
        <v>471</v>
      </c>
      <c r="D240" s="96">
        <v>2008</v>
      </c>
      <c r="E240" s="91" t="s">
        <v>1704</v>
      </c>
      <c r="F240" s="91" t="s">
        <v>1763</v>
      </c>
      <c r="G240" s="91" t="s">
        <v>2018</v>
      </c>
      <c r="H240" s="86"/>
      <c r="I240" s="86"/>
      <c r="J240" s="86"/>
      <c r="K240" s="86"/>
      <c r="L240" s="86"/>
      <c r="M240" s="86"/>
      <c r="N240" s="86"/>
      <c r="O240" s="86"/>
      <c r="P240" s="86"/>
      <c r="Q240" s="86"/>
      <c r="R240" s="86"/>
      <c r="S240" s="86"/>
      <c r="T240" s="86"/>
      <c r="U240" s="86"/>
      <c r="V240" s="86"/>
      <c r="W240" s="86"/>
      <c r="X240" s="86"/>
      <c r="Y240" s="86"/>
      <c r="Z240" s="86"/>
      <c r="AA240" s="86"/>
      <c r="AB240" s="86"/>
      <c r="AC240" s="86"/>
      <c r="AD240" s="86"/>
      <c r="AE240" s="86"/>
    </row>
    <row r="241" spans="1:31" ht="15.75" customHeight="1">
      <c r="A241" s="3" t="s">
        <v>1765</v>
      </c>
      <c r="B241" s="89" t="s">
        <v>1693</v>
      </c>
      <c r="C241" s="13" t="s">
        <v>1694</v>
      </c>
      <c r="D241" s="110">
        <v>2008</v>
      </c>
      <c r="E241" s="89" t="s">
        <v>1707</v>
      </c>
      <c r="F241" s="89" t="s">
        <v>1870</v>
      </c>
      <c r="G241" s="112" t="s">
        <v>2019</v>
      </c>
      <c r="H241" s="89"/>
      <c r="I241" s="89"/>
      <c r="J241" s="89"/>
      <c r="K241" s="89"/>
      <c r="L241" s="89"/>
      <c r="M241" s="89"/>
      <c r="N241" s="89"/>
      <c r="O241" s="89"/>
      <c r="P241" s="89"/>
      <c r="Q241" s="89"/>
      <c r="R241" s="89"/>
      <c r="S241" s="89"/>
      <c r="T241" s="89"/>
      <c r="U241" s="89"/>
      <c r="V241" s="89"/>
      <c r="W241" s="89"/>
      <c r="X241" s="89"/>
      <c r="Y241" s="89"/>
      <c r="Z241" s="89"/>
      <c r="AA241" s="89"/>
      <c r="AB241" s="89"/>
      <c r="AC241" s="89"/>
      <c r="AD241" s="89"/>
      <c r="AE241" s="89"/>
    </row>
    <row r="242" spans="1:31" ht="15.75" customHeight="1">
      <c r="A242" s="3" t="s">
        <v>1765</v>
      </c>
      <c r="B242" s="86" t="s">
        <v>1586</v>
      </c>
      <c r="C242" s="13" t="s">
        <v>1587</v>
      </c>
      <c r="D242" s="96">
        <v>2008</v>
      </c>
      <c r="E242" s="91" t="s">
        <v>1882</v>
      </c>
      <c r="F242" s="91" t="s">
        <v>1870</v>
      </c>
      <c r="G242" s="91" t="s">
        <v>2020</v>
      </c>
      <c r="H242" s="86"/>
      <c r="I242" s="86"/>
      <c r="J242" s="86"/>
      <c r="K242" s="86"/>
      <c r="L242" s="86"/>
      <c r="M242" s="86"/>
      <c r="N242" s="86"/>
      <c r="O242" s="86"/>
      <c r="P242" s="86"/>
      <c r="Q242" s="86"/>
      <c r="R242" s="86"/>
      <c r="S242" s="86"/>
      <c r="T242" s="86"/>
      <c r="U242" s="86"/>
      <c r="V242" s="86"/>
      <c r="W242" s="86"/>
      <c r="X242" s="86"/>
      <c r="Y242" s="86"/>
      <c r="Z242" s="86"/>
      <c r="AA242" s="86"/>
      <c r="AB242" s="86"/>
      <c r="AC242" s="86"/>
      <c r="AD242" s="86"/>
      <c r="AE242" s="86"/>
    </row>
    <row r="243" spans="1:31" ht="15.75" customHeight="1">
      <c r="A243" s="3" t="s">
        <v>1765</v>
      </c>
      <c r="B243" s="120" t="s">
        <v>1458</v>
      </c>
      <c r="C243" s="13" t="s">
        <v>1459</v>
      </c>
      <c r="D243" s="96">
        <v>2008</v>
      </c>
      <c r="E243" s="91" t="s">
        <v>1707</v>
      </c>
      <c r="F243" s="91" t="s">
        <v>1870</v>
      </c>
      <c r="G243" s="91" t="s">
        <v>2021</v>
      </c>
      <c r="H243" s="86"/>
      <c r="I243" s="86"/>
      <c r="J243" s="86"/>
      <c r="K243" s="86"/>
      <c r="L243" s="86"/>
      <c r="M243" s="86"/>
      <c r="N243" s="86"/>
      <c r="O243" s="86"/>
      <c r="P243" s="86"/>
      <c r="Q243" s="86"/>
      <c r="R243" s="86"/>
      <c r="S243" s="86"/>
      <c r="T243" s="86"/>
      <c r="U243" s="86"/>
      <c r="V243" s="86"/>
      <c r="W243" s="86"/>
      <c r="X243" s="86"/>
      <c r="Y243" s="86"/>
      <c r="Z243" s="86"/>
      <c r="AA243" s="86"/>
      <c r="AB243" s="86"/>
      <c r="AC243" s="86"/>
      <c r="AD243" s="86"/>
      <c r="AE243" s="86"/>
    </row>
    <row r="244" spans="1:31" ht="15.75" customHeight="1">
      <c r="A244" s="3" t="s">
        <v>1765</v>
      </c>
      <c r="B244" s="109" t="s">
        <v>976</v>
      </c>
      <c r="C244" s="13" t="s">
        <v>977</v>
      </c>
      <c r="D244" s="96">
        <v>2008</v>
      </c>
      <c r="E244" s="91" t="s">
        <v>1882</v>
      </c>
      <c r="F244" s="91" t="s">
        <v>1870</v>
      </c>
      <c r="G244" s="91" t="s">
        <v>2022</v>
      </c>
      <c r="H244" s="86"/>
      <c r="I244" s="86"/>
      <c r="J244" s="86"/>
      <c r="K244" s="86"/>
      <c r="L244" s="86"/>
      <c r="M244" s="86"/>
      <c r="N244" s="86"/>
      <c r="O244" s="86"/>
      <c r="P244" s="86"/>
      <c r="Q244" s="86"/>
      <c r="R244" s="86"/>
      <c r="S244" s="86"/>
      <c r="T244" s="86"/>
      <c r="U244" s="86"/>
      <c r="V244" s="86"/>
      <c r="W244" s="86"/>
      <c r="X244" s="86"/>
      <c r="Y244" s="86"/>
      <c r="Z244" s="86"/>
      <c r="AA244" s="86"/>
      <c r="AB244" s="86"/>
      <c r="AC244" s="86"/>
      <c r="AD244" s="86"/>
      <c r="AE244" s="86"/>
    </row>
    <row r="245" spans="1:31" ht="15.75" customHeight="1">
      <c r="A245" s="3" t="s">
        <v>1765</v>
      </c>
      <c r="B245" s="89" t="s">
        <v>527</v>
      </c>
      <c r="C245" s="13" t="s">
        <v>528</v>
      </c>
      <c r="D245" s="110">
        <v>2008</v>
      </c>
      <c r="E245" s="89" t="s">
        <v>1707</v>
      </c>
      <c r="F245" s="89" t="s">
        <v>1870</v>
      </c>
      <c r="G245" s="112" t="s">
        <v>2023</v>
      </c>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row>
    <row r="246" spans="1:31" ht="15.75" customHeight="1">
      <c r="A246" s="3" t="s">
        <v>1765</v>
      </c>
      <c r="B246" s="109" t="s">
        <v>1594</v>
      </c>
      <c r="C246" s="13" t="s">
        <v>1595</v>
      </c>
      <c r="D246" s="96">
        <v>2008</v>
      </c>
      <c r="E246" s="91" t="s">
        <v>1882</v>
      </c>
      <c r="F246" s="91" t="s">
        <v>1870</v>
      </c>
      <c r="G246" s="91" t="s">
        <v>2024</v>
      </c>
      <c r="H246" s="86"/>
      <c r="I246" s="86"/>
      <c r="J246" s="86"/>
      <c r="K246" s="86"/>
      <c r="L246" s="86"/>
      <c r="M246" s="86"/>
      <c r="N246" s="86"/>
      <c r="O246" s="86"/>
      <c r="P246" s="86"/>
      <c r="Q246" s="86"/>
      <c r="R246" s="86"/>
      <c r="S246" s="86"/>
      <c r="T246" s="86"/>
      <c r="U246" s="86"/>
      <c r="V246" s="86"/>
      <c r="W246" s="86"/>
      <c r="X246" s="86"/>
      <c r="Y246" s="86"/>
      <c r="Z246" s="86"/>
      <c r="AA246" s="86"/>
      <c r="AB246" s="86"/>
      <c r="AC246" s="86"/>
      <c r="AD246" s="86"/>
      <c r="AE246" s="86"/>
    </row>
    <row r="247" spans="1:31" ht="15.75" customHeight="1">
      <c r="A247" s="3" t="s">
        <v>1765</v>
      </c>
      <c r="B247" s="109" t="s">
        <v>512</v>
      </c>
      <c r="C247" s="13" t="s">
        <v>513</v>
      </c>
      <c r="D247" s="96">
        <v>2008</v>
      </c>
      <c r="E247" s="91" t="s">
        <v>1882</v>
      </c>
      <c r="F247" s="91" t="s">
        <v>1870</v>
      </c>
      <c r="G247" s="91" t="s">
        <v>2025</v>
      </c>
      <c r="H247" s="86"/>
      <c r="I247" s="86"/>
      <c r="J247" s="86"/>
      <c r="K247" s="86"/>
      <c r="L247" s="86"/>
      <c r="M247" s="86"/>
      <c r="N247" s="86"/>
      <c r="O247" s="86"/>
      <c r="P247" s="86"/>
      <c r="Q247" s="86"/>
      <c r="R247" s="86"/>
      <c r="S247" s="86"/>
      <c r="T247" s="86"/>
      <c r="U247" s="86"/>
      <c r="V247" s="86"/>
      <c r="W247" s="86"/>
      <c r="X247" s="86"/>
      <c r="Y247" s="86"/>
      <c r="Z247" s="86"/>
      <c r="AA247" s="86"/>
      <c r="AB247" s="86"/>
      <c r="AC247" s="86"/>
      <c r="AD247" s="86"/>
      <c r="AE247" s="86"/>
    </row>
    <row r="248" spans="1:31" ht="15.75" customHeight="1">
      <c r="A248" s="3" t="s">
        <v>1765</v>
      </c>
      <c r="B248" s="109" t="s">
        <v>136</v>
      </c>
      <c r="C248" s="13" t="s">
        <v>137</v>
      </c>
      <c r="D248" s="96">
        <v>2009</v>
      </c>
      <c r="E248" s="91" t="s">
        <v>1707</v>
      </c>
      <c r="F248" s="91" t="s">
        <v>126</v>
      </c>
      <c r="G248" s="91" t="s">
        <v>2026</v>
      </c>
      <c r="H248" s="86"/>
      <c r="I248" s="86"/>
      <c r="J248" s="86"/>
      <c r="K248" s="86"/>
      <c r="L248" s="86"/>
      <c r="M248" s="86"/>
      <c r="N248" s="86"/>
      <c r="O248" s="86"/>
      <c r="P248" s="86"/>
      <c r="Q248" s="86"/>
      <c r="R248" s="86"/>
      <c r="S248" s="86"/>
      <c r="T248" s="86"/>
      <c r="U248" s="86"/>
      <c r="V248" s="86"/>
      <c r="W248" s="86"/>
      <c r="X248" s="86"/>
      <c r="Y248" s="86"/>
      <c r="Z248" s="86"/>
      <c r="AA248" s="86"/>
      <c r="AB248" s="86"/>
      <c r="AC248" s="86"/>
      <c r="AD248" s="86"/>
      <c r="AE248" s="86"/>
    </row>
    <row r="249" spans="1:31" ht="15.75" customHeight="1">
      <c r="A249" s="3" t="s">
        <v>1765</v>
      </c>
      <c r="B249" s="86" t="s">
        <v>1322</v>
      </c>
      <c r="C249" s="13" t="s">
        <v>1323</v>
      </c>
      <c r="D249" s="85">
        <v>2009</v>
      </c>
      <c r="E249" s="86" t="s">
        <v>1707</v>
      </c>
      <c r="F249" s="86" t="s">
        <v>353</v>
      </c>
      <c r="G249" s="86" t="s">
        <v>2027</v>
      </c>
      <c r="H249" s="86"/>
      <c r="I249" s="86"/>
      <c r="J249" s="86"/>
      <c r="K249" s="86"/>
      <c r="L249" s="86"/>
      <c r="M249" s="86"/>
      <c r="N249" s="86"/>
      <c r="O249" s="86"/>
      <c r="P249" s="86"/>
      <c r="Q249" s="86"/>
      <c r="R249" s="86"/>
      <c r="S249" s="86"/>
      <c r="T249" s="86"/>
      <c r="U249" s="86"/>
      <c r="V249" s="86"/>
      <c r="W249" s="86"/>
      <c r="X249" s="86"/>
      <c r="Y249" s="86"/>
      <c r="Z249" s="86"/>
      <c r="AA249" s="86"/>
      <c r="AB249" s="86"/>
      <c r="AC249" s="86"/>
      <c r="AD249" s="86"/>
      <c r="AE249" s="86"/>
    </row>
    <row r="250" spans="1:31" ht="15.75" customHeight="1">
      <c r="A250" s="3" t="s">
        <v>1765</v>
      </c>
      <c r="B250" s="109" t="s">
        <v>375</v>
      </c>
      <c r="C250" s="115" t="s">
        <v>376</v>
      </c>
      <c r="D250" s="116">
        <v>2009</v>
      </c>
      <c r="E250" s="114" t="s">
        <v>1707</v>
      </c>
      <c r="F250" s="114" t="s">
        <v>374</v>
      </c>
      <c r="G250" s="114" t="s">
        <v>2028</v>
      </c>
      <c r="H250" s="86"/>
      <c r="I250" s="86"/>
      <c r="J250" s="86"/>
      <c r="K250" s="86"/>
      <c r="L250" s="86"/>
      <c r="M250" s="86"/>
      <c r="N250" s="86"/>
      <c r="O250" s="86"/>
      <c r="P250" s="86"/>
      <c r="Q250" s="86"/>
      <c r="R250" s="86"/>
      <c r="S250" s="86"/>
      <c r="T250" s="86"/>
      <c r="U250" s="86"/>
      <c r="V250" s="86"/>
      <c r="W250" s="86"/>
      <c r="X250" s="86"/>
      <c r="Y250" s="86"/>
      <c r="Z250" s="86"/>
      <c r="AA250" s="86"/>
      <c r="AB250" s="86"/>
      <c r="AC250" s="86"/>
      <c r="AD250" s="86"/>
      <c r="AE250" s="86"/>
    </row>
    <row r="251" spans="1:31" ht="15.75" customHeight="1">
      <c r="A251" s="3" t="s">
        <v>1765</v>
      </c>
      <c r="B251" s="3" t="s">
        <v>267</v>
      </c>
      <c r="C251" s="13" t="s">
        <v>268</v>
      </c>
      <c r="D251" s="96">
        <v>2009</v>
      </c>
      <c r="E251" s="91" t="s">
        <v>1707</v>
      </c>
      <c r="F251" s="91" t="s">
        <v>1708</v>
      </c>
      <c r="G251" s="91" t="s">
        <v>2029</v>
      </c>
      <c r="H251" s="86"/>
      <c r="I251" s="86"/>
      <c r="J251" s="86"/>
      <c r="K251" s="86"/>
      <c r="L251" s="86"/>
      <c r="M251" s="86"/>
      <c r="N251" s="86"/>
      <c r="O251" s="86"/>
      <c r="P251" s="86"/>
      <c r="Q251" s="86"/>
      <c r="R251" s="86"/>
      <c r="S251" s="86"/>
      <c r="T251" s="86"/>
      <c r="U251" s="86"/>
      <c r="V251" s="86"/>
      <c r="W251" s="86"/>
      <c r="X251" s="86"/>
      <c r="Y251" s="86"/>
      <c r="Z251" s="86"/>
      <c r="AA251" s="86"/>
      <c r="AB251" s="86"/>
      <c r="AC251" s="86"/>
      <c r="AD251" s="86"/>
      <c r="AE251" s="86"/>
    </row>
    <row r="252" spans="1:31" ht="15.75" customHeight="1">
      <c r="A252" s="3" t="s">
        <v>1765</v>
      </c>
      <c r="B252" s="3" t="s">
        <v>167</v>
      </c>
      <c r="C252" s="13" t="s">
        <v>168</v>
      </c>
      <c r="D252" s="96">
        <v>2009</v>
      </c>
      <c r="E252" s="91" t="s">
        <v>1707</v>
      </c>
      <c r="F252" s="91" t="s">
        <v>1708</v>
      </c>
      <c r="G252" s="91" t="s">
        <v>2030</v>
      </c>
      <c r="H252" s="86"/>
      <c r="I252" s="86"/>
      <c r="J252" s="86"/>
      <c r="K252" s="86"/>
      <c r="L252" s="86"/>
      <c r="M252" s="86"/>
      <c r="N252" s="86"/>
      <c r="O252" s="86"/>
      <c r="P252" s="86"/>
      <c r="Q252" s="86"/>
      <c r="R252" s="86"/>
      <c r="S252" s="86"/>
      <c r="T252" s="86"/>
      <c r="U252" s="86"/>
      <c r="V252" s="86"/>
      <c r="W252" s="86"/>
      <c r="X252" s="86"/>
      <c r="Y252" s="86"/>
      <c r="Z252" s="86"/>
      <c r="AA252" s="86"/>
      <c r="AB252" s="86"/>
      <c r="AC252" s="86"/>
      <c r="AD252" s="86"/>
      <c r="AE252" s="86"/>
    </row>
    <row r="253" spans="1:31" ht="15.75" customHeight="1">
      <c r="A253" s="3" t="s">
        <v>1765</v>
      </c>
      <c r="B253" s="86" t="s">
        <v>175</v>
      </c>
      <c r="C253" s="13" t="s">
        <v>176</v>
      </c>
      <c r="D253" s="96">
        <v>2009</v>
      </c>
      <c r="E253" s="91" t="s">
        <v>1707</v>
      </c>
      <c r="F253" s="91" t="s">
        <v>1708</v>
      </c>
      <c r="G253" s="91" t="s">
        <v>2031</v>
      </c>
      <c r="H253" s="86"/>
      <c r="I253" s="86"/>
      <c r="J253" s="86"/>
      <c r="K253" s="86"/>
      <c r="L253" s="86"/>
      <c r="M253" s="86"/>
      <c r="N253" s="86"/>
      <c r="O253" s="86"/>
      <c r="P253" s="86"/>
      <c r="Q253" s="86"/>
      <c r="R253" s="86"/>
      <c r="S253" s="86"/>
      <c r="T253" s="86"/>
      <c r="U253" s="86"/>
      <c r="V253" s="86"/>
      <c r="W253" s="86"/>
      <c r="X253" s="86"/>
      <c r="Y253" s="86"/>
      <c r="Z253" s="86"/>
      <c r="AA253" s="86"/>
      <c r="AB253" s="86"/>
      <c r="AC253" s="86"/>
      <c r="AD253" s="86"/>
      <c r="AE253" s="86"/>
    </row>
    <row r="254" spans="1:31" ht="15.75" customHeight="1">
      <c r="A254" s="3" t="s">
        <v>1765</v>
      </c>
      <c r="B254" s="109" t="s">
        <v>542</v>
      </c>
      <c r="C254" s="13" t="s">
        <v>543</v>
      </c>
      <c r="D254" s="96">
        <v>2009</v>
      </c>
      <c r="E254" s="91" t="s">
        <v>1707</v>
      </c>
      <c r="F254" s="91" t="s">
        <v>1708</v>
      </c>
      <c r="G254" s="91" t="s">
        <v>2032</v>
      </c>
      <c r="H254" s="86"/>
      <c r="I254" s="86"/>
      <c r="J254" s="86"/>
      <c r="K254" s="86"/>
      <c r="L254" s="86"/>
      <c r="M254" s="86"/>
      <c r="N254" s="86"/>
      <c r="O254" s="86"/>
      <c r="P254" s="86"/>
      <c r="Q254" s="86"/>
      <c r="R254" s="86"/>
      <c r="S254" s="86"/>
      <c r="T254" s="86"/>
      <c r="U254" s="86"/>
      <c r="V254" s="86"/>
      <c r="W254" s="86"/>
      <c r="X254" s="86"/>
      <c r="Y254" s="86"/>
      <c r="Z254" s="86"/>
      <c r="AA254" s="86"/>
      <c r="AB254" s="86"/>
      <c r="AC254" s="86"/>
      <c r="AD254" s="86"/>
      <c r="AE254" s="86"/>
    </row>
    <row r="255" spans="1:31" ht="15.75" customHeight="1">
      <c r="A255" s="3" t="s">
        <v>1765</v>
      </c>
      <c r="B255" s="89" t="s">
        <v>443</v>
      </c>
      <c r="C255" s="13" t="s">
        <v>444</v>
      </c>
      <c r="D255" s="110">
        <v>2009</v>
      </c>
      <c r="E255" s="89" t="s">
        <v>1707</v>
      </c>
      <c r="F255" s="89" t="s">
        <v>629</v>
      </c>
      <c r="G255" s="112" t="s">
        <v>2033</v>
      </c>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row>
    <row r="256" spans="1:31" ht="15.75" customHeight="1">
      <c r="A256" s="3" t="s">
        <v>1765</v>
      </c>
      <c r="B256" s="49" t="s">
        <v>935</v>
      </c>
      <c r="C256" s="13" t="s">
        <v>936</v>
      </c>
      <c r="D256" s="85">
        <v>2009</v>
      </c>
      <c r="E256" s="86" t="s">
        <v>1702</v>
      </c>
      <c r="F256" s="86" t="s">
        <v>629</v>
      </c>
      <c r="G256" s="91" t="s">
        <v>2034</v>
      </c>
      <c r="H256" s="86"/>
      <c r="I256" s="86"/>
      <c r="J256" s="86"/>
      <c r="K256" s="86"/>
      <c r="L256" s="86"/>
      <c r="M256" s="86"/>
      <c r="N256" s="86"/>
      <c r="O256" s="86"/>
      <c r="P256" s="86"/>
      <c r="Q256" s="86"/>
      <c r="R256" s="86"/>
      <c r="S256" s="86"/>
      <c r="T256" s="86"/>
      <c r="U256" s="86"/>
      <c r="V256" s="86"/>
      <c r="W256" s="86"/>
      <c r="X256" s="86"/>
      <c r="Y256" s="86"/>
      <c r="Z256" s="86"/>
      <c r="AA256" s="86"/>
      <c r="AB256" s="86"/>
      <c r="AC256" s="86"/>
      <c r="AD256" s="86"/>
      <c r="AE256" s="86"/>
    </row>
    <row r="257" spans="1:31" ht="15.75" customHeight="1">
      <c r="A257" s="3" t="s">
        <v>1765</v>
      </c>
      <c r="B257" s="119" t="s">
        <v>923</v>
      </c>
      <c r="C257" s="13" t="s">
        <v>924</v>
      </c>
      <c r="D257" s="85">
        <v>2009</v>
      </c>
      <c r="E257" s="86" t="s">
        <v>1707</v>
      </c>
      <c r="F257" s="86" t="s">
        <v>629</v>
      </c>
      <c r="G257" s="91" t="s">
        <v>2035</v>
      </c>
      <c r="H257" s="86"/>
      <c r="I257" s="86"/>
      <c r="J257" s="86"/>
      <c r="K257" s="86"/>
      <c r="L257" s="86"/>
      <c r="M257" s="86"/>
      <c r="N257" s="86"/>
      <c r="O257" s="86"/>
      <c r="P257" s="86"/>
      <c r="Q257" s="86"/>
      <c r="R257" s="86"/>
      <c r="S257" s="86"/>
      <c r="T257" s="86"/>
      <c r="U257" s="86"/>
      <c r="V257" s="86"/>
      <c r="W257" s="86"/>
      <c r="X257" s="86"/>
      <c r="Y257" s="86"/>
      <c r="Z257" s="86"/>
      <c r="AA257" s="86"/>
      <c r="AB257" s="86"/>
      <c r="AC257" s="86"/>
      <c r="AD257" s="86"/>
      <c r="AE257" s="86"/>
    </row>
    <row r="258" spans="1:31" ht="15.75" customHeight="1">
      <c r="A258" s="3" t="s">
        <v>1765</v>
      </c>
      <c r="B258" s="86" t="s">
        <v>938</v>
      </c>
      <c r="C258" s="13" t="s">
        <v>939</v>
      </c>
      <c r="D258" s="85">
        <v>2009</v>
      </c>
      <c r="E258" s="86" t="s">
        <v>1707</v>
      </c>
      <c r="F258" s="86" t="s">
        <v>629</v>
      </c>
      <c r="G258" s="91" t="s">
        <v>2036</v>
      </c>
      <c r="H258" s="86"/>
      <c r="I258" s="86"/>
      <c r="J258" s="86"/>
      <c r="K258" s="86"/>
      <c r="L258" s="86"/>
      <c r="M258" s="86"/>
      <c r="N258" s="86"/>
      <c r="O258" s="86"/>
      <c r="P258" s="86"/>
      <c r="Q258" s="86"/>
      <c r="R258" s="86"/>
      <c r="S258" s="86"/>
      <c r="T258" s="86"/>
      <c r="U258" s="86"/>
      <c r="V258" s="86"/>
      <c r="W258" s="86"/>
      <c r="X258" s="86"/>
      <c r="Y258" s="86"/>
      <c r="Z258" s="86"/>
      <c r="AA258" s="86"/>
      <c r="AB258" s="86"/>
      <c r="AC258" s="86"/>
      <c r="AD258" s="86"/>
      <c r="AE258" s="86"/>
    </row>
    <row r="259" spans="1:31" ht="15.75" customHeight="1">
      <c r="A259" s="3" t="s">
        <v>1765</v>
      </c>
      <c r="B259" s="109" t="s">
        <v>270</v>
      </c>
      <c r="C259" s="13" t="s">
        <v>271</v>
      </c>
      <c r="D259" s="96">
        <v>2009</v>
      </c>
      <c r="E259" s="91" t="s">
        <v>1704</v>
      </c>
      <c r="F259" s="91" t="s">
        <v>1763</v>
      </c>
      <c r="G259" s="91" t="s">
        <v>2037</v>
      </c>
      <c r="H259" s="86"/>
      <c r="I259" s="86"/>
      <c r="J259" s="86"/>
      <c r="K259" s="86"/>
      <c r="L259" s="86"/>
      <c r="M259" s="86"/>
      <c r="N259" s="86"/>
      <c r="O259" s="86"/>
      <c r="P259" s="86"/>
      <c r="Q259" s="86"/>
      <c r="R259" s="86"/>
      <c r="S259" s="86"/>
      <c r="T259" s="86"/>
      <c r="U259" s="86"/>
      <c r="V259" s="86"/>
      <c r="W259" s="86"/>
      <c r="X259" s="86"/>
      <c r="Y259" s="86"/>
      <c r="Z259" s="86"/>
      <c r="AA259" s="86"/>
      <c r="AB259" s="86"/>
      <c r="AC259" s="86"/>
      <c r="AD259" s="86"/>
      <c r="AE259" s="86"/>
    </row>
    <row r="260" spans="1:31" ht="15.75" customHeight="1">
      <c r="A260" s="3" t="s">
        <v>1765</v>
      </c>
      <c r="B260" s="11" t="s">
        <v>1530</v>
      </c>
      <c r="C260" s="13" t="s">
        <v>1531</v>
      </c>
      <c r="D260" s="96">
        <v>2009</v>
      </c>
      <c r="E260" s="91" t="s">
        <v>1882</v>
      </c>
      <c r="F260" s="91" t="s">
        <v>116</v>
      </c>
      <c r="G260" s="91" t="s">
        <v>2038</v>
      </c>
      <c r="H260" s="86"/>
      <c r="I260" s="86"/>
      <c r="J260" s="86"/>
      <c r="K260" s="86"/>
      <c r="L260" s="86"/>
      <c r="M260" s="86"/>
      <c r="N260" s="86"/>
      <c r="O260" s="86"/>
      <c r="P260" s="86"/>
      <c r="Q260" s="86"/>
      <c r="R260" s="86"/>
      <c r="S260" s="86"/>
      <c r="T260" s="86"/>
      <c r="U260" s="86"/>
      <c r="V260" s="86"/>
      <c r="W260" s="86"/>
      <c r="X260" s="86"/>
      <c r="Y260" s="86"/>
      <c r="Z260" s="86"/>
      <c r="AA260" s="86"/>
      <c r="AB260" s="86"/>
      <c r="AC260" s="86"/>
      <c r="AD260" s="86"/>
      <c r="AE260" s="86"/>
    </row>
    <row r="261" spans="1:31" ht="15.75" customHeight="1">
      <c r="A261" s="3" t="s">
        <v>1765</v>
      </c>
      <c r="B261" s="109" t="s">
        <v>481</v>
      </c>
      <c r="C261" s="13" t="s">
        <v>482</v>
      </c>
      <c r="D261" s="96">
        <v>2009</v>
      </c>
      <c r="E261" s="91" t="s">
        <v>1882</v>
      </c>
      <c r="F261" s="91" t="s">
        <v>116</v>
      </c>
      <c r="G261" s="91" t="s">
        <v>2039</v>
      </c>
      <c r="H261" s="86"/>
      <c r="I261" s="86"/>
      <c r="J261" s="86"/>
      <c r="K261" s="86"/>
      <c r="L261" s="86"/>
      <c r="M261" s="86"/>
      <c r="N261" s="86"/>
      <c r="O261" s="86"/>
      <c r="P261" s="86"/>
      <c r="Q261" s="86"/>
      <c r="R261" s="86"/>
      <c r="S261" s="86"/>
      <c r="T261" s="86"/>
      <c r="U261" s="86"/>
      <c r="V261" s="86"/>
      <c r="W261" s="86"/>
      <c r="X261" s="86"/>
      <c r="Y261" s="86"/>
      <c r="Z261" s="86"/>
      <c r="AA261" s="86"/>
      <c r="AB261" s="86"/>
      <c r="AC261" s="86"/>
      <c r="AD261" s="86"/>
      <c r="AE261" s="86"/>
    </row>
    <row r="262" spans="1:31" ht="15.75" customHeight="1">
      <c r="A262" s="3" t="s">
        <v>1765</v>
      </c>
      <c r="B262" s="3" t="s">
        <v>514</v>
      </c>
      <c r="C262" s="13" t="s">
        <v>515</v>
      </c>
      <c r="D262" s="96">
        <v>2009</v>
      </c>
      <c r="E262" s="91" t="s">
        <v>1715</v>
      </c>
      <c r="F262" s="91" t="s">
        <v>1870</v>
      </c>
      <c r="G262" s="91" t="s">
        <v>2040</v>
      </c>
      <c r="H262" s="86"/>
      <c r="I262" s="86"/>
      <c r="J262" s="86"/>
      <c r="K262" s="86"/>
      <c r="L262" s="86"/>
      <c r="M262" s="86"/>
      <c r="N262" s="86"/>
      <c r="O262" s="86"/>
      <c r="P262" s="86"/>
      <c r="Q262" s="86"/>
      <c r="R262" s="86"/>
      <c r="S262" s="86"/>
      <c r="T262" s="86"/>
      <c r="U262" s="86"/>
      <c r="V262" s="86"/>
      <c r="W262" s="86"/>
      <c r="X262" s="86"/>
      <c r="Y262" s="86"/>
      <c r="Z262" s="86"/>
      <c r="AA262" s="86"/>
      <c r="AB262" s="86"/>
      <c r="AC262" s="86"/>
      <c r="AD262" s="86"/>
      <c r="AE262" s="86"/>
    </row>
    <row r="263" spans="1:31" ht="15.75" customHeight="1">
      <c r="A263" s="3" t="s">
        <v>1765</v>
      </c>
      <c r="B263" s="109" t="s">
        <v>1433</v>
      </c>
      <c r="C263" s="13" t="s">
        <v>1434</v>
      </c>
      <c r="D263" s="96">
        <v>2009</v>
      </c>
      <c r="E263" s="91" t="s">
        <v>1707</v>
      </c>
      <c r="F263" s="91" t="s">
        <v>1870</v>
      </c>
      <c r="G263" s="91" t="s">
        <v>2041</v>
      </c>
      <c r="H263" s="86"/>
      <c r="I263" s="86"/>
      <c r="J263" s="86"/>
      <c r="K263" s="86"/>
      <c r="L263" s="86"/>
      <c r="M263" s="86"/>
      <c r="N263" s="86"/>
      <c r="O263" s="86"/>
      <c r="P263" s="86"/>
      <c r="Q263" s="86"/>
      <c r="R263" s="86"/>
      <c r="S263" s="86"/>
      <c r="T263" s="86"/>
      <c r="U263" s="86"/>
      <c r="V263" s="86"/>
      <c r="W263" s="86"/>
      <c r="X263" s="86"/>
      <c r="Y263" s="86"/>
      <c r="Z263" s="86"/>
      <c r="AA263" s="86"/>
      <c r="AB263" s="86"/>
      <c r="AC263" s="86"/>
      <c r="AD263" s="86"/>
      <c r="AE263" s="86"/>
    </row>
    <row r="264" spans="1:31" ht="15.75" customHeight="1">
      <c r="A264" s="3" t="s">
        <v>1765</v>
      </c>
      <c r="B264" s="109" t="s">
        <v>1159</v>
      </c>
      <c r="C264" s="13" t="s">
        <v>1160</v>
      </c>
      <c r="D264" s="96">
        <v>2009</v>
      </c>
      <c r="E264" s="91" t="s">
        <v>1707</v>
      </c>
      <c r="F264" s="91" t="s">
        <v>1870</v>
      </c>
      <c r="G264" s="91" t="s">
        <v>2042</v>
      </c>
      <c r="H264" s="86"/>
      <c r="I264" s="86"/>
      <c r="J264" s="86"/>
      <c r="K264" s="86"/>
      <c r="L264" s="86"/>
      <c r="M264" s="86"/>
      <c r="N264" s="86"/>
      <c r="O264" s="86"/>
      <c r="P264" s="86"/>
      <c r="Q264" s="86"/>
      <c r="R264" s="86"/>
      <c r="S264" s="86"/>
      <c r="T264" s="86"/>
      <c r="U264" s="86"/>
      <c r="V264" s="86"/>
      <c r="W264" s="86"/>
      <c r="X264" s="86"/>
      <c r="Y264" s="86"/>
      <c r="Z264" s="86"/>
      <c r="AA264" s="86"/>
      <c r="AB264" s="86"/>
      <c r="AC264" s="86"/>
      <c r="AD264" s="86"/>
      <c r="AE264" s="86"/>
    </row>
    <row r="265" spans="1:31" ht="15.75" customHeight="1">
      <c r="A265" s="3" t="s">
        <v>1765</v>
      </c>
      <c r="B265" s="3" t="s">
        <v>122</v>
      </c>
      <c r="C265" s="13" t="s">
        <v>123</v>
      </c>
      <c r="D265" s="96">
        <v>2009</v>
      </c>
      <c r="E265" s="91" t="s">
        <v>1707</v>
      </c>
      <c r="F265" s="91" t="s">
        <v>1831</v>
      </c>
      <c r="G265" s="91" t="s">
        <v>2043</v>
      </c>
      <c r="H265" s="86"/>
      <c r="I265" s="86"/>
      <c r="J265" s="86"/>
      <c r="K265" s="86"/>
      <c r="L265" s="86"/>
      <c r="M265" s="86"/>
      <c r="N265" s="86"/>
      <c r="O265" s="86"/>
      <c r="P265" s="86"/>
      <c r="Q265" s="86"/>
      <c r="R265" s="86"/>
      <c r="S265" s="86"/>
      <c r="T265" s="86"/>
      <c r="U265" s="86"/>
      <c r="V265" s="86"/>
      <c r="W265" s="86"/>
      <c r="X265" s="86"/>
      <c r="Y265" s="86"/>
      <c r="Z265" s="86"/>
      <c r="AA265" s="86"/>
      <c r="AB265" s="86"/>
      <c r="AC265" s="86"/>
      <c r="AD265" s="86"/>
      <c r="AE265" s="86"/>
    </row>
    <row r="266" spans="1:31" ht="15.75" customHeight="1">
      <c r="A266" s="3" t="s">
        <v>1765</v>
      </c>
      <c r="B266" s="109" t="s">
        <v>142</v>
      </c>
      <c r="C266" s="13" t="s">
        <v>2044</v>
      </c>
      <c r="D266" s="96">
        <v>2010</v>
      </c>
      <c r="E266" s="91" t="s">
        <v>1707</v>
      </c>
      <c r="F266" s="91" t="s">
        <v>126</v>
      </c>
      <c r="G266" s="91" t="s">
        <v>2045</v>
      </c>
      <c r="H266" s="86"/>
      <c r="I266" s="86"/>
      <c r="J266" s="86"/>
      <c r="K266" s="86"/>
      <c r="L266" s="86"/>
      <c r="M266" s="86"/>
      <c r="N266" s="86"/>
      <c r="O266" s="86"/>
      <c r="P266" s="86"/>
      <c r="Q266" s="86"/>
      <c r="R266" s="86"/>
      <c r="S266" s="86"/>
      <c r="T266" s="86"/>
      <c r="U266" s="86"/>
      <c r="V266" s="86"/>
      <c r="W266" s="86"/>
      <c r="X266" s="86"/>
      <c r="Y266" s="86"/>
      <c r="Z266" s="86"/>
      <c r="AA266" s="86"/>
      <c r="AB266" s="86"/>
      <c r="AC266" s="86"/>
      <c r="AD266" s="86"/>
      <c r="AE266" s="86"/>
    </row>
    <row r="267" spans="1:31" ht="15.75" customHeight="1">
      <c r="A267" s="3" t="s">
        <v>1765</v>
      </c>
      <c r="B267" s="109" t="s">
        <v>131</v>
      </c>
      <c r="C267" s="13" t="s">
        <v>132</v>
      </c>
      <c r="D267" s="96">
        <v>2010</v>
      </c>
      <c r="E267" s="91" t="s">
        <v>1704</v>
      </c>
      <c r="F267" s="91" t="s">
        <v>126</v>
      </c>
      <c r="G267" s="91" t="s">
        <v>2046</v>
      </c>
      <c r="H267" s="86"/>
      <c r="I267" s="86"/>
      <c r="J267" s="86"/>
      <c r="K267" s="86"/>
      <c r="L267" s="86"/>
      <c r="M267" s="86"/>
      <c r="N267" s="86"/>
      <c r="O267" s="86"/>
      <c r="P267" s="86"/>
      <c r="Q267" s="86"/>
      <c r="R267" s="86"/>
      <c r="S267" s="86"/>
      <c r="T267" s="86"/>
      <c r="U267" s="86"/>
      <c r="V267" s="86"/>
      <c r="W267" s="86"/>
      <c r="X267" s="86"/>
      <c r="Y267" s="86"/>
      <c r="Z267" s="86"/>
      <c r="AA267" s="86"/>
      <c r="AB267" s="86"/>
      <c r="AC267" s="86"/>
      <c r="AD267" s="86"/>
      <c r="AE267" s="86"/>
    </row>
    <row r="268" spans="1:31" ht="15.75" customHeight="1">
      <c r="A268" s="3" t="s">
        <v>1765</v>
      </c>
      <c r="B268" s="109" t="s">
        <v>817</v>
      </c>
      <c r="C268" s="13" t="s">
        <v>818</v>
      </c>
      <c r="D268" s="96">
        <v>2010</v>
      </c>
      <c r="E268" s="91" t="s">
        <v>1707</v>
      </c>
      <c r="F268" s="91" t="s">
        <v>179</v>
      </c>
      <c r="G268" s="91" t="s">
        <v>2047</v>
      </c>
      <c r="H268" s="86"/>
      <c r="I268" s="86"/>
      <c r="J268" s="86"/>
      <c r="K268" s="86"/>
      <c r="L268" s="86"/>
      <c r="M268" s="86"/>
      <c r="N268" s="86"/>
      <c r="O268" s="86"/>
      <c r="P268" s="86"/>
      <c r="Q268" s="86"/>
      <c r="R268" s="86"/>
      <c r="S268" s="86"/>
      <c r="T268" s="86"/>
      <c r="U268" s="86"/>
      <c r="V268" s="86"/>
      <c r="W268" s="86"/>
      <c r="X268" s="86"/>
      <c r="Y268" s="86"/>
      <c r="Z268" s="86"/>
      <c r="AA268" s="86"/>
      <c r="AB268" s="86"/>
      <c r="AC268" s="86"/>
      <c r="AD268" s="86"/>
      <c r="AE268" s="86"/>
    </row>
    <row r="269" spans="1:31" ht="15.75" customHeight="1">
      <c r="A269" s="3" t="s">
        <v>1765</v>
      </c>
      <c r="B269" s="109" t="s">
        <v>194</v>
      </c>
      <c r="C269" s="13" t="s">
        <v>651</v>
      </c>
      <c r="D269" s="96">
        <v>2010</v>
      </c>
      <c r="E269" s="91" t="s">
        <v>1707</v>
      </c>
      <c r="F269" s="91" t="s">
        <v>191</v>
      </c>
      <c r="G269" s="91" t="s">
        <v>2048</v>
      </c>
      <c r="H269" s="86"/>
      <c r="I269" s="86"/>
      <c r="J269" s="86"/>
      <c r="K269" s="86"/>
      <c r="L269" s="86"/>
      <c r="M269" s="86"/>
      <c r="N269" s="86"/>
      <c r="O269" s="86"/>
      <c r="P269" s="86"/>
      <c r="Q269" s="86"/>
      <c r="R269" s="86"/>
      <c r="S269" s="86"/>
      <c r="T269" s="86"/>
      <c r="U269" s="86"/>
      <c r="V269" s="86"/>
      <c r="W269" s="86"/>
      <c r="X269" s="86"/>
      <c r="Y269" s="86"/>
      <c r="Z269" s="86"/>
      <c r="AA269" s="86"/>
      <c r="AB269" s="86"/>
      <c r="AC269" s="86"/>
      <c r="AD269" s="86"/>
      <c r="AE269" s="86"/>
    </row>
    <row r="270" spans="1:31" ht="15.75" customHeight="1">
      <c r="A270" s="3" t="s">
        <v>1765</v>
      </c>
      <c r="B270" s="3" t="s">
        <v>298</v>
      </c>
      <c r="C270" s="13" t="s">
        <v>299</v>
      </c>
      <c r="D270" s="96">
        <v>2010</v>
      </c>
      <c r="E270" s="91" t="s">
        <v>1707</v>
      </c>
      <c r="F270" s="91" t="s">
        <v>672</v>
      </c>
      <c r="G270" s="91" t="s">
        <v>2049</v>
      </c>
      <c r="H270" s="86"/>
      <c r="I270" s="86"/>
      <c r="J270" s="86"/>
      <c r="K270" s="86"/>
      <c r="L270" s="86"/>
      <c r="M270" s="86"/>
      <c r="N270" s="86"/>
      <c r="O270" s="86"/>
      <c r="P270" s="86"/>
      <c r="Q270" s="86"/>
      <c r="R270" s="86"/>
      <c r="S270" s="86"/>
      <c r="T270" s="86"/>
      <c r="U270" s="86"/>
      <c r="V270" s="86"/>
      <c r="W270" s="86"/>
      <c r="X270" s="86"/>
      <c r="Y270" s="86"/>
      <c r="Z270" s="86"/>
      <c r="AA270" s="86"/>
      <c r="AB270" s="86"/>
      <c r="AC270" s="86"/>
      <c r="AD270" s="86"/>
      <c r="AE270" s="86"/>
    </row>
    <row r="271" spans="1:31" ht="15.75" customHeight="1">
      <c r="A271" s="3" t="s">
        <v>1765</v>
      </c>
      <c r="B271" s="120" t="s">
        <v>868</v>
      </c>
      <c r="C271" s="13" t="s">
        <v>869</v>
      </c>
      <c r="D271" s="96">
        <v>2010</v>
      </c>
      <c r="E271" s="91" t="s">
        <v>1707</v>
      </c>
      <c r="F271" s="91" t="s">
        <v>672</v>
      </c>
      <c r="G271" s="91" t="s">
        <v>2050</v>
      </c>
      <c r="H271" s="86"/>
      <c r="I271" s="86"/>
      <c r="J271" s="86"/>
      <c r="K271" s="86"/>
      <c r="L271" s="86"/>
      <c r="M271" s="86"/>
      <c r="N271" s="86"/>
      <c r="O271" s="86"/>
      <c r="P271" s="86"/>
      <c r="Q271" s="86"/>
      <c r="R271" s="86"/>
      <c r="S271" s="86"/>
      <c r="T271" s="86"/>
      <c r="U271" s="86"/>
      <c r="V271" s="86"/>
      <c r="W271" s="86"/>
      <c r="X271" s="86"/>
      <c r="Y271" s="86"/>
      <c r="Z271" s="86"/>
      <c r="AA271" s="86"/>
      <c r="AB271" s="86"/>
      <c r="AC271" s="86"/>
      <c r="AD271" s="86"/>
      <c r="AE271" s="86"/>
    </row>
    <row r="272" spans="1:31" ht="15.75" customHeight="1">
      <c r="A272" s="3" t="s">
        <v>1765</v>
      </c>
      <c r="B272" s="120" t="s">
        <v>871</v>
      </c>
      <c r="C272" s="13" t="s">
        <v>872</v>
      </c>
      <c r="D272" s="85">
        <v>2010</v>
      </c>
      <c r="E272" s="86" t="s">
        <v>1707</v>
      </c>
      <c r="F272" s="86" t="s">
        <v>672</v>
      </c>
      <c r="G272" s="91" t="s">
        <v>2051</v>
      </c>
      <c r="H272" s="86"/>
      <c r="I272" s="86"/>
      <c r="J272" s="86"/>
      <c r="K272" s="86"/>
      <c r="L272" s="86"/>
      <c r="M272" s="86"/>
      <c r="N272" s="86"/>
      <c r="O272" s="86"/>
      <c r="P272" s="86"/>
      <c r="Q272" s="86"/>
      <c r="R272" s="86"/>
      <c r="S272" s="86"/>
      <c r="T272" s="86"/>
      <c r="U272" s="86"/>
      <c r="V272" s="86"/>
      <c r="W272" s="86"/>
      <c r="X272" s="86"/>
      <c r="Y272" s="86"/>
      <c r="Z272" s="86"/>
      <c r="AA272" s="86"/>
      <c r="AB272" s="86"/>
      <c r="AC272" s="86"/>
      <c r="AD272" s="86"/>
      <c r="AE272" s="86"/>
    </row>
    <row r="273" spans="1:31" ht="15.75" customHeight="1">
      <c r="A273" s="3" t="s">
        <v>1765</v>
      </c>
      <c r="B273" s="3" t="s">
        <v>124</v>
      </c>
      <c r="C273" s="13" t="s">
        <v>125</v>
      </c>
      <c r="D273" s="96">
        <v>2010</v>
      </c>
      <c r="E273" s="91" t="s">
        <v>1707</v>
      </c>
      <c r="F273" s="91" t="s">
        <v>1708</v>
      </c>
      <c r="G273" s="91" t="s">
        <v>2052</v>
      </c>
      <c r="H273" s="86"/>
      <c r="I273" s="86"/>
      <c r="J273" s="86"/>
      <c r="K273" s="86"/>
      <c r="L273" s="86"/>
      <c r="M273" s="86"/>
      <c r="N273" s="86"/>
      <c r="O273" s="86"/>
      <c r="P273" s="86"/>
      <c r="Q273" s="86"/>
      <c r="R273" s="86"/>
      <c r="S273" s="86"/>
      <c r="T273" s="86"/>
      <c r="U273" s="86"/>
      <c r="V273" s="86"/>
      <c r="W273" s="86"/>
      <c r="X273" s="86"/>
      <c r="Y273" s="86"/>
      <c r="Z273" s="86"/>
      <c r="AA273" s="86"/>
      <c r="AB273" s="86"/>
      <c r="AC273" s="86"/>
      <c r="AD273" s="86"/>
      <c r="AE273" s="86"/>
    </row>
    <row r="274" spans="1:31" ht="15.75" customHeight="1">
      <c r="A274" s="3" t="s">
        <v>1765</v>
      </c>
      <c r="B274" s="109" t="s">
        <v>341</v>
      </c>
      <c r="C274" s="13" t="s">
        <v>342</v>
      </c>
      <c r="D274" s="96">
        <v>2010</v>
      </c>
      <c r="E274" s="91" t="s">
        <v>1707</v>
      </c>
      <c r="F274" s="91" t="s">
        <v>1708</v>
      </c>
      <c r="G274" s="91" t="s">
        <v>2053</v>
      </c>
      <c r="H274" s="86"/>
      <c r="I274" s="86"/>
      <c r="J274" s="86"/>
      <c r="K274" s="86"/>
      <c r="L274" s="86"/>
      <c r="M274" s="86"/>
      <c r="N274" s="86"/>
      <c r="O274" s="86"/>
      <c r="P274" s="86"/>
      <c r="Q274" s="86"/>
      <c r="R274" s="86"/>
      <c r="S274" s="86"/>
      <c r="T274" s="86"/>
      <c r="U274" s="86"/>
      <c r="V274" s="86"/>
      <c r="W274" s="86"/>
      <c r="X274" s="86"/>
      <c r="Y274" s="86"/>
      <c r="Z274" s="86"/>
      <c r="AA274" s="86"/>
      <c r="AB274" s="86"/>
      <c r="AC274" s="86"/>
      <c r="AD274" s="86"/>
      <c r="AE274" s="86"/>
    </row>
    <row r="275" spans="1:31" ht="15.75" customHeight="1">
      <c r="A275" s="3" t="s">
        <v>1765</v>
      </c>
      <c r="B275" s="3" t="s">
        <v>349</v>
      </c>
      <c r="C275" s="13" t="s">
        <v>350</v>
      </c>
      <c r="D275" s="96">
        <v>2010</v>
      </c>
      <c r="E275" s="91" t="s">
        <v>1704</v>
      </c>
      <c r="F275" s="91" t="s">
        <v>1708</v>
      </c>
      <c r="G275" s="91" t="s">
        <v>2054</v>
      </c>
      <c r="H275" s="86"/>
      <c r="I275" s="86"/>
      <c r="J275" s="86"/>
      <c r="K275" s="86"/>
      <c r="L275" s="86"/>
      <c r="M275" s="86"/>
      <c r="N275" s="86"/>
      <c r="O275" s="86"/>
      <c r="P275" s="86"/>
      <c r="Q275" s="86"/>
      <c r="R275" s="86"/>
      <c r="S275" s="86"/>
      <c r="T275" s="86"/>
      <c r="U275" s="86"/>
      <c r="V275" s="86"/>
      <c r="W275" s="86"/>
      <c r="X275" s="86"/>
      <c r="Y275" s="86"/>
      <c r="Z275" s="86"/>
      <c r="AA275" s="86"/>
      <c r="AB275" s="86"/>
      <c r="AC275" s="86"/>
      <c r="AD275" s="86"/>
      <c r="AE275" s="86"/>
    </row>
    <row r="276" spans="1:31" ht="15.75" customHeight="1">
      <c r="A276" s="3" t="s">
        <v>1765</v>
      </c>
      <c r="B276" s="3" t="s">
        <v>234</v>
      </c>
      <c r="C276" s="13" t="s">
        <v>235</v>
      </c>
      <c r="D276" s="96">
        <v>2010</v>
      </c>
      <c r="E276" s="91" t="s">
        <v>1707</v>
      </c>
      <c r="F276" s="91" t="s">
        <v>1708</v>
      </c>
      <c r="G276" s="91" t="s">
        <v>2055</v>
      </c>
      <c r="H276" s="86"/>
      <c r="I276" s="86"/>
      <c r="J276" s="86"/>
      <c r="K276" s="86"/>
      <c r="L276" s="86"/>
      <c r="M276" s="86"/>
      <c r="N276" s="86"/>
      <c r="O276" s="86"/>
      <c r="P276" s="86"/>
      <c r="Q276" s="86"/>
      <c r="R276" s="86"/>
      <c r="S276" s="86"/>
      <c r="T276" s="86"/>
      <c r="U276" s="86"/>
      <c r="V276" s="86"/>
      <c r="W276" s="86"/>
      <c r="X276" s="86"/>
      <c r="Y276" s="86"/>
      <c r="Z276" s="86"/>
      <c r="AA276" s="86"/>
      <c r="AB276" s="86"/>
      <c r="AC276" s="86"/>
      <c r="AD276" s="86"/>
      <c r="AE276" s="86"/>
    </row>
    <row r="277" spans="1:31" ht="15.75" customHeight="1">
      <c r="A277" s="3" t="s">
        <v>1765</v>
      </c>
      <c r="B277" s="119" t="s">
        <v>435</v>
      </c>
      <c r="C277" s="13" t="s">
        <v>708</v>
      </c>
      <c r="D277" s="85">
        <v>2010</v>
      </c>
      <c r="E277" s="86" t="s">
        <v>1707</v>
      </c>
      <c r="F277" s="86" t="s">
        <v>629</v>
      </c>
      <c r="G277" s="91" t="s">
        <v>2056</v>
      </c>
      <c r="H277" s="86"/>
      <c r="I277" s="86"/>
      <c r="J277" s="86"/>
      <c r="K277" s="86"/>
      <c r="L277" s="86"/>
      <c r="M277" s="86"/>
      <c r="N277" s="86"/>
      <c r="O277" s="86"/>
      <c r="P277" s="86"/>
      <c r="Q277" s="86"/>
      <c r="R277" s="86"/>
      <c r="S277" s="86"/>
      <c r="T277" s="86"/>
      <c r="U277" s="86"/>
      <c r="V277" s="86"/>
      <c r="W277" s="86"/>
      <c r="X277" s="86"/>
      <c r="Y277" s="86"/>
      <c r="Z277" s="86"/>
      <c r="AA277" s="86"/>
      <c r="AB277" s="86"/>
      <c r="AC277" s="86"/>
      <c r="AD277" s="86"/>
      <c r="AE277" s="86"/>
    </row>
    <row r="278" spans="1:31" ht="15.75" customHeight="1">
      <c r="A278" s="3" t="s">
        <v>1765</v>
      </c>
      <c r="B278" s="109" t="s">
        <v>484</v>
      </c>
      <c r="C278" s="13" t="s">
        <v>485</v>
      </c>
      <c r="D278" s="96">
        <v>2010</v>
      </c>
      <c r="E278" s="91" t="s">
        <v>1704</v>
      </c>
      <c r="F278" s="91" t="s">
        <v>1870</v>
      </c>
      <c r="G278" s="91" t="s">
        <v>2057</v>
      </c>
      <c r="H278" s="86"/>
      <c r="I278" s="86"/>
      <c r="J278" s="86"/>
      <c r="K278" s="86"/>
      <c r="L278" s="86"/>
      <c r="M278" s="86"/>
      <c r="N278" s="86"/>
      <c r="O278" s="86"/>
      <c r="P278" s="86"/>
      <c r="Q278" s="86"/>
      <c r="R278" s="86"/>
      <c r="S278" s="86"/>
      <c r="T278" s="86"/>
      <c r="U278" s="86"/>
      <c r="V278" s="86"/>
      <c r="W278" s="86"/>
      <c r="X278" s="86"/>
      <c r="Y278" s="86"/>
      <c r="Z278" s="86"/>
      <c r="AA278" s="86"/>
      <c r="AB278" s="86"/>
      <c r="AC278" s="86"/>
      <c r="AD278" s="86"/>
      <c r="AE278" s="86"/>
    </row>
    <row r="279" spans="1:31" ht="15.75" customHeight="1">
      <c r="A279" s="3" t="s">
        <v>1765</v>
      </c>
      <c r="B279" s="109" t="s">
        <v>1470</v>
      </c>
      <c r="C279" s="13" t="s">
        <v>1471</v>
      </c>
      <c r="D279" s="96">
        <v>2010</v>
      </c>
      <c r="E279" s="91" t="s">
        <v>1882</v>
      </c>
      <c r="F279" s="91" t="s">
        <v>1870</v>
      </c>
      <c r="G279" s="91" t="s">
        <v>2058</v>
      </c>
      <c r="H279" s="86"/>
      <c r="I279" s="86"/>
      <c r="J279" s="86"/>
      <c r="K279" s="86"/>
      <c r="L279" s="86"/>
      <c r="M279" s="86"/>
      <c r="N279" s="86"/>
      <c r="O279" s="86"/>
      <c r="P279" s="86"/>
      <c r="Q279" s="86"/>
      <c r="R279" s="86"/>
      <c r="S279" s="86"/>
      <c r="T279" s="86"/>
      <c r="U279" s="86"/>
      <c r="V279" s="86"/>
      <c r="W279" s="86"/>
      <c r="X279" s="86"/>
      <c r="Y279" s="86"/>
      <c r="Z279" s="86"/>
      <c r="AA279" s="86"/>
      <c r="AB279" s="86"/>
      <c r="AC279" s="86"/>
      <c r="AD279" s="86"/>
      <c r="AE279" s="86"/>
    </row>
    <row r="280" spans="1:31" ht="15.75" customHeight="1">
      <c r="A280" s="3" t="s">
        <v>1765</v>
      </c>
      <c r="B280" s="109" t="s">
        <v>1175</v>
      </c>
      <c r="C280" s="13" t="s">
        <v>1176</v>
      </c>
      <c r="D280" s="96">
        <v>2010</v>
      </c>
      <c r="E280" s="91" t="s">
        <v>1707</v>
      </c>
      <c r="F280" s="91" t="s">
        <v>1870</v>
      </c>
      <c r="G280" s="91" t="s">
        <v>2059</v>
      </c>
      <c r="H280" s="86"/>
      <c r="I280" s="86"/>
      <c r="J280" s="86"/>
      <c r="K280" s="86"/>
      <c r="L280" s="86"/>
      <c r="M280" s="86"/>
      <c r="N280" s="86"/>
      <c r="O280" s="86"/>
      <c r="P280" s="86"/>
      <c r="Q280" s="86"/>
      <c r="R280" s="86"/>
      <c r="S280" s="86"/>
      <c r="T280" s="86"/>
      <c r="U280" s="86"/>
      <c r="V280" s="86"/>
      <c r="W280" s="86"/>
      <c r="X280" s="86"/>
      <c r="Y280" s="86"/>
      <c r="Z280" s="86"/>
      <c r="AA280" s="86"/>
      <c r="AB280" s="86"/>
      <c r="AC280" s="86"/>
      <c r="AD280" s="86"/>
      <c r="AE280" s="86"/>
    </row>
    <row r="281" spans="1:31" ht="15.75" customHeight="1">
      <c r="A281" s="3" t="s">
        <v>1765</v>
      </c>
      <c r="B281" s="109" t="s">
        <v>333</v>
      </c>
      <c r="C281" s="13" t="s">
        <v>334</v>
      </c>
      <c r="D281" s="96">
        <v>2011</v>
      </c>
      <c r="E281" s="91" t="s">
        <v>1707</v>
      </c>
      <c r="F281" s="91" t="s">
        <v>682</v>
      </c>
      <c r="G281" s="91" t="s">
        <v>2060</v>
      </c>
      <c r="H281" s="86"/>
      <c r="I281" s="86"/>
      <c r="J281" s="86"/>
      <c r="K281" s="86"/>
      <c r="L281" s="86"/>
      <c r="M281" s="86"/>
      <c r="N281" s="86"/>
      <c r="O281" s="86"/>
      <c r="P281" s="86"/>
      <c r="Q281" s="86"/>
      <c r="R281" s="86"/>
      <c r="S281" s="86"/>
      <c r="T281" s="86"/>
      <c r="U281" s="86"/>
      <c r="V281" s="86"/>
      <c r="W281" s="86"/>
      <c r="X281" s="86"/>
      <c r="Y281" s="86"/>
      <c r="Z281" s="86"/>
      <c r="AA281" s="86"/>
      <c r="AB281" s="86"/>
      <c r="AC281" s="86"/>
      <c r="AD281" s="86"/>
      <c r="AE281" s="86"/>
    </row>
    <row r="282" spans="1:31" ht="15.75" customHeight="1">
      <c r="A282" s="3" t="s">
        <v>1765</v>
      </c>
      <c r="B282" s="86" t="s">
        <v>325</v>
      </c>
      <c r="C282" s="13" t="s">
        <v>326</v>
      </c>
      <c r="D282" s="96">
        <v>2011</v>
      </c>
      <c r="E282" s="91" t="s">
        <v>1882</v>
      </c>
      <c r="F282" s="91" t="s">
        <v>682</v>
      </c>
      <c r="G282" s="91" t="s">
        <v>2061</v>
      </c>
      <c r="H282" s="86"/>
      <c r="I282" s="86"/>
      <c r="J282" s="86"/>
      <c r="K282" s="86"/>
      <c r="L282" s="86"/>
      <c r="M282" s="86"/>
      <c r="N282" s="86"/>
      <c r="O282" s="86"/>
      <c r="P282" s="86"/>
      <c r="Q282" s="86"/>
      <c r="R282" s="86"/>
      <c r="S282" s="86"/>
      <c r="T282" s="86"/>
      <c r="U282" s="86"/>
      <c r="V282" s="86"/>
      <c r="W282" s="86"/>
      <c r="X282" s="86"/>
      <c r="Y282" s="86"/>
      <c r="Z282" s="86"/>
      <c r="AA282" s="86"/>
      <c r="AB282" s="86"/>
      <c r="AC282" s="86"/>
      <c r="AD282" s="86"/>
      <c r="AE282" s="86"/>
    </row>
    <row r="283" spans="1:31" ht="15.75" customHeight="1">
      <c r="A283" s="3" t="s">
        <v>1765</v>
      </c>
      <c r="B283" s="109" t="s">
        <v>887</v>
      </c>
      <c r="C283" s="13" t="s">
        <v>888</v>
      </c>
      <c r="D283" s="85">
        <v>2011</v>
      </c>
      <c r="E283" s="86" t="s">
        <v>1882</v>
      </c>
      <c r="F283" s="86" t="s">
        <v>682</v>
      </c>
      <c r="G283" s="91" t="s">
        <v>2062</v>
      </c>
      <c r="H283" s="86"/>
      <c r="I283" s="86"/>
      <c r="J283" s="86"/>
      <c r="K283" s="86"/>
      <c r="L283" s="86"/>
      <c r="M283" s="86"/>
      <c r="N283" s="86"/>
      <c r="O283" s="86"/>
      <c r="P283" s="86"/>
      <c r="Q283" s="86"/>
      <c r="R283" s="86"/>
      <c r="S283" s="86"/>
      <c r="T283" s="86"/>
      <c r="U283" s="86"/>
      <c r="V283" s="86"/>
      <c r="W283" s="86"/>
      <c r="X283" s="86"/>
      <c r="Y283" s="86"/>
      <c r="Z283" s="86"/>
      <c r="AA283" s="86"/>
      <c r="AB283" s="86"/>
      <c r="AC283" s="86"/>
      <c r="AD283" s="86"/>
      <c r="AE283" s="86"/>
    </row>
    <row r="284" spans="1:31" ht="15.75" customHeight="1">
      <c r="A284" s="3" t="s">
        <v>1765</v>
      </c>
      <c r="B284" s="109" t="s">
        <v>363</v>
      </c>
      <c r="C284" s="13" t="s">
        <v>364</v>
      </c>
      <c r="D284" s="96">
        <v>2011</v>
      </c>
      <c r="E284" s="91" t="s">
        <v>2063</v>
      </c>
      <c r="F284" s="91" t="s">
        <v>353</v>
      </c>
      <c r="G284" s="91" t="s">
        <v>2064</v>
      </c>
      <c r="H284" s="86"/>
      <c r="I284" s="86"/>
      <c r="J284" s="86"/>
      <c r="K284" s="86"/>
      <c r="L284" s="86"/>
      <c r="M284" s="86"/>
      <c r="N284" s="86"/>
      <c r="O284" s="86"/>
      <c r="P284" s="86"/>
      <c r="Q284" s="86"/>
      <c r="R284" s="86"/>
      <c r="S284" s="86"/>
      <c r="T284" s="86"/>
      <c r="U284" s="86"/>
      <c r="V284" s="86"/>
      <c r="W284" s="86"/>
      <c r="X284" s="86"/>
      <c r="Y284" s="86"/>
      <c r="Z284" s="86"/>
      <c r="AA284" s="86"/>
      <c r="AB284" s="86"/>
      <c r="AC284" s="86"/>
      <c r="AD284" s="86"/>
      <c r="AE284" s="86"/>
    </row>
    <row r="285" spans="1:31" ht="15.75" customHeight="1">
      <c r="A285" s="3" t="s">
        <v>1765</v>
      </c>
      <c r="B285" s="109" t="s">
        <v>112</v>
      </c>
      <c r="C285" s="13" t="s">
        <v>113</v>
      </c>
      <c r="D285" s="96">
        <v>2011</v>
      </c>
      <c r="E285" s="91" t="s">
        <v>1715</v>
      </c>
      <c r="F285" s="91" t="s">
        <v>107</v>
      </c>
      <c r="G285" s="91" t="s">
        <v>2065</v>
      </c>
      <c r="H285" s="86"/>
      <c r="I285" s="86"/>
      <c r="J285" s="86"/>
      <c r="K285" s="86"/>
      <c r="L285" s="86"/>
      <c r="M285" s="86"/>
      <c r="N285" s="86"/>
      <c r="O285" s="86"/>
      <c r="P285" s="86"/>
      <c r="Q285" s="86"/>
      <c r="R285" s="86"/>
      <c r="S285" s="86"/>
      <c r="T285" s="86"/>
      <c r="U285" s="86"/>
      <c r="V285" s="86"/>
      <c r="W285" s="86"/>
      <c r="X285" s="86"/>
      <c r="Y285" s="86"/>
      <c r="Z285" s="86"/>
      <c r="AA285" s="86"/>
      <c r="AB285" s="86"/>
      <c r="AC285" s="86"/>
      <c r="AD285" s="86"/>
      <c r="AE285" s="86"/>
    </row>
    <row r="286" spans="1:31" ht="15.75" customHeight="1">
      <c r="A286" s="3" t="s">
        <v>1765</v>
      </c>
      <c r="B286" s="109" t="s">
        <v>161</v>
      </c>
      <c r="C286" s="13" t="s">
        <v>162</v>
      </c>
      <c r="D286" s="96">
        <v>2011</v>
      </c>
      <c r="E286" s="91" t="s">
        <v>1707</v>
      </c>
      <c r="F286" s="91" t="s">
        <v>1708</v>
      </c>
      <c r="G286" s="91" t="s">
        <v>2066</v>
      </c>
      <c r="H286" s="86"/>
      <c r="I286" s="86"/>
      <c r="J286" s="86"/>
      <c r="K286" s="86"/>
      <c r="L286" s="86"/>
      <c r="M286" s="86"/>
      <c r="N286" s="86"/>
      <c r="O286" s="86"/>
      <c r="P286" s="86"/>
      <c r="Q286" s="86"/>
      <c r="R286" s="86"/>
      <c r="S286" s="86"/>
      <c r="T286" s="86"/>
      <c r="U286" s="86"/>
      <c r="V286" s="86"/>
      <c r="W286" s="86"/>
      <c r="X286" s="86"/>
      <c r="Y286" s="86"/>
      <c r="Z286" s="86"/>
      <c r="AA286" s="86"/>
      <c r="AB286" s="86"/>
      <c r="AC286" s="86"/>
      <c r="AD286" s="86"/>
      <c r="AE286" s="86"/>
    </row>
    <row r="287" spans="1:31" ht="15.75" customHeight="1">
      <c r="A287" s="3" t="s">
        <v>1765</v>
      </c>
      <c r="B287" s="109" t="s">
        <v>432</v>
      </c>
      <c r="C287" s="13" t="s">
        <v>433</v>
      </c>
      <c r="D287" s="85">
        <v>2011</v>
      </c>
      <c r="E287" s="86" t="s">
        <v>1707</v>
      </c>
      <c r="F287" s="91" t="s">
        <v>1708</v>
      </c>
      <c r="G287" s="86" t="s">
        <v>2067</v>
      </c>
      <c r="H287" s="86"/>
      <c r="I287" s="86"/>
      <c r="J287" s="86"/>
      <c r="K287" s="86"/>
      <c r="L287" s="86"/>
      <c r="M287" s="86"/>
      <c r="N287" s="86"/>
      <c r="O287" s="86"/>
      <c r="P287" s="86"/>
      <c r="Q287" s="86"/>
      <c r="R287" s="86"/>
      <c r="S287" s="86"/>
      <c r="T287" s="86"/>
      <c r="U287" s="86"/>
      <c r="V287" s="86"/>
      <c r="W287" s="86"/>
      <c r="X287" s="86"/>
      <c r="Y287" s="86"/>
      <c r="Z287" s="86"/>
      <c r="AA287" s="86"/>
      <c r="AB287" s="86"/>
      <c r="AC287" s="86"/>
      <c r="AD287" s="86"/>
      <c r="AE287" s="86"/>
    </row>
    <row r="288" spans="1:31" ht="15.75" customHeight="1">
      <c r="A288" s="3" t="s">
        <v>1765</v>
      </c>
      <c r="B288" s="3" t="s">
        <v>391</v>
      </c>
      <c r="C288" s="13" t="s">
        <v>392</v>
      </c>
      <c r="D288" s="96">
        <v>2011</v>
      </c>
      <c r="E288" s="91" t="s">
        <v>1707</v>
      </c>
      <c r="F288" s="91" t="s">
        <v>1708</v>
      </c>
      <c r="G288" s="91" t="s">
        <v>2068</v>
      </c>
      <c r="H288" s="86"/>
      <c r="I288" s="86"/>
      <c r="J288" s="86"/>
      <c r="K288" s="86"/>
      <c r="L288" s="86"/>
      <c r="M288" s="86"/>
      <c r="N288" s="86"/>
      <c r="O288" s="86"/>
      <c r="P288" s="86"/>
      <c r="Q288" s="86"/>
      <c r="R288" s="86"/>
      <c r="S288" s="86"/>
      <c r="T288" s="86"/>
      <c r="U288" s="86"/>
      <c r="V288" s="86"/>
      <c r="W288" s="86"/>
      <c r="X288" s="86"/>
      <c r="Y288" s="86"/>
      <c r="Z288" s="86"/>
      <c r="AA288" s="86"/>
      <c r="AB288" s="86"/>
      <c r="AC288" s="86"/>
      <c r="AD288" s="86"/>
      <c r="AE288" s="86"/>
    </row>
    <row r="289" spans="1:31" ht="15.75" customHeight="1">
      <c r="A289" s="3" t="s">
        <v>1765</v>
      </c>
      <c r="B289" s="89" t="s">
        <v>177</v>
      </c>
      <c r="C289" s="13" t="s">
        <v>178</v>
      </c>
      <c r="D289" s="110">
        <v>2011</v>
      </c>
      <c r="E289" s="89" t="s">
        <v>1707</v>
      </c>
      <c r="F289" s="89" t="s">
        <v>1708</v>
      </c>
      <c r="G289" s="112" t="s">
        <v>2069</v>
      </c>
      <c r="H289" s="89"/>
      <c r="I289" s="89"/>
      <c r="J289" s="89"/>
      <c r="K289" s="89"/>
      <c r="L289" s="89"/>
      <c r="M289" s="89"/>
      <c r="N289" s="89"/>
      <c r="O289" s="89"/>
      <c r="P289" s="89"/>
      <c r="Q289" s="89"/>
      <c r="R289" s="89"/>
      <c r="S289" s="89"/>
      <c r="T289" s="89"/>
      <c r="U289" s="89"/>
      <c r="V289" s="89"/>
      <c r="W289" s="89"/>
      <c r="X289" s="89"/>
      <c r="Y289" s="89"/>
      <c r="Z289" s="89"/>
      <c r="AA289" s="89"/>
      <c r="AB289" s="89"/>
      <c r="AC289" s="89"/>
      <c r="AD289" s="89"/>
      <c r="AE289" s="89"/>
    </row>
    <row r="290" spans="1:31" ht="15.75" customHeight="1">
      <c r="A290" s="3" t="s">
        <v>1765</v>
      </c>
      <c r="B290" s="109" t="s">
        <v>717</v>
      </c>
      <c r="C290" s="13" t="s">
        <v>927</v>
      </c>
      <c r="D290" s="85">
        <v>2011</v>
      </c>
      <c r="E290" s="86" t="s">
        <v>1707</v>
      </c>
      <c r="F290" s="86" t="s">
        <v>629</v>
      </c>
      <c r="G290" s="91" t="s">
        <v>2070</v>
      </c>
      <c r="H290" s="86"/>
      <c r="I290" s="86"/>
      <c r="J290" s="86"/>
      <c r="K290" s="86"/>
      <c r="L290" s="86"/>
      <c r="M290" s="86"/>
      <c r="N290" s="86"/>
      <c r="O290" s="86"/>
      <c r="P290" s="86"/>
      <c r="Q290" s="86"/>
      <c r="R290" s="86"/>
      <c r="S290" s="86"/>
      <c r="T290" s="86"/>
      <c r="U290" s="86"/>
      <c r="V290" s="86"/>
      <c r="W290" s="86"/>
      <c r="X290" s="86"/>
      <c r="Y290" s="86"/>
      <c r="Z290" s="86"/>
      <c r="AA290" s="86"/>
      <c r="AB290" s="86"/>
      <c r="AC290" s="86"/>
      <c r="AD290" s="86"/>
      <c r="AE290" s="86"/>
    </row>
    <row r="291" spans="1:31" ht="15.75" customHeight="1">
      <c r="A291" s="3" t="s">
        <v>1765</v>
      </c>
      <c r="B291" s="109" t="s">
        <v>118</v>
      </c>
      <c r="C291" s="13" t="s">
        <v>119</v>
      </c>
      <c r="D291" s="96">
        <v>2011</v>
      </c>
      <c r="E291" s="91" t="s">
        <v>1704</v>
      </c>
      <c r="F291" s="91" t="s">
        <v>1763</v>
      </c>
      <c r="G291" s="91" t="s">
        <v>2071</v>
      </c>
      <c r="H291" s="86"/>
      <c r="I291" s="86"/>
      <c r="J291" s="86"/>
      <c r="K291" s="86"/>
      <c r="L291" s="86"/>
      <c r="M291" s="86"/>
      <c r="N291" s="86"/>
      <c r="O291" s="86"/>
      <c r="P291" s="86"/>
      <c r="Q291" s="86"/>
      <c r="R291" s="86"/>
      <c r="S291" s="86"/>
      <c r="T291" s="86"/>
      <c r="U291" s="86"/>
      <c r="V291" s="86"/>
      <c r="W291" s="86"/>
      <c r="X291" s="86"/>
      <c r="Y291" s="86"/>
      <c r="Z291" s="86"/>
      <c r="AA291" s="86"/>
      <c r="AB291" s="86"/>
      <c r="AC291" s="86"/>
      <c r="AD291" s="86"/>
      <c r="AE291" s="86"/>
    </row>
    <row r="292" spans="1:31" ht="15.75" customHeight="1">
      <c r="A292" s="3" t="s">
        <v>1765</v>
      </c>
      <c r="B292" s="86" t="s">
        <v>759</v>
      </c>
      <c r="C292" s="13" t="s">
        <v>760</v>
      </c>
      <c r="D292" s="96">
        <v>2011</v>
      </c>
      <c r="E292" s="91" t="s">
        <v>1704</v>
      </c>
      <c r="F292" s="91" t="s">
        <v>1763</v>
      </c>
      <c r="G292" s="91" t="s">
        <v>2072</v>
      </c>
      <c r="H292" s="86"/>
      <c r="I292" s="86"/>
      <c r="J292" s="86"/>
      <c r="K292" s="86"/>
      <c r="L292" s="86"/>
      <c r="M292" s="86"/>
      <c r="N292" s="86"/>
      <c r="O292" s="86"/>
      <c r="P292" s="86"/>
      <c r="Q292" s="86"/>
      <c r="R292" s="86"/>
      <c r="S292" s="86"/>
      <c r="T292" s="86"/>
      <c r="U292" s="86"/>
      <c r="V292" s="86"/>
      <c r="W292" s="86"/>
      <c r="X292" s="86"/>
      <c r="Y292" s="86"/>
      <c r="Z292" s="86"/>
      <c r="AA292" s="86"/>
      <c r="AB292" s="86"/>
      <c r="AC292" s="86"/>
      <c r="AD292" s="86"/>
      <c r="AE292" s="86"/>
    </row>
    <row r="293" spans="1:31" ht="15.75" customHeight="1">
      <c r="A293" s="3" t="s">
        <v>1765</v>
      </c>
      <c r="B293" s="109" t="s">
        <v>464</v>
      </c>
      <c r="C293" s="13" t="s">
        <v>465</v>
      </c>
      <c r="D293" s="96">
        <v>2011</v>
      </c>
      <c r="E293" s="91" t="s">
        <v>2063</v>
      </c>
      <c r="F293" s="91" t="s">
        <v>116</v>
      </c>
      <c r="G293" s="91" t="s">
        <v>2073</v>
      </c>
      <c r="H293" s="86"/>
      <c r="I293" s="86"/>
      <c r="J293" s="86"/>
      <c r="K293" s="86"/>
      <c r="L293" s="86"/>
      <c r="M293" s="86"/>
      <c r="N293" s="86"/>
      <c r="O293" s="86"/>
      <c r="P293" s="86"/>
      <c r="Q293" s="86"/>
      <c r="R293" s="86"/>
      <c r="S293" s="86"/>
      <c r="T293" s="86"/>
      <c r="U293" s="86"/>
      <c r="V293" s="86"/>
      <c r="W293" s="86"/>
      <c r="X293" s="86"/>
      <c r="Y293" s="86"/>
      <c r="Z293" s="86"/>
      <c r="AA293" s="86"/>
      <c r="AB293" s="86"/>
      <c r="AC293" s="86"/>
      <c r="AD293" s="86"/>
      <c r="AE293" s="86"/>
    </row>
    <row r="294" spans="1:31" ht="15.75" customHeight="1">
      <c r="A294" s="3" t="s">
        <v>1765</v>
      </c>
      <c r="B294" s="109" t="s">
        <v>948</v>
      </c>
      <c r="C294" s="13" t="s">
        <v>949</v>
      </c>
      <c r="D294" s="96">
        <v>2011</v>
      </c>
      <c r="E294" s="91" t="s">
        <v>1702</v>
      </c>
      <c r="F294" s="91" t="s">
        <v>1870</v>
      </c>
      <c r="G294" s="91" t="s">
        <v>2074</v>
      </c>
      <c r="H294" s="86"/>
      <c r="I294" s="86"/>
      <c r="J294" s="86"/>
      <c r="K294" s="86"/>
      <c r="L294" s="86"/>
      <c r="M294" s="86"/>
      <c r="N294" s="86"/>
      <c r="O294" s="86"/>
      <c r="P294" s="86"/>
      <c r="Q294" s="86"/>
      <c r="R294" s="86"/>
      <c r="S294" s="86"/>
      <c r="T294" s="86"/>
      <c r="U294" s="86"/>
      <c r="V294" s="86"/>
      <c r="W294" s="86"/>
      <c r="X294" s="86"/>
      <c r="Y294" s="86"/>
      <c r="Z294" s="86"/>
      <c r="AA294" s="86"/>
      <c r="AB294" s="86"/>
      <c r="AC294" s="86"/>
      <c r="AD294" s="86"/>
      <c r="AE294" s="86"/>
    </row>
    <row r="295" spans="1:31" ht="15.75" customHeight="1">
      <c r="A295" s="3" t="s">
        <v>1765</v>
      </c>
      <c r="B295" s="109" t="s">
        <v>520</v>
      </c>
      <c r="C295" s="13" t="s">
        <v>1427</v>
      </c>
      <c r="D295" s="96">
        <v>2011</v>
      </c>
      <c r="E295" s="91" t="s">
        <v>1707</v>
      </c>
      <c r="F295" s="91" t="s">
        <v>1870</v>
      </c>
      <c r="G295" s="91" t="s">
        <v>2075</v>
      </c>
      <c r="H295" s="86"/>
      <c r="I295" s="86"/>
      <c r="J295" s="86"/>
      <c r="K295" s="86"/>
      <c r="L295" s="86"/>
      <c r="M295" s="86"/>
      <c r="N295" s="86"/>
      <c r="O295" s="86"/>
      <c r="P295" s="86"/>
      <c r="Q295" s="86"/>
      <c r="R295" s="86"/>
      <c r="S295" s="86"/>
      <c r="T295" s="86"/>
      <c r="U295" s="86"/>
      <c r="V295" s="86"/>
      <c r="W295" s="86"/>
      <c r="X295" s="86"/>
      <c r="Y295" s="86"/>
      <c r="Z295" s="86"/>
      <c r="AA295" s="86"/>
      <c r="AB295" s="86"/>
      <c r="AC295" s="86"/>
      <c r="AD295" s="86"/>
      <c r="AE295" s="86"/>
    </row>
    <row r="296" spans="1:31" ht="15.75" customHeight="1">
      <c r="A296" s="3" t="s">
        <v>1765</v>
      </c>
      <c r="B296" s="3" t="s">
        <v>531</v>
      </c>
      <c r="C296" s="13" t="s">
        <v>532</v>
      </c>
      <c r="D296" s="96">
        <v>2011</v>
      </c>
      <c r="E296" s="91" t="s">
        <v>1707</v>
      </c>
      <c r="F296" s="91" t="s">
        <v>1870</v>
      </c>
      <c r="G296" s="91" t="s">
        <v>2076</v>
      </c>
      <c r="H296" s="86"/>
      <c r="I296" s="86"/>
      <c r="J296" s="86"/>
      <c r="K296" s="86"/>
      <c r="L296" s="86"/>
      <c r="M296" s="86"/>
      <c r="N296" s="86"/>
      <c r="O296" s="86"/>
      <c r="P296" s="86"/>
      <c r="Q296" s="86"/>
      <c r="R296" s="86"/>
      <c r="S296" s="86"/>
      <c r="T296" s="86"/>
      <c r="U296" s="86"/>
      <c r="V296" s="86"/>
      <c r="W296" s="86"/>
      <c r="X296" s="86"/>
      <c r="Y296" s="86"/>
      <c r="Z296" s="86"/>
      <c r="AA296" s="86"/>
      <c r="AB296" s="86"/>
      <c r="AC296" s="86"/>
      <c r="AD296" s="86"/>
      <c r="AE296" s="86"/>
    </row>
    <row r="297" spans="1:31" ht="15.75" customHeight="1">
      <c r="A297" s="3" t="s">
        <v>1765</v>
      </c>
      <c r="B297" s="86" t="s">
        <v>1391</v>
      </c>
      <c r="C297" s="13" t="s">
        <v>1392</v>
      </c>
      <c r="D297" s="96">
        <v>2011</v>
      </c>
      <c r="E297" s="91" t="s">
        <v>1707</v>
      </c>
      <c r="F297" s="91" t="s">
        <v>1870</v>
      </c>
      <c r="G297" s="91" t="s">
        <v>2077</v>
      </c>
      <c r="H297" s="86"/>
      <c r="I297" s="86"/>
      <c r="J297" s="86"/>
      <c r="K297" s="86"/>
      <c r="L297" s="86"/>
      <c r="M297" s="86"/>
      <c r="N297" s="86"/>
      <c r="O297" s="86"/>
      <c r="P297" s="86"/>
      <c r="Q297" s="86"/>
      <c r="R297" s="86"/>
      <c r="S297" s="86"/>
      <c r="T297" s="86"/>
      <c r="U297" s="86"/>
      <c r="V297" s="86"/>
      <c r="W297" s="86"/>
      <c r="X297" s="86"/>
      <c r="Y297" s="86"/>
      <c r="Z297" s="86"/>
      <c r="AA297" s="86"/>
      <c r="AB297" s="86"/>
      <c r="AC297" s="86"/>
      <c r="AD297" s="86"/>
      <c r="AE297" s="86"/>
    </row>
    <row r="298" spans="1:31" ht="15.75" customHeight="1">
      <c r="A298" s="3" t="s">
        <v>1765</v>
      </c>
      <c r="B298" s="109" t="s">
        <v>551</v>
      </c>
      <c r="C298" s="13" t="s">
        <v>552</v>
      </c>
      <c r="D298" s="96">
        <v>2011</v>
      </c>
      <c r="E298" s="91" t="s">
        <v>1707</v>
      </c>
      <c r="F298" s="91" t="s">
        <v>544</v>
      </c>
      <c r="G298" s="91" t="s">
        <v>2078</v>
      </c>
      <c r="H298" s="86"/>
      <c r="I298" s="86"/>
      <c r="J298" s="86"/>
      <c r="K298" s="86"/>
      <c r="L298" s="86"/>
      <c r="M298" s="86"/>
      <c r="N298" s="86"/>
      <c r="O298" s="86"/>
      <c r="P298" s="86"/>
      <c r="Q298" s="86"/>
      <c r="R298" s="86"/>
      <c r="S298" s="86"/>
      <c r="T298" s="86"/>
      <c r="U298" s="86"/>
      <c r="V298" s="86"/>
      <c r="W298" s="86"/>
      <c r="X298" s="86"/>
      <c r="Y298" s="86"/>
      <c r="Z298" s="86"/>
      <c r="AA298" s="86"/>
      <c r="AB298" s="86"/>
      <c r="AC298" s="86"/>
      <c r="AD298" s="86"/>
      <c r="AE298" s="86"/>
    </row>
    <row r="299" spans="1:31" ht="15.75" customHeight="1">
      <c r="A299" s="3" t="s">
        <v>1765</v>
      </c>
      <c r="B299" s="109" t="s">
        <v>553</v>
      </c>
      <c r="C299" s="13" t="s">
        <v>554</v>
      </c>
      <c r="D299" s="96">
        <v>2011</v>
      </c>
      <c r="E299" s="91" t="s">
        <v>1707</v>
      </c>
      <c r="F299" s="91" t="s">
        <v>544</v>
      </c>
      <c r="G299" s="91" t="s">
        <v>2079</v>
      </c>
      <c r="H299" s="86"/>
      <c r="I299" s="86"/>
      <c r="J299" s="86"/>
      <c r="K299" s="86"/>
      <c r="L299" s="86"/>
      <c r="M299" s="86"/>
      <c r="N299" s="86"/>
      <c r="O299" s="86"/>
      <c r="P299" s="86"/>
      <c r="Q299" s="86"/>
      <c r="R299" s="86"/>
      <c r="S299" s="86"/>
      <c r="T299" s="86"/>
      <c r="U299" s="86"/>
      <c r="V299" s="86"/>
      <c r="W299" s="86"/>
      <c r="X299" s="86"/>
      <c r="Y299" s="86"/>
      <c r="Z299" s="86"/>
      <c r="AA299" s="86"/>
      <c r="AB299" s="86"/>
      <c r="AC299" s="86"/>
      <c r="AD299" s="86"/>
      <c r="AE299" s="86"/>
    </row>
    <row r="300" spans="1:31" ht="15.75" customHeight="1">
      <c r="A300" s="3" t="s">
        <v>1765</v>
      </c>
      <c r="B300" s="89" t="s">
        <v>135</v>
      </c>
      <c r="C300" s="13" t="s">
        <v>147</v>
      </c>
      <c r="D300" s="110">
        <v>2012</v>
      </c>
      <c r="E300" s="89" t="s">
        <v>1704</v>
      </c>
      <c r="F300" s="89" t="s">
        <v>126</v>
      </c>
      <c r="G300" s="112" t="s">
        <v>2080</v>
      </c>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row>
    <row r="301" spans="1:31" ht="15.75" customHeight="1">
      <c r="A301" s="3" t="s">
        <v>1765</v>
      </c>
      <c r="B301" s="109" t="s">
        <v>840</v>
      </c>
      <c r="C301" s="13" t="s">
        <v>841</v>
      </c>
      <c r="D301" s="96">
        <v>2012</v>
      </c>
      <c r="E301" s="91" t="s">
        <v>1882</v>
      </c>
      <c r="F301" s="91" t="s">
        <v>191</v>
      </c>
      <c r="G301" s="91" t="s">
        <v>2081</v>
      </c>
      <c r="H301" s="86"/>
      <c r="I301" s="86"/>
      <c r="J301" s="86"/>
      <c r="K301" s="86"/>
      <c r="L301" s="86"/>
      <c r="M301" s="86"/>
      <c r="N301" s="86"/>
      <c r="O301" s="86"/>
      <c r="P301" s="86"/>
      <c r="Q301" s="86"/>
      <c r="R301" s="86"/>
      <c r="S301" s="86"/>
      <c r="T301" s="86"/>
      <c r="U301" s="86"/>
      <c r="V301" s="86"/>
      <c r="W301" s="86"/>
      <c r="X301" s="86"/>
      <c r="Y301" s="86"/>
      <c r="Z301" s="86"/>
      <c r="AA301" s="86"/>
      <c r="AB301" s="86"/>
      <c r="AC301" s="86"/>
      <c r="AD301" s="86"/>
      <c r="AE301" s="86"/>
    </row>
    <row r="302" spans="1:31" ht="15.75" customHeight="1">
      <c r="A302" s="3" t="s">
        <v>1765</v>
      </c>
      <c r="B302" s="109" t="s">
        <v>655</v>
      </c>
      <c r="C302" s="13" t="s">
        <v>656</v>
      </c>
      <c r="D302" s="96">
        <v>2012</v>
      </c>
      <c r="E302" s="91" t="s">
        <v>1707</v>
      </c>
      <c r="F302" s="91" t="s">
        <v>191</v>
      </c>
      <c r="G302" s="91" t="s">
        <v>2082</v>
      </c>
      <c r="H302" s="86"/>
      <c r="I302" s="86"/>
      <c r="J302" s="86"/>
      <c r="K302" s="86"/>
      <c r="L302" s="86"/>
      <c r="M302" s="86"/>
      <c r="N302" s="86"/>
      <c r="O302" s="86"/>
      <c r="P302" s="86"/>
      <c r="Q302" s="86"/>
      <c r="R302" s="86"/>
      <c r="S302" s="86"/>
      <c r="T302" s="86"/>
      <c r="U302" s="86"/>
      <c r="V302" s="86"/>
      <c r="W302" s="86"/>
      <c r="X302" s="86"/>
      <c r="Y302" s="86"/>
      <c r="Z302" s="86"/>
      <c r="AA302" s="86"/>
      <c r="AB302" s="86"/>
      <c r="AC302" s="86"/>
      <c r="AD302" s="86"/>
      <c r="AE302" s="86"/>
    </row>
    <row r="303" spans="1:31" ht="15.75" customHeight="1">
      <c r="A303" s="3" t="s">
        <v>1765</v>
      </c>
      <c r="B303" s="109" t="s">
        <v>1287</v>
      </c>
      <c r="C303" s="13" t="s">
        <v>1288</v>
      </c>
      <c r="D303" s="96">
        <v>2012</v>
      </c>
      <c r="E303" s="91" t="s">
        <v>1707</v>
      </c>
      <c r="F303" s="91" t="s">
        <v>191</v>
      </c>
      <c r="G303" s="91" t="s">
        <v>2083</v>
      </c>
      <c r="H303" s="86"/>
      <c r="I303" s="86"/>
      <c r="J303" s="86"/>
      <c r="K303" s="86"/>
      <c r="L303" s="86"/>
      <c r="M303" s="86"/>
      <c r="N303" s="86"/>
      <c r="O303" s="86"/>
      <c r="P303" s="86"/>
      <c r="Q303" s="86"/>
      <c r="R303" s="86"/>
      <c r="S303" s="86"/>
      <c r="T303" s="86"/>
      <c r="U303" s="86"/>
      <c r="V303" s="86"/>
      <c r="W303" s="86"/>
      <c r="X303" s="86"/>
      <c r="Y303" s="86"/>
      <c r="Z303" s="86"/>
      <c r="AA303" s="86"/>
      <c r="AB303" s="86"/>
      <c r="AC303" s="86"/>
      <c r="AD303" s="86"/>
      <c r="AE303" s="86"/>
    </row>
    <row r="304" spans="1:31" ht="15.75" customHeight="1">
      <c r="A304" s="3" t="s">
        <v>1765</v>
      </c>
      <c r="B304" s="86" t="s">
        <v>337</v>
      </c>
      <c r="C304" s="13" t="s">
        <v>338</v>
      </c>
      <c r="D304" s="85">
        <v>2012</v>
      </c>
      <c r="E304" s="86" t="s">
        <v>1882</v>
      </c>
      <c r="F304" s="86" t="s">
        <v>682</v>
      </c>
      <c r="G304" s="91" t="s">
        <v>2084</v>
      </c>
      <c r="H304" s="86"/>
      <c r="I304" s="86"/>
      <c r="J304" s="86"/>
      <c r="K304" s="86"/>
      <c r="L304" s="86"/>
      <c r="M304" s="86"/>
      <c r="N304" s="86"/>
      <c r="O304" s="86"/>
      <c r="P304" s="86"/>
      <c r="Q304" s="86"/>
      <c r="R304" s="86"/>
      <c r="S304" s="86"/>
      <c r="T304" s="86"/>
      <c r="U304" s="86"/>
      <c r="V304" s="86"/>
      <c r="W304" s="86"/>
      <c r="X304" s="86"/>
      <c r="Y304" s="86"/>
      <c r="Z304" s="86"/>
      <c r="AA304" s="86"/>
      <c r="AB304" s="86"/>
      <c r="AC304" s="86"/>
      <c r="AD304" s="86"/>
      <c r="AE304" s="86"/>
    </row>
    <row r="305" spans="1:31" ht="15.75" customHeight="1">
      <c r="A305" s="3" t="s">
        <v>1765</v>
      </c>
      <c r="B305" s="3" t="s">
        <v>173</v>
      </c>
      <c r="C305" s="13" t="s">
        <v>174</v>
      </c>
      <c r="D305" s="96">
        <v>2012</v>
      </c>
      <c r="E305" s="91" t="s">
        <v>1707</v>
      </c>
      <c r="F305" s="91" t="s">
        <v>1708</v>
      </c>
      <c r="G305" s="91" t="s">
        <v>2085</v>
      </c>
      <c r="H305" s="86"/>
      <c r="I305" s="86"/>
      <c r="J305" s="86"/>
      <c r="K305" s="86"/>
      <c r="L305" s="86"/>
      <c r="M305" s="86"/>
      <c r="N305" s="86"/>
      <c r="O305" s="86"/>
      <c r="P305" s="86"/>
      <c r="Q305" s="86"/>
      <c r="R305" s="86"/>
      <c r="S305" s="86"/>
      <c r="T305" s="86"/>
      <c r="U305" s="86"/>
      <c r="V305" s="86"/>
      <c r="W305" s="86"/>
      <c r="X305" s="86"/>
      <c r="Y305" s="86"/>
      <c r="Z305" s="86"/>
      <c r="AA305" s="86"/>
      <c r="AB305" s="86"/>
      <c r="AC305" s="86"/>
      <c r="AD305" s="86"/>
      <c r="AE305" s="86"/>
    </row>
    <row r="306" spans="1:31" ht="15.75" customHeight="1">
      <c r="A306" s="3" t="s">
        <v>1765</v>
      </c>
      <c r="B306" s="3" t="s">
        <v>599</v>
      </c>
      <c r="C306" s="13" t="s">
        <v>600</v>
      </c>
      <c r="D306" s="96">
        <v>2012</v>
      </c>
      <c r="E306" s="91" t="s">
        <v>1707</v>
      </c>
      <c r="F306" s="91" t="s">
        <v>1708</v>
      </c>
      <c r="G306" s="91" t="s">
        <v>2086</v>
      </c>
      <c r="H306" s="86"/>
      <c r="I306" s="86"/>
      <c r="J306" s="86"/>
      <c r="K306" s="86"/>
      <c r="L306" s="86"/>
      <c r="M306" s="86"/>
      <c r="N306" s="86"/>
      <c r="O306" s="86"/>
      <c r="P306" s="86"/>
      <c r="Q306" s="86"/>
      <c r="R306" s="86"/>
      <c r="S306" s="86"/>
      <c r="T306" s="86"/>
      <c r="U306" s="86"/>
      <c r="V306" s="86"/>
      <c r="W306" s="86"/>
      <c r="X306" s="86"/>
      <c r="Y306" s="86"/>
      <c r="Z306" s="86"/>
      <c r="AA306" s="86"/>
      <c r="AB306" s="86"/>
      <c r="AC306" s="86"/>
      <c r="AD306" s="86"/>
      <c r="AE306" s="86"/>
    </row>
    <row r="307" spans="1:31" ht="15.75" customHeight="1">
      <c r="A307" s="3" t="s">
        <v>1765</v>
      </c>
      <c r="B307" s="89" t="s">
        <v>383</v>
      </c>
      <c r="C307" s="13" t="s">
        <v>384</v>
      </c>
      <c r="D307" s="110">
        <v>2012</v>
      </c>
      <c r="E307" s="89" t="s">
        <v>1707</v>
      </c>
      <c r="F307" s="89" t="s">
        <v>1708</v>
      </c>
      <c r="G307" s="112" t="s">
        <v>2087</v>
      </c>
      <c r="H307" s="89"/>
      <c r="I307" s="89"/>
      <c r="J307" s="89"/>
      <c r="K307" s="89"/>
      <c r="L307" s="89"/>
      <c r="M307" s="89"/>
      <c r="N307" s="89"/>
      <c r="O307" s="89"/>
      <c r="P307" s="89"/>
      <c r="Q307" s="89"/>
      <c r="R307" s="89"/>
      <c r="S307" s="89"/>
      <c r="T307" s="89"/>
      <c r="U307" s="89"/>
      <c r="V307" s="89"/>
      <c r="W307" s="89"/>
      <c r="X307" s="89"/>
      <c r="Y307" s="89"/>
      <c r="Z307" s="89"/>
      <c r="AA307" s="89"/>
      <c r="AB307" s="89"/>
      <c r="AC307" s="89"/>
      <c r="AD307" s="89"/>
      <c r="AE307" s="89"/>
    </row>
    <row r="308" spans="1:31" ht="15.75" customHeight="1">
      <c r="A308" s="3" t="s">
        <v>1765</v>
      </c>
      <c r="B308" s="89" t="s">
        <v>381</v>
      </c>
      <c r="C308" s="13" t="s">
        <v>382</v>
      </c>
      <c r="D308" s="110">
        <v>2012</v>
      </c>
      <c r="E308" s="89" t="s">
        <v>1882</v>
      </c>
      <c r="F308" s="89" t="s">
        <v>1708</v>
      </c>
      <c r="G308" s="112" t="s">
        <v>2088</v>
      </c>
      <c r="H308" s="89"/>
      <c r="I308" s="89"/>
      <c r="J308" s="89"/>
      <c r="K308" s="89"/>
      <c r="L308" s="89"/>
      <c r="M308" s="89"/>
      <c r="N308" s="89"/>
      <c r="O308" s="89"/>
      <c r="P308" s="89"/>
      <c r="Q308" s="89"/>
      <c r="R308" s="89"/>
      <c r="S308" s="89"/>
      <c r="T308" s="89"/>
      <c r="U308" s="89"/>
      <c r="V308" s="89"/>
      <c r="W308" s="89"/>
      <c r="X308" s="89"/>
      <c r="Y308" s="89"/>
      <c r="Z308" s="89"/>
      <c r="AA308" s="89"/>
      <c r="AB308" s="89"/>
      <c r="AC308" s="89"/>
      <c r="AD308" s="89"/>
      <c r="AE308" s="89"/>
    </row>
    <row r="309" spans="1:31" ht="15.75" customHeight="1">
      <c r="A309" s="3" t="s">
        <v>1765</v>
      </c>
      <c r="B309" s="49" t="s">
        <v>942</v>
      </c>
      <c r="C309" s="13" t="s">
        <v>943</v>
      </c>
      <c r="D309" s="85">
        <v>2012</v>
      </c>
      <c r="E309" s="86" t="s">
        <v>1702</v>
      </c>
      <c r="F309" s="86" t="s">
        <v>629</v>
      </c>
      <c r="G309" s="91" t="s">
        <v>2089</v>
      </c>
      <c r="H309" s="86"/>
      <c r="I309" s="86"/>
      <c r="J309" s="86"/>
      <c r="K309" s="86"/>
      <c r="L309" s="86"/>
      <c r="M309" s="86"/>
      <c r="N309" s="86"/>
      <c r="O309" s="86"/>
      <c r="P309" s="86"/>
      <c r="Q309" s="86"/>
      <c r="R309" s="86"/>
      <c r="S309" s="86"/>
      <c r="T309" s="86"/>
      <c r="U309" s="86"/>
      <c r="V309" s="86"/>
      <c r="W309" s="86"/>
      <c r="X309" s="86"/>
      <c r="Y309" s="86"/>
      <c r="Z309" s="86"/>
      <c r="AA309" s="86"/>
      <c r="AB309" s="86"/>
      <c r="AC309" s="86"/>
      <c r="AD309" s="86"/>
      <c r="AE309" s="86"/>
    </row>
    <row r="310" spans="1:31" ht="15.75" customHeight="1">
      <c r="A310" s="3" t="s">
        <v>1765</v>
      </c>
      <c r="B310" s="49" t="s">
        <v>436</v>
      </c>
      <c r="C310" s="13" t="s">
        <v>920</v>
      </c>
      <c r="D310" s="85">
        <v>2012</v>
      </c>
      <c r="E310" s="86" t="s">
        <v>1704</v>
      </c>
      <c r="F310" s="86" t="s">
        <v>629</v>
      </c>
      <c r="G310" s="91" t="s">
        <v>2090</v>
      </c>
      <c r="H310" s="86"/>
      <c r="I310" s="86"/>
      <c r="J310" s="86"/>
      <c r="K310" s="86"/>
      <c r="L310" s="86"/>
      <c r="M310" s="86"/>
      <c r="N310" s="86"/>
      <c r="O310" s="86"/>
      <c r="P310" s="86"/>
      <c r="Q310" s="86"/>
      <c r="R310" s="86"/>
      <c r="S310" s="86"/>
      <c r="T310" s="86"/>
      <c r="U310" s="86"/>
      <c r="V310" s="86"/>
      <c r="W310" s="86"/>
      <c r="X310" s="86"/>
      <c r="Y310" s="86"/>
      <c r="Z310" s="86"/>
      <c r="AA310" s="86"/>
      <c r="AB310" s="86"/>
      <c r="AC310" s="86"/>
      <c r="AD310" s="86"/>
      <c r="AE310" s="86"/>
    </row>
    <row r="311" spans="1:31" ht="15.75" customHeight="1">
      <c r="A311" s="3" t="s">
        <v>1765</v>
      </c>
      <c r="B311" s="109" t="s">
        <v>479</v>
      </c>
      <c r="C311" s="13" t="s">
        <v>480</v>
      </c>
      <c r="D311" s="96">
        <v>2012</v>
      </c>
      <c r="E311" s="91" t="s">
        <v>1882</v>
      </c>
      <c r="F311" s="91" t="s">
        <v>116</v>
      </c>
      <c r="G311" s="91" t="s">
        <v>2091</v>
      </c>
      <c r="H311" s="86"/>
      <c r="I311" s="86"/>
      <c r="J311" s="86"/>
      <c r="K311" s="86"/>
      <c r="L311" s="86"/>
      <c r="M311" s="86"/>
      <c r="N311" s="86"/>
      <c r="O311" s="86"/>
      <c r="P311" s="86"/>
      <c r="Q311" s="86"/>
      <c r="R311" s="86"/>
      <c r="S311" s="86"/>
      <c r="T311" s="86"/>
      <c r="U311" s="86"/>
      <c r="V311" s="86"/>
      <c r="W311" s="86"/>
      <c r="X311" s="86"/>
      <c r="Y311" s="86"/>
      <c r="Z311" s="86"/>
      <c r="AA311" s="86"/>
      <c r="AB311" s="86"/>
      <c r="AC311" s="86"/>
      <c r="AD311" s="86"/>
      <c r="AE311" s="86"/>
    </row>
    <row r="312" spans="1:31" ht="15.75" customHeight="1">
      <c r="A312" s="3" t="s">
        <v>1765</v>
      </c>
      <c r="B312" s="109" t="s">
        <v>764</v>
      </c>
      <c r="C312" s="13" t="s">
        <v>765</v>
      </c>
      <c r="D312" s="96">
        <v>2012</v>
      </c>
      <c r="E312" s="91" t="s">
        <v>1702</v>
      </c>
      <c r="F312" s="91" t="s">
        <v>1870</v>
      </c>
      <c r="G312" s="91" t="s">
        <v>2092</v>
      </c>
      <c r="H312" s="86"/>
      <c r="I312" s="86"/>
      <c r="J312" s="86"/>
      <c r="K312" s="86"/>
      <c r="L312" s="86"/>
      <c r="M312" s="86"/>
      <c r="N312" s="86"/>
      <c r="O312" s="86"/>
      <c r="P312" s="86"/>
      <c r="Q312" s="86"/>
      <c r="R312" s="86"/>
      <c r="S312" s="86"/>
      <c r="T312" s="86"/>
      <c r="U312" s="86"/>
      <c r="V312" s="86"/>
      <c r="W312" s="86"/>
      <c r="X312" s="86"/>
      <c r="Y312" s="86"/>
      <c r="Z312" s="86"/>
      <c r="AA312" s="86"/>
      <c r="AB312" s="86"/>
      <c r="AC312" s="86"/>
      <c r="AD312" s="86"/>
      <c r="AE312" s="86"/>
    </row>
    <row r="313" spans="1:31" ht="15.75" customHeight="1">
      <c r="A313" s="3" t="s">
        <v>1765</v>
      </c>
      <c r="B313" s="89" t="s">
        <v>1679</v>
      </c>
      <c r="C313" s="13" t="s">
        <v>1680</v>
      </c>
      <c r="D313" s="110">
        <v>2012</v>
      </c>
      <c r="E313" s="91" t="s">
        <v>2063</v>
      </c>
      <c r="F313" s="89" t="s">
        <v>1870</v>
      </c>
      <c r="G313" s="112" t="s">
        <v>2093</v>
      </c>
      <c r="H313" s="89"/>
      <c r="I313" s="89"/>
      <c r="J313" s="89"/>
      <c r="K313" s="89"/>
      <c r="L313" s="89"/>
      <c r="M313" s="89"/>
      <c r="N313" s="89"/>
      <c r="O313" s="89"/>
      <c r="P313" s="89"/>
      <c r="Q313" s="89"/>
      <c r="R313" s="89"/>
      <c r="S313" s="89"/>
      <c r="T313" s="89"/>
      <c r="U313" s="89"/>
      <c r="V313" s="89"/>
      <c r="W313" s="89"/>
      <c r="X313" s="89"/>
      <c r="Y313" s="89"/>
      <c r="Z313" s="89"/>
      <c r="AA313" s="89"/>
      <c r="AB313" s="89"/>
      <c r="AC313" s="89"/>
      <c r="AD313" s="89"/>
      <c r="AE313" s="89"/>
    </row>
    <row r="314" spans="1:31" ht="15.75" customHeight="1">
      <c r="A314" s="3" t="s">
        <v>1765</v>
      </c>
      <c r="B314" s="109" t="s">
        <v>973</v>
      </c>
      <c r="C314" s="13" t="s">
        <v>974</v>
      </c>
      <c r="D314" s="96">
        <v>2012</v>
      </c>
      <c r="E314" s="91" t="s">
        <v>1882</v>
      </c>
      <c r="F314" s="91" t="s">
        <v>1870</v>
      </c>
      <c r="G314" s="91" t="s">
        <v>2094</v>
      </c>
      <c r="H314" s="86"/>
      <c r="I314" s="86"/>
      <c r="J314" s="86"/>
      <c r="K314" s="86"/>
      <c r="L314" s="86"/>
      <c r="M314" s="86"/>
      <c r="N314" s="86"/>
      <c r="O314" s="86"/>
      <c r="P314" s="86"/>
      <c r="Q314" s="86"/>
      <c r="R314" s="86"/>
      <c r="S314" s="86"/>
      <c r="T314" s="86"/>
      <c r="U314" s="86"/>
      <c r="V314" s="86"/>
      <c r="W314" s="86"/>
      <c r="X314" s="86"/>
      <c r="Y314" s="86"/>
      <c r="Z314" s="86"/>
      <c r="AA314" s="86"/>
      <c r="AB314" s="86"/>
      <c r="AC314" s="86"/>
      <c r="AD314" s="86"/>
      <c r="AE314" s="86"/>
    </row>
    <row r="315" spans="1:31" ht="15.75" customHeight="1">
      <c r="A315" s="3" t="s">
        <v>1765</v>
      </c>
      <c r="B315" s="86" t="s">
        <v>1464</v>
      </c>
      <c r="C315" s="13" t="s">
        <v>1465</v>
      </c>
      <c r="D315" s="96">
        <v>2012</v>
      </c>
      <c r="E315" s="91" t="s">
        <v>1707</v>
      </c>
      <c r="F315" s="91" t="s">
        <v>1870</v>
      </c>
      <c r="G315" s="91" t="s">
        <v>2095</v>
      </c>
      <c r="H315" s="86"/>
      <c r="I315" s="86"/>
      <c r="J315" s="86"/>
      <c r="K315" s="86"/>
      <c r="L315" s="86"/>
      <c r="M315" s="86"/>
      <c r="N315" s="86"/>
      <c r="O315" s="86"/>
      <c r="P315" s="86"/>
      <c r="Q315" s="86"/>
      <c r="R315" s="86"/>
      <c r="S315" s="86"/>
      <c r="T315" s="86"/>
      <c r="U315" s="86"/>
      <c r="V315" s="86"/>
      <c r="W315" s="86"/>
      <c r="X315" s="86"/>
      <c r="Y315" s="86"/>
      <c r="Z315" s="86"/>
      <c r="AA315" s="86"/>
      <c r="AB315" s="86"/>
      <c r="AC315" s="86"/>
      <c r="AD315" s="86"/>
      <c r="AE315" s="86"/>
    </row>
    <row r="316" spans="1:31" ht="15.75" customHeight="1">
      <c r="A316" s="3" t="s">
        <v>1765</v>
      </c>
      <c r="B316" s="109" t="s">
        <v>780</v>
      </c>
      <c r="C316" s="13" t="s">
        <v>781</v>
      </c>
      <c r="D316" s="96">
        <v>2012</v>
      </c>
      <c r="E316" s="91" t="s">
        <v>1707</v>
      </c>
      <c r="F316" s="91" t="s">
        <v>1870</v>
      </c>
      <c r="G316" s="91" t="s">
        <v>2096</v>
      </c>
      <c r="H316" s="86"/>
      <c r="I316" s="86"/>
      <c r="J316" s="86"/>
      <c r="K316" s="86"/>
      <c r="L316" s="86"/>
      <c r="M316" s="86"/>
      <c r="N316" s="86"/>
      <c r="O316" s="86"/>
      <c r="P316" s="86"/>
      <c r="Q316" s="86"/>
      <c r="R316" s="86"/>
      <c r="S316" s="86"/>
      <c r="T316" s="86"/>
      <c r="U316" s="86"/>
      <c r="V316" s="86"/>
      <c r="W316" s="86"/>
      <c r="X316" s="86"/>
      <c r="Y316" s="86"/>
      <c r="Z316" s="86"/>
      <c r="AA316" s="86"/>
      <c r="AB316" s="86"/>
      <c r="AC316" s="86"/>
      <c r="AD316" s="86"/>
      <c r="AE316" s="86"/>
    </row>
    <row r="317" spans="1:31" ht="15.75" customHeight="1">
      <c r="A317" s="3" t="s">
        <v>1765</v>
      </c>
      <c r="B317" s="109" t="s">
        <v>613</v>
      </c>
      <c r="C317" s="13" t="s">
        <v>614</v>
      </c>
      <c r="D317" s="96">
        <v>2012</v>
      </c>
      <c r="E317" s="91" t="s">
        <v>1707</v>
      </c>
      <c r="F317" s="91" t="s">
        <v>1831</v>
      </c>
      <c r="G317" s="91" t="s">
        <v>2097</v>
      </c>
      <c r="H317" s="86"/>
      <c r="I317" s="86"/>
      <c r="J317" s="86"/>
      <c r="K317" s="86"/>
      <c r="L317" s="86"/>
      <c r="M317" s="86"/>
      <c r="N317" s="86"/>
      <c r="O317" s="86"/>
      <c r="P317" s="86"/>
      <c r="Q317" s="86"/>
      <c r="R317" s="86"/>
      <c r="S317" s="86"/>
      <c r="T317" s="86"/>
      <c r="U317" s="86"/>
      <c r="V317" s="86"/>
      <c r="W317" s="86"/>
      <c r="X317" s="86"/>
      <c r="Y317" s="86"/>
      <c r="Z317" s="86"/>
      <c r="AA317" s="86"/>
      <c r="AB317" s="86"/>
      <c r="AC317" s="86"/>
      <c r="AD317" s="86"/>
      <c r="AE317" s="86"/>
    </row>
    <row r="318" spans="1:31" ht="15.75" customHeight="1">
      <c r="A318" s="3" t="s">
        <v>1765</v>
      </c>
      <c r="B318" s="109" t="s">
        <v>1486</v>
      </c>
      <c r="C318" s="13" t="s">
        <v>1487</v>
      </c>
      <c r="D318" s="96">
        <v>2013</v>
      </c>
      <c r="E318" s="91" t="s">
        <v>1707</v>
      </c>
      <c r="F318" s="91" t="s">
        <v>191</v>
      </c>
      <c r="G318" s="91" t="s">
        <v>2098</v>
      </c>
      <c r="H318" s="86"/>
      <c r="I318" s="86"/>
      <c r="J318" s="86"/>
      <c r="K318" s="86"/>
      <c r="L318" s="86"/>
      <c r="M318" s="86"/>
      <c r="N318" s="86"/>
      <c r="O318" s="86"/>
      <c r="P318" s="86"/>
      <c r="Q318" s="86"/>
      <c r="R318" s="86"/>
      <c r="S318" s="86"/>
      <c r="T318" s="86"/>
      <c r="U318" s="86"/>
      <c r="V318" s="86"/>
      <c r="W318" s="86"/>
      <c r="X318" s="86"/>
      <c r="Y318" s="86"/>
      <c r="Z318" s="86"/>
      <c r="AA318" s="86"/>
      <c r="AB318" s="86"/>
      <c r="AC318" s="86"/>
      <c r="AD318" s="86"/>
      <c r="AE318" s="86"/>
    </row>
    <row r="319" spans="1:31" ht="15.75" customHeight="1">
      <c r="A319" s="3" t="s">
        <v>1765</v>
      </c>
      <c r="B319" s="109" t="s">
        <v>219</v>
      </c>
      <c r="C319" s="13" t="s">
        <v>220</v>
      </c>
      <c r="D319" s="96">
        <v>2013</v>
      </c>
      <c r="E319" s="91" t="s">
        <v>1715</v>
      </c>
      <c r="F319" s="91" t="s">
        <v>205</v>
      </c>
      <c r="G319" s="91" t="s">
        <v>2099</v>
      </c>
      <c r="H319" s="86"/>
      <c r="I319" s="86"/>
      <c r="J319" s="86"/>
      <c r="K319" s="86"/>
      <c r="L319" s="86"/>
      <c r="M319" s="86"/>
      <c r="N319" s="86"/>
      <c r="O319" s="86"/>
      <c r="P319" s="86"/>
      <c r="Q319" s="86"/>
      <c r="R319" s="86"/>
      <c r="S319" s="86"/>
      <c r="T319" s="86"/>
      <c r="U319" s="86"/>
      <c r="V319" s="86"/>
      <c r="W319" s="86"/>
      <c r="X319" s="86"/>
      <c r="Y319" s="86"/>
      <c r="Z319" s="86"/>
      <c r="AA319" s="86"/>
      <c r="AB319" s="86"/>
      <c r="AC319" s="86"/>
      <c r="AD319" s="86"/>
      <c r="AE319" s="86"/>
    </row>
    <row r="320" spans="1:31" ht="15.75" customHeight="1">
      <c r="A320" s="3" t="s">
        <v>1765</v>
      </c>
      <c r="B320" s="89" t="s">
        <v>309</v>
      </c>
      <c r="C320" s="13" t="s">
        <v>310</v>
      </c>
      <c r="D320" s="110">
        <v>2013</v>
      </c>
      <c r="E320" s="89" t="s">
        <v>1707</v>
      </c>
      <c r="F320" s="89" t="s">
        <v>672</v>
      </c>
      <c r="G320" s="112" t="s">
        <v>2100</v>
      </c>
      <c r="H320" s="89"/>
      <c r="I320" s="89"/>
      <c r="J320" s="89"/>
      <c r="K320" s="89"/>
      <c r="L320" s="89"/>
      <c r="M320" s="89"/>
      <c r="N320" s="89"/>
      <c r="O320" s="89"/>
      <c r="P320" s="89"/>
      <c r="Q320" s="89"/>
      <c r="R320" s="89"/>
      <c r="S320" s="89"/>
      <c r="T320" s="89"/>
      <c r="U320" s="89"/>
      <c r="V320" s="89"/>
      <c r="W320" s="89"/>
      <c r="X320" s="89"/>
      <c r="Y320" s="89"/>
      <c r="Z320" s="89"/>
      <c r="AA320" s="89"/>
      <c r="AB320" s="89"/>
      <c r="AC320" s="89"/>
      <c r="AD320" s="89"/>
      <c r="AE320" s="89"/>
    </row>
    <row r="321" spans="1:31" ht="15.75" customHeight="1">
      <c r="A321" s="3" t="s">
        <v>1765</v>
      </c>
      <c r="B321" s="120" t="s">
        <v>676</v>
      </c>
      <c r="C321" s="13" t="s">
        <v>677</v>
      </c>
      <c r="D321" s="85">
        <v>2013</v>
      </c>
      <c r="E321" s="86" t="s">
        <v>1702</v>
      </c>
      <c r="F321" s="86" t="s">
        <v>672</v>
      </c>
      <c r="G321" s="114" t="s">
        <v>2101</v>
      </c>
      <c r="H321" s="86"/>
      <c r="I321" s="86"/>
      <c r="J321" s="86"/>
      <c r="K321" s="86"/>
      <c r="L321" s="86"/>
      <c r="M321" s="86"/>
      <c r="N321" s="86"/>
      <c r="O321" s="86"/>
      <c r="P321" s="86"/>
      <c r="Q321" s="86"/>
      <c r="R321" s="86"/>
      <c r="S321" s="86"/>
      <c r="T321" s="86"/>
      <c r="U321" s="86"/>
      <c r="V321" s="86"/>
      <c r="W321" s="86"/>
      <c r="X321" s="86"/>
      <c r="Y321" s="86"/>
      <c r="Z321" s="86"/>
      <c r="AA321" s="86"/>
      <c r="AB321" s="86"/>
      <c r="AC321" s="86"/>
      <c r="AD321" s="86"/>
      <c r="AE321" s="86"/>
    </row>
    <row r="322" spans="1:31" ht="15.75" customHeight="1">
      <c r="A322" s="3" t="s">
        <v>1765</v>
      </c>
      <c r="B322" s="121" t="s">
        <v>2102</v>
      </c>
      <c r="C322" s="122" t="s">
        <v>989</v>
      </c>
      <c r="D322" s="85">
        <v>2013</v>
      </c>
      <c r="E322" s="91" t="s">
        <v>2063</v>
      </c>
      <c r="F322" s="86" t="s">
        <v>353</v>
      </c>
      <c r="G322" s="91" t="s">
        <v>2103</v>
      </c>
      <c r="H322" s="86"/>
      <c r="I322" s="86"/>
      <c r="J322" s="86"/>
      <c r="K322" s="86"/>
      <c r="L322" s="86"/>
      <c r="M322" s="86"/>
      <c r="N322" s="86"/>
      <c r="O322" s="86"/>
      <c r="P322" s="86"/>
      <c r="Q322" s="86"/>
      <c r="R322" s="86"/>
      <c r="S322" s="86"/>
      <c r="T322" s="86"/>
      <c r="U322" s="86"/>
      <c r="V322" s="86"/>
      <c r="W322" s="86"/>
      <c r="X322" s="86"/>
      <c r="Y322" s="86"/>
      <c r="Z322" s="86"/>
      <c r="AA322" s="86"/>
      <c r="AB322" s="86"/>
      <c r="AC322" s="86"/>
      <c r="AD322" s="86"/>
      <c r="AE322" s="86"/>
    </row>
    <row r="323" spans="1:31" ht="15.75" customHeight="1">
      <c r="A323" s="3" t="s">
        <v>1765</v>
      </c>
      <c r="B323" s="3" t="s">
        <v>411</v>
      </c>
      <c r="C323" s="13" t="s">
        <v>412</v>
      </c>
      <c r="D323" s="96">
        <v>2013</v>
      </c>
      <c r="E323" s="91" t="s">
        <v>1704</v>
      </c>
      <c r="F323" s="91" t="s">
        <v>1708</v>
      </c>
      <c r="G323" s="91" t="s">
        <v>2104</v>
      </c>
      <c r="H323" s="86"/>
      <c r="I323" s="86"/>
      <c r="J323" s="86"/>
      <c r="K323" s="86"/>
      <c r="L323" s="86"/>
      <c r="M323" s="86"/>
      <c r="N323" s="86"/>
      <c r="O323" s="86"/>
      <c r="P323" s="86"/>
      <c r="Q323" s="86"/>
      <c r="R323" s="86"/>
      <c r="S323" s="86"/>
      <c r="T323" s="86"/>
      <c r="U323" s="86"/>
      <c r="V323" s="86"/>
      <c r="W323" s="86"/>
      <c r="X323" s="86"/>
      <c r="Y323" s="86"/>
      <c r="Z323" s="86"/>
      <c r="AA323" s="86"/>
      <c r="AB323" s="86"/>
      <c r="AC323" s="86"/>
      <c r="AD323" s="86"/>
      <c r="AE323" s="86"/>
    </row>
    <row r="324" spans="1:31" ht="15.75" customHeight="1">
      <c r="A324" s="3" t="s">
        <v>1765</v>
      </c>
      <c r="B324" s="109" t="s">
        <v>199</v>
      </c>
      <c r="C324" s="13" t="s">
        <v>200</v>
      </c>
      <c r="D324" s="96">
        <v>2013</v>
      </c>
      <c r="E324" s="91" t="s">
        <v>1707</v>
      </c>
      <c r="F324" s="91" t="s">
        <v>1708</v>
      </c>
      <c r="G324" s="91" t="s">
        <v>2105</v>
      </c>
      <c r="H324" s="86"/>
      <c r="I324" s="86"/>
      <c r="J324" s="86"/>
      <c r="K324" s="86"/>
      <c r="L324" s="86"/>
      <c r="M324" s="86"/>
      <c r="N324" s="86"/>
      <c r="O324" s="86"/>
      <c r="P324" s="86"/>
      <c r="Q324" s="86"/>
      <c r="R324" s="86"/>
      <c r="S324" s="86"/>
      <c r="T324" s="86"/>
      <c r="U324" s="86"/>
      <c r="V324" s="86"/>
      <c r="W324" s="86"/>
      <c r="X324" s="86"/>
      <c r="Y324" s="86"/>
      <c r="Z324" s="86"/>
      <c r="AA324" s="86"/>
      <c r="AB324" s="86"/>
      <c r="AC324" s="86"/>
      <c r="AD324" s="86"/>
      <c r="AE324" s="86"/>
    </row>
    <row r="325" spans="1:31" ht="15.75" customHeight="1">
      <c r="A325" s="3" t="s">
        <v>1765</v>
      </c>
      <c r="B325" s="89" t="s">
        <v>159</v>
      </c>
      <c r="C325" s="13" t="s">
        <v>160</v>
      </c>
      <c r="D325" s="110">
        <v>2013</v>
      </c>
      <c r="E325" s="89" t="s">
        <v>1704</v>
      </c>
      <c r="F325" s="89" t="s">
        <v>1708</v>
      </c>
      <c r="G325" s="112" t="s">
        <v>2106</v>
      </c>
      <c r="H325" s="89"/>
      <c r="I325" s="89"/>
      <c r="J325" s="89"/>
      <c r="K325" s="89"/>
      <c r="L325" s="89"/>
      <c r="M325" s="89"/>
      <c r="N325" s="89"/>
      <c r="O325" s="89"/>
      <c r="P325" s="89"/>
      <c r="Q325" s="89"/>
      <c r="R325" s="89"/>
      <c r="S325" s="89"/>
      <c r="T325" s="89"/>
      <c r="U325" s="89"/>
      <c r="V325" s="89"/>
      <c r="W325" s="89"/>
      <c r="X325" s="89"/>
      <c r="Y325" s="89"/>
      <c r="Z325" s="89"/>
      <c r="AA325" s="89"/>
      <c r="AB325" s="89"/>
      <c r="AC325" s="89"/>
      <c r="AD325" s="89"/>
      <c r="AE325" s="89"/>
    </row>
    <row r="326" spans="1:31" ht="15.75" customHeight="1">
      <c r="A326" s="3" t="s">
        <v>1765</v>
      </c>
      <c r="B326" s="3" t="s">
        <v>395</v>
      </c>
      <c r="C326" s="13" t="s">
        <v>396</v>
      </c>
      <c r="D326" s="96">
        <v>2013</v>
      </c>
      <c r="E326" s="91" t="s">
        <v>1707</v>
      </c>
      <c r="F326" s="91" t="s">
        <v>1841</v>
      </c>
      <c r="G326" s="91" t="s">
        <v>2107</v>
      </c>
      <c r="H326" s="86"/>
      <c r="I326" s="86"/>
      <c r="J326" s="86"/>
      <c r="K326" s="86"/>
      <c r="L326" s="86"/>
      <c r="M326" s="86"/>
      <c r="N326" s="86"/>
      <c r="O326" s="86"/>
      <c r="P326" s="86"/>
      <c r="Q326" s="86"/>
      <c r="R326" s="86"/>
      <c r="S326" s="86"/>
      <c r="T326" s="86"/>
      <c r="U326" s="86"/>
      <c r="V326" s="86"/>
      <c r="W326" s="86"/>
      <c r="X326" s="86"/>
      <c r="Y326" s="86"/>
      <c r="Z326" s="86"/>
      <c r="AA326" s="86"/>
      <c r="AB326" s="86"/>
      <c r="AC326" s="86"/>
      <c r="AD326" s="86"/>
      <c r="AE326" s="86"/>
    </row>
    <row r="327" spans="1:31" ht="15.75" customHeight="1">
      <c r="A327" s="3" t="s">
        <v>1765</v>
      </c>
      <c r="B327" s="109" t="s">
        <v>420</v>
      </c>
      <c r="C327" s="13" t="s">
        <v>421</v>
      </c>
      <c r="D327" s="96">
        <v>2013</v>
      </c>
      <c r="E327" s="91" t="s">
        <v>1707</v>
      </c>
      <c r="F327" s="91" t="s">
        <v>417</v>
      </c>
      <c r="G327" s="91" t="s">
        <v>2108</v>
      </c>
      <c r="H327" s="86"/>
      <c r="I327" s="86"/>
      <c r="J327" s="86"/>
      <c r="K327" s="86"/>
      <c r="L327" s="86"/>
      <c r="M327" s="86"/>
      <c r="N327" s="86"/>
      <c r="O327" s="86"/>
      <c r="P327" s="86"/>
      <c r="Q327" s="86"/>
      <c r="R327" s="86"/>
      <c r="S327" s="86"/>
      <c r="T327" s="86"/>
      <c r="U327" s="86"/>
      <c r="V327" s="86"/>
      <c r="W327" s="86"/>
      <c r="X327" s="86"/>
      <c r="Y327" s="86"/>
      <c r="Z327" s="86"/>
      <c r="AA327" s="86"/>
      <c r="AB327" s="86"/>
      <c r="AC327" s="86"/>
      <c r="AD327" s="86"/>
      <c r="AE327" s="86"/>
    </row>
    <row r="328" spans="1:31" ht="15.75" customHeight="1">
      <c r="A328" s="3" t="s">
        <v>1765</v>
      </c>
      <c r="B328" s="49" t="s">
        <v>1370</v>
      </c>
      <c r="C328" s="13" t="s">
        <v>1371</v>
      </c>
      <c r="D328" s="85">
        <v>2013</v>
      </c>
      <c r="E328" s="86" t="s">
        <v>1702</v>
      </c>
      <c r="F328" s="86" t="s">
        <v>629</v>
      </c>
      <c r="G328" s="91" t="s">
        <v>2109</v>
      </c>
      <c r="H328" s="86"/>
      <c r="I328" s="86"/>
      <c r="J328" s="86"/>
      <c r="K328" s="86"/>
      <c r="L328" s="86"/>
      <c r="M328" s="86"/>
      <c r="N328" s="86"/>
      <c r="O328" s="86"/>
      <c r="P328" s="86"/>
      <c r="Q328" s="86"/>
      <c r="R328" s="86"/>
      <c r="S328" s="86"/>
      <c r="T328" s="86"/>
      <c r="U328" s="86"/>
      <c r="V328" s="86"/>
      <c r="W328" s="86"/>
      <c r="X328" s="86"/>
      <c r="Y328" s="86"/>
      <c r="Z328" s="86"/>
      <c r="AA328" s="86"/>
      <c r="AB328" s="86"/>
      <c r="AC328" s="86"/>
      <c r="AD328" s="86"/>
      <c r="AE328" s="86"/>
    </row>
    <row r="329" spans="1:31" ht="15.75" customHeight="1">
      <c r="A329" s="3" t="s">
        <v>1765</v>
      </c>
      <c r="B329" s="86" t="s">
        <v>1036</v>
      </c>
      <c r="C329" s="13" t="s">
        <v>1022</v>
      </c>
      <c r="D329" s="85">
        <v>2013</v>
      </c>
      <c r="E329" s="86" t="s">
        <v>1702</v>
      </c>
      <c r="F329" s="86" t="s">
        <v>629</v>
      </c>
      <c r="G329" s="91" t="s">
        <v>2110</v>
      </c>
      <c r="H329" s="86"/>
      <c r="I329" s="86"/>
      <c r="J329" s="86"/>
      <c r="K329" s="86"/>
      <c r="L329" s="86"/>
      <c r="M329" s="86"/>
      <c r="N329" s="86"/>
      <c r="O329" s="86"/>
      <c r="P329" s="86"/>
      <c r="Q329" s="86"/>
      <c r="R329" s="86"/>
      <c r="S329" s="86"/>
      <c r="T329" s="86"/>
      <c r="U329" s="86"/>
      <c r="V329" s="86"/>
      <c r="W329" s="86"/>
      <c r="X329" s="86"/>
      <c r="Y329" s="86"/>
      <c r="Z329" s="86"/>
      <c r="AA329" s="86"/>
      <c r="AB329" s="86"/>
      <c r="AC329" s="86"/>
      <c r="AD329" s="86"/>
      <c r="AE329" s="86"/>
    </row>
    <row r="330" spans="1:31" ht="15.75" customHeight="1">
      <c r="A330" s="3" t="s">
        <v>1765</v>
      </c>
      <c r="B330" s="109" t="s">
        <v>1522</v>
      </c>
      <c r="C330" s="13" t="s">
        <v>1523</v>
      </c>
      <c r="D330" s="96">
        <v>2013</v>
      </c>
      <c r="E330" s="91" t="s">
        <v>2063</v>
      </c>
      <c r="F330" s="91" t="s">
        <v>116</v>
      </c>
      <c r="G330" s="91" t="s">
        <v>2111</v>
      </c>
      <c r="H330" s="86"/>
      <c r="I330" s="86"/>
      <c r="J330" s="86"/>
      <c r="K330" s="86"/>
      <c r="L330" s="86"/>
      <c r="M330" s="86"/>
      <c r="N330" s="86"/>
      <c r="O330" s="86"/>
      <c r="P330" s="86"/>
      <c r="Q330" s="86"/>
      <c r="R330" s="86"/>
      <c r="S330" s="86"/>
      <c r="T330" s="86"/>
      <c r="U330" s="86"/>
      <c r="V330" s="86"/>
      <c r="W330" s="86"/>
      <c r="X330" s="86"/>
      <c r="Y330" s="86"/>
      <c r="Z330" s="86"/>
      <c r="AA330" s="86"/>
      <c r="AB330" s="86"/>
      <c r="AC330" s="86"/>
      <c r="AD330" s="86"/>
      <c r="AE330" s="86"/>
    </row>
    <row r="331" spans="1:31" ht="15.75" customHeight="1">
      <c r="A331" s="3" t="s">
        <v>1765</v>
      </c>
      <c r="B331" s="109" t="s">
        <v>501</v>
      </c>
      <c r="C331" s="13" t="s">
        <v>502</v>
      </c>
      <c r="D331" s="96">
        <v>2013</v>
      </c>
      <c r="E331" s="91" t="s">
        <v>1702</v>
      </c>
      <c r="F331" s="91" t="s">
        <v>488</v>
      </c>
      <c r="G331" s="91" t="s">
        <v>2112</v>
      </c>
      <c r="H331" s="86"/>
      <c r="I331" s="86"/>
      <c r="J331" s="86"/>
      <c r="K331" s="86"/>
      <c r="L331" s="86"/>
      <c r="M331" s="86"/>
      <c r="N331" s="86"/>
      <c r="O331" s="86"/>
      <c r="P331" s="86"/>
      <c r="Q331" s="86"/>
      <c r="R331" s="86"/>
      <c r="S331" s="86"/>
      <c r="T331" s="86"/>
      <c r="U331" s="86"/>
      <c r="V331" s="86"/>
      <c r="W331" s="86"/>
      <c r="X331" s="86"/>
      <c r="Y331" s="86"/>
      <c r="Z331" s="86"/>
      <c r="AA331" s="86"/>
      <c r="AB331" s="86"/>
      <c r="AC331" s="86"/>
      <c r="AD331" s="86"/>
      <c r="AE331" s="86"/>
    </row>
    <row r="332" spans="1:31" ht="15.75" customHeight="1">
      <c r="A332" s="3" t="s">
        <v>1765</v>
      </c>
      <c r="B332" s="109" t="s">
        <v>769</v>
      </c>
      <c r="C332" s="13" t="s">
        <v>770</v>
      </c>
      <c r="D332" s="96">
        <v>2013</v>
      </c>
      <c r="E332" s="91" t="s">
        <v>1707</v>
      </c>
      <c r="F332" s="91" t="s">
        <v>1870</v>
      </c>
      <c r="G332" s="91" t="s">
        <v>2113</v>
      </c>
      <c r="H332" s="86"/>
      <c r="I332" s="86"/>
      <c r="J332" s="86"/>
      <c r="K332" s="86"/>
      <c r="L332" s="86"/>
      <c r="M332" s="86"/>
      <c r="N332" s="86"/>
      <c r="O332" s="86"/>
      <c r="P332" s="86"/>
      <c r="Q332" s="86"/>
      <c r="R332" s="86"/>
      <c r="S332" s="86"/>
      <c r="T332" s="86"/>
      <c r="U332" s="86"/>
      <c r="V332" s="86"/>
      <c r="W332" s="86"/>
      <c r="X332" s="86"/>
      <c r="Y332" s="86"/>
      <c r="Z332" s="86"/>
      <c r="AA332" s="86"/>
      <c r="AB332" s="86"/>
      <c r="AC332" s="86"/>
      <c r="AD332" s="86"/>
      <c r="AE332" s="86"/>
    </row>
    <row r="333" spans="1:31" ht="15.75" customHeight="1">
      <c r="A333" s="3" t="s">
        <v>1765</v>
      </c>
      <c r="B333" s="3" t="s">
        <v>536</v>
      </c>
      <c r="C333" s="13" t="s">
        <v>537</v>
      </c>
      <c r="D333" s="96">
        <v>2013</v>
      </c>
      <c r="E333" s="91" t="s">
        <v>1707</v>
      </c>
      <c r="F333" s="91" t="s">
        <v>1870</v>
      </c>
      <c r="G333" s="91" t="s">
        <v>2114</v>
      </c>
      <c r="H333" s="86"/>
      <c r="I333" s="86"/>
      <c r="J333" s="86"/>
      <c r="K333" s="86"/>
      <c r="L333" s="86"/>
      <c r="M333" s="86"/>
      <c r="N333" s="86"/>
      <c r="O333" s="86"/>
      <c r="P333" s="86"/>
      <c r="Q333" s="86"/>
      <c r="R333" s="86"/>
      <c r="S333" s="86"/>
      <c r="T333" s="86"/>
      <c r="U333" s="86"/>
      <c r="V333" s="86"/>
      <c r="W333" s="86"/>
      <c r="X333" s="86"/>
      <c r="Y333" s="86"/>
      <c r="Z333" s="86"/>
      <c r="AA333" s="86"/>
      <c r="AB333" s="86"/>
      <c r="AC333" s="86"/>
      <c r="AD333" s="86"/>
      <c r="AE333" s="86"/>
    </row>
    <row r="334" spans="1:31" ht="15.75" customHeight="1">
      <c r="A334" s="3" t="s">
        <v>1765</v>
      </c>
      <c r="B334" s="3" t="s">
        <v>804</v>
      </c>
      <c r="C334" s="13" t="s">
        <v>805</v>
      </c>
      <c r="D334" s="96">
        <v>2014</v>
      </c>
      <c r="E334" s="91" t="s">
        <v>1707</v>
      </c>
      <c r="F334" s="91" t="s">
        <v>1846</v>
      </c>
      <c r="G334" s="91" t="s">
        <v>2115</v>
      </c>
      <c r="H334" s="86"/>
      <c r="I334" s="86"/>
      <c r="J334" s="86"/>
      <c r="K334" s="86"/>
      <c r="L334" s="86"/>
      <c r="M334" s="86"/>
      <c r="N334" s="86"/>
      <c r="O334" s="86"/>
      <c r="P334" s="86"/>
      <c r="Q334" s="86"/>
      <c r="R334" s="86"/>
      <c r="S334" s="86"/>
      <c r="T334" s="86"/>
      <c r="U334" s="86"/>
      <c r="V334" s="86"/>
      <c r="W334" s="86"/>
      <c r="X334" s="86"/>
      <c r="Y334" s="86"/>
      <c r="Z334" s="86"/>
      <c r="AA334" s="86"/>
      <c r="AB334" s="86"/>
      <c r="AC334" s="86"/>
      <c r="AD334" s="86"/>
      <c r="AE334" s="86"/>
    </row>
    <row r="335" spans="1:31" ht="15.75" customHeight="1">
      <c r="A335" s="3" t="s">
        <v>1765</v>
      </c>
      <c r="B335" s="109" t="s">
        <v>1599</v>
      </c>
      <c r="C335" s="13" t="s">
        <v>1600</v>
      </c>
      <c r="D335" s="96">
        <v>2014</v>
      </c>
      <c r="E335" s="91" t="s">
        <v>1702</v>
      </c>
      <c r="F335" s="91" t="s">
        <v>1846</v>
      </c>
      <c r="G335" s="91" t="s">
        <v>2116</v>
      </c>
      <c r="H335" s="86"/>
      <c r="I335" s="86"/>
      <c r="J335" s="86"/>
      <c r="K335" s="86"/>
      <c r="L335" s="86"/>
      <c r="M335" s="86"/>
      <c r="N335" s="86"/>
      <c r="O335" s="86"/>
      <c r="P335" s="86"/>
      <c r="Q335" s="86"/>
      <c r="R335" s="86"/>
      <c r="S335" s="86"/>
      <c r="T335" s="86"/>
      <c r="U335" s="86"/>
      <c r="V335" s="86"/>
      <c r="W335" s="86"/>
      <c r="X335" s="86"/>
      <c r="Y335" s="86"/>
      <c r="Z335" s="86"/>
      <c r="AA335" s="86"/>
      <c r="AB335" s="86"/>
      <c r="AC335" s="86"/>
      <c r="AD335" s="86"/>
      <c r="AE335" s="86"/>
    </row>
    <row r="336" spans="1:31" ht="15.75" customHeight="1">
      <c r="A336" s="3" t="s">
        <v>1765</v>
      </c>
      <c r="B336" s="109" t="s">
        <v>182</v>
      </c>
      <c r="C336" s="13" t="s">
        <v>183</v>
      </c>
      <c r="D336" s="96">
        <v>2014</v>
      </c>
      <c r="E336" s="91" t="s">
        <v>1882</v>
      </c>
      <c r="F336" s="91" t="s">
        <v>179</v>
      </c>
      <c r="G336" s="91" t="s">
        <v>2117</v>
      </c>
      <c r="H336" s="86"/>
      <c r="I336" s="86"/>
      <c r="J336" s="86"/>
      <c r="K336" s="86"/>
      <c r="L336" s="86"/>
      <c r="M336" s="86"/>
      <c r="N336" s="86"/>
      <c r="O336" s="86"/>
      <c r="P336" s="86"/>
      <c r="Q336" s="86"/>
      <c r="R336" s="86"/>
      <c r="S336" s="86"/>
      <c r="T336" s="86"/>
      <c r="U336" s="86"/>
      <c r="V336" s="86"/>
      <c r="W336" s="86"/>
      <c r="X336" s="86"/>
      <c r="Y336" s="86"/>
      <c r="Z336" s="86"/>
      <c r="AA336" s="86"/>
      <c r="AB336" s="86"/>
      <c r="AC336" s="86"/>
      <c r="AD336" s="86"/>
      <c r="AE336" s="86"/>
    </row>
    <row r="337" spans="1:31" ht="15.75" customHeight="1">
      <c r="A337" s="3" t="s">
        <v>1765</v>
      </c>
      <c r="B337" s="86" t="s">
        <v>1049</v>
      </c>
      <c r="C337" s="13" t="s">
        <v>1050</v>
      </c>
      <c r="D337" s="85">
        <v>2014</v>
      </c>
      <c r="E337" s="91" t="s">
        <v>1707</v>
      </c>
      <c r="F337" s="91" t="s">
        <v>179</v>
      </c>
      <c r="G337" s="89" t="s">
        <v>2118</v>
      </c>
      <c r="H337" s="86"/>
      <c r="I337" s="86"/>
      <c r="J337" s="86"/>
      <c r="K337" s="86"/>
      <c r="L337" s="86"/>
      <c r="M337" s="86"/>
      <c r="N337" s="86"/>
      <c r="O337" s="86"/>
      <c r="P337" s="86"/>
      <c r="Q337" s="86"/>
      <c r="R337" s="86"/>
      <c r="S337" s="86"/>
      <c r="T337" s="86"/>
      <c r="U337" s="86"/>
      <c r="V337" s="86"/>
      <c r="W337" s="86"/>
      <c r="X337" s="86"/>
      <c r="Y337" s="86"/>
      <c r="Z337" s="86"/>
      <c r="AA337" s="86"/>
      <c r="AB337" s="86"/>
      <c r="AC337" s="86"/>
      <c r="AD337" s="86"/>
      <c r="AE337" s="86"/>
    </row>
    <row r="338" spans="1:31" ht="15.75" customHeight="1">
      <c r="A338" s="3" t="s">
        <v>1765</v>
      </c>
      <c r="B338" s="109" t="s">
        <v>670</v>
      </c>
      <c r="C338" s="13" t="s">
        <v>671</v>
      </c>
      <c r="D338" s="96">
        <v>2014</v>
      </c>
      <c r="E338" s="91" t="s">
        <v>1702</v>
      </c>
      <c r="F338" s="91" t="s">
        <v>191</v>
      </c>
      <c r="G338" s="91" t="s">
        <v>2119</v>
      </c>
      <c r="H338" s="86"/>
      <c r="I338" s="86"/>
      <c r="J338" s="86"/>
      <c r="K338" s="86"/>
      <c r="L338" s="86"/>
      <c r="M338" s="86"/>
      <c r="N338" s="86"/>
      <c r="O338" s="86"/>
      <c r="P338" s="86"/>
      <c r="Q338" s="86"/>
      <c r="R338" s="86"/>
      <c r="S338" s="86"/>
      <c r="T338" s="86"/>
      <c r="U338" s="86"/>
      <c r="V338" s="86"/>
      <c r="W338" s="86"/>
      <c r="X338" s="86"/>
      <c r="Y338" s="86"/>
      <c r="Z338" s="86"/>
      <c r="AA338" s="86"/>
      <c r="AB338" s="86"/>
      <c r="AC338" s="86"/>
      <c r="AD338" s="86"/>
      <c r="AE338" s="86"/>
    </row>
    <row r="339" spans="1:31" ht="15.75" customHeight="1">
      <c r="A339" s="3" t="s">
        <v>1765</v>
      </c>
      <c r="B339" s="86" t="s">
        <v>1480</v>
      </c>
      <c r="C339" s="13" t="s">
        <v>1481</v>
      </c>
      <c r="D339" s="96">
        <v>2014</v>
      </c>
      <c r="E339" s="91" t="s">
        <v>1707</v>
      </c>
      <c r="F339" s="91" t="s">
        <v>191</v>
      </c>
      <c r="G339" s="91" t="s">
        <v>2120</v>
      </c>
      <c r="H339" s="86"/>
      <c r="I339" s="86"/>
      <c r="J339" s="86"/>
      <c r="K339" s="86"/>
      <c r="L339" s="86"/>
      <c r="M339" s="86"/>
      <c r="N339" s="86"/>
      <c r="O339" s="86"/>
      <c r="P339" s="86"/>
      <c r="Q339" s="86"/>
      <c r="R339" s="86"/>
      <c r="S339" s="86"/>
      <c r="T339" s="86"/>
      <c r="U339" s="86"/>
      <c r="V339" s="86"/>
      <c r="W339" s="86"/>
      <c r="X339" s="86"/>
      <c r="Y339" s="86"/>
      <c r="Z339" s="86"/>
      <c r="AA339" s="86"/>
      <c r="AB339" s="86"/>
      <c r="AC339" s="86"/>
      <c r="AD339" s="86"/>
      <c r="AE339" s="86"/>
    </row>
    <row r="340" spans="1:31" ht="15.75" customHeight="1">
      <c r="A340" s="3" t="s">
        <v>1765</v>
      </c>
      <c r="B340" s="109" t="s">
        <v>211</v>
      </c>
      <c r="C340" s="13" t="s">
        <v>212</v>
      </c>
      <c r="D340" s="96">
        <v>2014</v>
      </c>
      <c r="E340" s="91" t="s">
        <v>1707</v>
      </c>
      <c r="F340" s="91" t="s">
        <v>205</v>
      </c>
      <c r="G340" s="91" t="s">
        <v>2121</v>
      </c>
      <c r="H340" s="86"/>
      <c r="I340" s="86"/>
      <c r="J340" s="86"/>
      <c r="K340" s="86"/>
      <c r="L340" s="86"/>
      <c r="M340" s="86"/>
      <c r="N340" s="86"/>
      <c r="O340" s="86"/>
      <c r="P340" s="86"/>
      <c r="Q340" s="86"/>
      <c r="R340" s="86"/>
      <c r="S340" s="86"/>
      <c r="T340" s="86"/>
      <c r="U340" s="86"/>
      <c r="V340" s="86"/>
      <c r="W340" s="86"/>
      <c r="X340" s="86"/>
      <c r="Y340" s="86"/>
      <c r="Z340" s="86"/>
      <c r="AA340" s="86"/>
      <c r="AB340" s="86"/>
      <c r="AC340" s="86"/>
      <c r="AD340" s="86"/>
      <c r="AE340" s="86"/>
    </row>
    <row r="341" spans="1:31" ht="15.75" customHeight="1">
      <c r="A341" s="3" t="s">
        <v>1765</v>
      </c>
      <c r="B341" s="109" t="s">
        <v>215</v>
      </c>
      <c r="C341" s="13" t="s">
        <v>216</v>
      </c>
      <c r="D341" s="96">
        <v>2014</v>
      </c>
      <c r="E341" s="91" t="s">
        <v>1882</v>
      </c>
      <c r="F341" s="91" t="s">
        <v>205</v>
      </c>
      <c r="G341" s="91" t="s">
        <v>2122</v>
      </c>
      <c r="H341" s="86"/>
      <c r="I341" s="86"/>
      <c r="J341" s="86"/>
      <c r="K341" s="86"/>
      <c r="L341" s="86"/>
      <c r="M341" s="86"/>
      <c r="N341" s="86"/>
      <c r="O341" s="86"/>
      <c r="P341" s="86"/>
      <c r="Q341" s="86"/>
      <c r="R341" s="86"/>
      <c r="S341" s="86"/>
      <c r="T341" s="86"/>
      <c r="U341" s="86"/>
      <c r="V341" s="86"/>
      <c r="W341" s="86"/>
      <c r="X341" s="86"/>
      <c r="Y341" s="86"/>
      <c r="Z341" s="86"/>
      <c r="AA341" s="86"/>
      <c r="AB341" s="86"/>
      <c r="AC341" s="86"/>
      <c r="AD341" s="86"/>
      <c r="AE341" s="86"/>
    </row>
    <row r="342" spans="1:31" ht="15.75" customHeight="1">
      <c r="A342" s="3" t="s">
        <v>1765</v>
      </c>
      <c r="B342" s="86" t="s">
        <v>2123</v>
      </c>
      <c r="C342" s="92" t="s">
        <v>224</v>
      </c>
      <c r="D342" s="85">
        <v>2014</v>
      </c>
      <c r="E342" s="86" t="s">
        <v>1715</v>
      </c>
      <c r="F342" s="91" t="s">
        <v>205</v>
      </c>
      <c r="G342" s="89" t="s">
        <v>2124</v>
      </c>
      <c r="H342" s="86"/>
      <c r="I342" s="86"/>
      <c r="J342" s="86"/>
      <c r="K342" s="86"/>
      <c r="L342" s="86"/>
      <c r="M342" s="86"/>
      <c r="N342" s="86"/>
      <c r="O342" s="86"/>
      <c r="P342" s="86"/>
      <c r="Q342" s="86"/>
      <c r="R342" s="86"/>
      <c r="S342" s="86"/>
      <c r="T342" s="86"/>
      <c r="U342" s="86"/>
      <c r="V342" s="86"/>
      <c r="W342" s="86"/>
      <c r="X342" s="86"/>
      <c r="Y342" s="86"/>
      <c r="Z342" s="86"/>
      <c r="AA342" s="86"/>
      <c r="AB342" s="86"/>
      <c r="AC342" s="86"/>
      <c r="AD342" s="86"/>
      <c r="AE342" s="86"/>
    </row>
    <row r="343" spans="1:31" ht="15.75" customHeight="1">
      <c r="A343" s="3" t="s">
        <v>1765</v>
      </c>
      <c r="B343" s="86" t="s">
        <v>688</v>
      </c>
      <c r="C343" s="13" t="s">
        <v>689</v>
      </c>
      <c r="D343" s="85">
        <v>2014</v>
      </c>
      <c r="E343" s="86" t="s">
        <v>1882</v>
      </c>
      <c r="F343" s="86" t="s">
        <v>682</v>
      </c>
      <c r="G343" s="91" t="s">
        <v>2125</v>
      </c>
      <c r="H343" s="86"/>
      <c r="I343" s="86"/>
      <c r="J343" s="86"/>
      <c r="K343" s="86"/>
      <c r="L343" s="86"/>
      <c r="M343" s="86"/>
      <c r="N343" s="86"/>
      <c r="O343" s="86"/>
      <c r="P343" s="86"/>
      <c r="Q343" s="86"/>
      <c r="R343" s="86"/>
      <c r="S343" s="86"/>
      <c r="T343" s="86"/>
      <c r="U343" s="86"/>
      <c r="V343" s="86"/>
      <c r="W343" s="86"/>
      <c r="X343" s="86"/>
      <c r="Y343" s="86"/>
      <c r="Z343" s="86"/>
      <c r="AA343" s="86"/>
      <c r="AB343" s="86"/>
      <c r="AC343" s="86"/>
      <c r="AD343" s="86"/>
      <c r="AE343" s="86"/>
    </row>
    <row r="344" spans="1:31" ht="15.75" customHeight="1">
      <c r="A344" s="3" t="s">
        <v>1765</v>
      </c>
      <c r="B344" s="89" t="s">
        <v>595</v>
      </c>
      <c r="C344" s="13" t="s">
        <v>596</v>
      </c>
      <c r="D344" s="110">
        <v>2014</v>
      </c>
      <c r="E344" s="89" t="s">
        <v>1707</v>
      </c>
      <c r="F344" s="89" t="s">
        <v>1708</v>
      </c>
      <c r="G344" s="112" t="s">
        <v>2126</v>
      </c>
      <c r="H344" s="89"/>
      <c r="I344" s="89"/>
      <c r="J344" s="89"/>
      <c r="K344" s="89"/>
      <c r="L344" s="89"/>
      <c r="M344" s="89"/>
      <c r="N344" s="89"/>
      <c r="O344" s="89"/>
      <c r="P344" s="89"/>
      <c r="Q344" s="89"/>
      <c r="R344" s="89"/>
      <c r="S344" s="89"/>
      <c r="T344" s="89"/>
      <c r="U344" s="89"/>
      <c r="V344" s="89"/>
      <c r="W344" s="89"/>
      <c r="X344" s="89"/>
      <c r="Y344" s="89"/>
      <c r="Z344" s="89"/>
      <c r="AA344" s="89"/>
      <c r="AB344" s="89"/>
      <c r="AC344" s="89"/>
      <c r="AD344" s="89"/>
      <c r="AE344" s="89"/>
    </row>
    <row r="345" spans="1:31" ht="15.75" customHeight="1">
      <c r="A345" s="3" t="s">
        <v>1765</v>
      </c>
      <c r="B345" s="3" t="s">
        <v>2127</v>
      </c>
      <c r="C345" s="13" t="s">
        <v>2128</v>
      </c>
      <c r="D345" s="96">
        <v>2014</v>
      </c>
      <c r="E345" s="91" t="s">
        <v>1702</v>
      </c>
      <c r="F345" s="91" t="s">
        <v>1708</v>
      </c>
      <c r="G345" s="91" t="s">
        <v>2129</v>
      </c>
      <c r="H345" s="86"/>
      <c r="I345" s="86"/>
      <c r="J345" s="86"/>
      <c r="K345" s="86"/>
      <c r="L345" s="86"/>
      <c r="M345" s="86"/>
      <c r="N345" s="86"/>
      <c r="O345" s="86"/>
      <c r="P345" s="86"/>
      <c r="Q345" s="86"/>
      <c r="R345" s="86"/>
      <c r="S345" s="86"/>
      <c r="T345" s="86"/>
      <c r="U345" s="86"/>
      <c r="V345" s="86"/>
      <c r="W345" s="86"/>
      <c r="X345" s="86"/>
      <c r="Y345" s="86"/>
      <c r="Z345" s="86"/>
      <c r="AA345" s="86"/>
      <c r="AB345" s="86"/>
      <c r="AC345" s="86"/>
      <c r="AD345" s="86"/>
      <c r="AE345" s="86"/>
    </row>
    <row r="346" spans="1:31" ht="15.75" customHeight="1">
      <c r="A346" s="3" t="s">
        <v>1765</v>
      </c>
      <c r="B346" s="109" t="s">
        <v>261</v>
      </c>
      <c r="C346" s="13" t="s">
        <v>262</v>
      </c>
      <c r="D346" s="96">
        <v>2014</v>
      </c>
      <c r="E346" s="91" t="s">
        <v>1707</v>
      </c>
      <c r="F346" s="91" t="s">
        <v>1708</v>
      </c>
      <c r="G346" s="91" t="s">
        <v>2130</v>
      </c>
      <c r="H346" s="86"/>
      <c r="I346" s="86"/>
      <c r="J346" s="86"/>
      <c r="K346" s="86"/>
      <c r="L346" s="86"/>
      <c r="M346" s="86"/>
      <c r="N346" s="86"/>
      <c r="O346" s="86"/>
      <c r="P346" s="86"/>
      <c r="Q346" s="86"/>
      <c r="R346" s="86"/>
      <c r="S346" s="86"/>
      <c r="T346" s="86"/>
      <c r="U346" s="86"/>
      <c r="V346" s="86"/>
      <c r="W346" s="86"/>
      <c r="X346" s="86"/>
      <c r="Y346" s="86"/>
      <c r="Z346" s="86"/>
      <c r="AA346" s="86"/>
      <c r="AB346" s="86"/>
      <c r="AC346" s="86"/>
      <c r="AD346" s="86"/>
      <c r="AE346" s="86"/>
    </row>
    <row r="347" spans="1:31" ht="15.75" customHeight="1">
      <c r="A347" s="3" t="s">
        <v>1765</v>
      </c>
      <c r="B347" s="89" t="s">
        <v>263</v>
      </c>
      <c r="C347" s="13" t="s">
        <v>264</v>
      </c>
      <c r="D347" s="110">
        <v>2014</v>
      </c>
      <c r="E347" s="89" t="s">
        <v>1702</v>
      </c>
      <c r="F347" s="89" t="s">
        <v>1708</v>
      </c>
      <c r="G347" s="112" t="s">
        <v>2131</v>
      </c>
      <c r="H347" s="89"/>
      <c r="I347" s="89"/>
      <c r="J347" s="89"/>
      <c r="K347" s="89"/>
      <c r="L347" s="89"/>
      <c r="M347" s="89"/>
      <c r="N347" s="89"/>
      <c r="O347" s="89"/>
      <c r="P347" s="89"/>
      <c r="Q347" s="89"/>
      <c r="R347" s="89"/>
      <c r="S347" s="89"/>
      <c r="T347" s="89"/>
      <c r="U347" s="89"/>
      <c r="V347" s="89"/>
      <c r="W347" s="89"/>
      <c r="X347" s="89"/>
      <c r="Y347" s="89"/>
      <c r="Z347" s="89"/>
      <c r="AA347" s="89"/>
      <c r="AB347" s="89"/>
      <c r="AC347" s="89"/>
      <c r="AD347" s="89"/>
      <c r="AE347" s="89"/>
    </row>
    <row r="348" spans="1:31" ht="15.75" customHeight="1">
      <c r="A348" s="3" t="s">
        <v>1765</v>
      </c>
      <c r="B348" s="89" t="s">
        <v>540</v>
      </c>
      <c r="C348" s="13" t="s">
        <v>541</v>
      </c>
      <c r="D348" s="110">
        <v>2014</v>
      </c>
      <c r="E348" s="89" t="s">
        <v>1707</v>
      </c>
      <c r="F348" s="89" t="s">
        <v>1708</v>
      </c>
      <c r="G348" s="112" t="s">
        <v>2132</v>
      </c>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c r="AE348" s="89"/>
    </row>
    <row r="349" spans="1:31" ht="15.75" customHeight="1">
      <c r="A349" s="3" t="s">
        <v>1765</v>
      </c>
      <c r="B349" s="109" t="s">
        <v>590</v>
      </c>
      <c r="C349" s="13" t="s">
        <v>591</v>
      </c>
      <c r="D349" s="96">
        <v>2014</v>
      </c>
      <c r="E349" s="91" t="s">
        <v>1704</v>
      </c>
      <c r="F349" s="91" t="s">
        <v>1708</v>
      </c>
      <c r="G349" s="91" t="s">
        <v>2133</v>
      </c>
      <c r="H349" s="86"/>
      <c r="I349" s="86"/>
      <c r="J349" s="86"/>
      <c r="K349" s="86"/>
      <c r="L349" s="86"/>
      <c r="M349" s="86"/>
      <c r="N349" s="86"/>
      <c r="O349" s="86"/>
      <c r="P349" s="86"/>
      <c r="Q349" s="86"/>
      <c r="R349" s="86"/>
      <c r="S349" s="86"/>
      <c r="T349" s="86"/>
      <c r="U349" s="86"/>
      <c r="V349" s="86"/>
      <c r="W349" s="86"/>
      <c r="X349" s="86"/>
      <c r="Y349" s="86"/>
      <c r="Z349" s="86"/>
      <c r="AA349" s="86"/>
      <c r="AB349" s="86"/>
      <c r="AC349" s="86"/>
      <c r="AD349" s="86"/>
      <c r="AE349" s="86"/>
    </row>
    <row r="350" spans="1:31" ht="15.75" customHeight="1">
      <c r="A350" s="3" t="s">
        <v>1765</v>
      </c>
      <c r="B350" s="89" t="s">
        <v>345</v>
      </c>
      <c r="C350" s="13" t="s">
        <v>346</v>
      </c>
      <c r="D350" s="110">
        <v>2014</v>
      </c>
      <c r="E350" s="89" t="s">
        <v>1882</v>
      </c>
      <c r="F350" s="89" t="s">
        <v>1708</v>
      </c>
      <c r="G350" s="112" t="s">
        <v>2134</v>
      </c>
      <c r="H350" s="89"/>
      <c r="I350" s="89"/>
      <c r="J350" s="89"/>
      <c r="K350" s="89"/>
      <c r="L350" s="89"/>
      <c r="M350" s="89"/>
      <c r="N350" s="89"/>
      <c r="O350" s="89"/>
      <c r="P350" s="89"/>
      <c r="Q350" s="89"/>
      <c r="R350" s="89"/>
      <c r="S350" s="89"/>
      <c r="T350" s="89"/>
      <c r="U350" s="89"/>
      <c r="V350" s="89"/>
      <c r="W350" s="89"/>
      <c r="X350" s="89"/>
      <c r="Y350" s="89"/>
      <c r="Z350" s="89"/>
      <c r="AA350" s="89"/>
      <c r="AB350" s="89"/>
      <c r="AC350" s="89"/>
      <c r="AD350" s="89"/>
      <c r="AE350" s="89"/>
    </row>
    <row r="351" spans="1:31" ht="15.75" customHeight="1">
      <c r="A351" s="3" t="s">
        <v>1765</v>
      </c>
      <c r="B351" s="109" t="s">
        <v>405</v>
      </c>
      <c r="C351" s="13" t="s">
        <v>406</v>
      </c>
      <c r="D351" s="96">
        <v>2014</v>
      </c>
      <c r="E351" s="91" t="s">
        <v>1702</v>
      </c>
      <c r="F351" s="91" t="s">
        <v>1841</v>
      </c>
      <c r="G351" s="91" t="s">
        <v>2135</v>
      </c>
      <c r="H351" s="86"/>
      <c r="I351" s="86"/>
      <c r="J351" s="86"/>
      <c r="K351" s="86"/>
      <c r="L351" s="86"/>
      <c r="M351" s="86"/>
      <c r="N351" s="86"/>
      <c r="O351" s="86"/>
      <c r="P351" s="86"/>
      <c r="Q351" s="86"/>
      <c r="R351" s="86"/>
      <c r="S351" s="86"/>
      <c r="T351" s="86"/>
      <c r="U351" s="86"/>
      <c r="V351" s="86"/>
      <c r="W351" s="86"/>
      <c r="X351" s="86"/>
      <c r="Y351" s="86"/>
      <c r="Z351" s="86"/>
      <c r="AA351" s="86"/>
      <c r="AB351" s="86"/>
      <c r="AC351" s="86"/>
      <c r="AD351" s="86"/>
      <c r="AE351" s="86"/>
    </row>
    <row r="352" spans="1:31" ht="15.75" customHeight="1">
      <c r="A352" s="3" t="s">
        <v>1765</v>
      </c>
      <c r="B352" s="3" t="s">
        <v>418</v>
      </c>
      <c r="C352" s="13" t="s">
        <v>419</v>
      </c>
      <c r="D352" s="96">
        <v>2014</v>
      </c>
      <c r="E352" s="91" t="s">
        <v>1707</v>
      </c>
      <c r="F352" s="91" t="s">
        <v>417</v>
      </c>
      <c r="G352" s="91" t="s">
        <v>2136</v>
      </c>
      <c r="H352" s="86"/>
      <c r="I352" s="86"/>
      <c r="J352" s="86"/>
      <c r="K352" s="86"/>
      <c r="L352" s="86"/>
      <c r="M352" s="86"/>
      <c r="N352" s="86"/>
      <c r="O352" s="86"/>
      <c r="P352" s="86"/>
      <c r="Q352" s="86"/>
      <c r="R352" s="86"/>
      <c r="S352" s="86"/>
      <c r="T352" s="86"/>
      <c r="U352" s="86"/>
      <c r="V352" s="86"/>
      <c r="W352" s="86"/>
      <c r="X352" s="86"/>
      <c r="Y352" s="86"/>
      <c r="Z352" s="86"/>
      <c r="AA352" s="86"/>
      <c r="AB352" s="86"/>
      <c r="AC352" s="86"/>
      <c r="AD352" s="86"/>
      <c r="AE352" s="86"/>
    </row>
    <row r="353" spans="1:31" ht="15.75" customHeight="1">
      <c r="A353" s="3" t="s">
        <v>1765</v>
      </c>
      <c r="B353" s="109" t="s">
        <v>446</v>
      </c>
      <c r="C353" s="13" t="s">
        <v>447</v>
      </c>
      <c r="D353" s="96">
        <v>2014</v>
      </c>
      <c r="E353" s="91" t="s">
        <v>1707</v>
      </c>
      <c r="F353" s="91" t="s">
        <v>629</v>
      </c>
      <c r="G353" s="91" t="s">
        <v>2137</v>
      </c>
      <c r="H353" s="86"/>
      <c r="I353" s="86"/>
      <c r="J353" s="86"/>
      <c r="K353" s="86"/>
      <c r="L353" s="86"/>
      <c r="M353" s="86"/>
      <c r="N353" s="86"/>
      <c r="O353" s="86"/>
      <c r="P353" s="86"/>
      <c r="Q353" s="86"/>
      <c r="R353" s="86"/>
      <c r="S353" s="86"/>
      <c r="T353" s="86"/>
      <c r="U353" s="86"/>
      <c r="V353" s="86"/>
      <c r="W353" s="86"/>
      <c r="X353" s="86"/>
      <c r="Y353" s="86"/>
      <c r="Z353" s="86"/>
      <c r="AA353" s="86"/>
      <c r="AB353" s="86"/>
      <c r="AC353" s="86"/>
      <c r="AD353" s="86"/>
      <c r="AE353" s="86"/>
    </row>
    <row r="354" spans="1:31" ht="15.75" customHeight="1">
      <c r="A354" s="3" t="s">
        <v>1765</v>
      </c>
      <c r="B354" s="109" t="s">
        <v>2138</v>
      </c>
      <c r="C354" s="13" t="s">
        <v>2139</v>
      </c>
      <c r="D354" s="96">
        <v>2014</v>
      </c>
      <c r="E354" s="91" t="s">
        <v>1704</v>
      </c>
      <c r="F354" s="91" t="s">
        <v>1763</v>
      </c>
      <c r="G354" s="91" t="s">
        <v>2140</v>
      </c>
      <c r="H354" s="86"/>
      <c r="I354" s="86"/>
      <c r="J354" s="86"/>
      <c r="K354" s="86"/>
      <c r="L354" s="86"/>
      <c r="M354" s="86"/>
      <c r="N354" s="86"/>
      <c r="O354" s="86"/>
      <c r="P354" s="86"/>
      <c r="Q354" s="86"/>
      <c r="R354" s="86"/>
      <c r="S354" s="86"/>
      <c r="T354" s="86"/>
      <c r="U354" s="86"/>
      <c r="V354" s="86"/>
      <c r="W354" s="86"/>
      <c r="X354" s="86"/>
      <c r="Y354" s="86"/>
      <c r="Z354" s="86"/>
      <c r="AA354" s="86"/>
      <c r="AB354" s="86"/>
      <c r="AC354" s="86"/>
      <c r="AD354" s="86"/>
      <c r="AE354" s="86"/>
    </row>
    <row r="355" spans="1:31" ht="15.75" customHeight="1">
      <c r="A355" s="3" t="s">
        <v>1765</v>
      </c>
      <c r="B355" s="109" t="s">
        <v>740</v>
      </c>
      <c r="C355" s="13" t="s">
        <v>741</v>
      </c>
      <c r="D355" s="96">
        <v>2014</v>
      </c>
      <c r="E355" s="91" t="s">
        <v>2063</v>
      </c>
      <c r="F355" s="91" t="s">
        <v>116</v>
      </c>
      <c r="G355" s="91" t="s">
        <v>2141</v>
      </c>
      <c r="H355" s="86"/>
      <c r="I355" s="86"/>
      <c r="J355" s="86"/>
      <c r="K355" s="86"/>
      <c r="L355" s="86"/>
      <c r="M355" s="86"/>
      <c r="N355" s="86"/>
      <c r="O355" s="86"/>
      <c r="P355" s="86"/>
      <c r="Q355" s="86"/>
      <c r="R355" s="86"/>
      <c r="S355" s="86"/>
      <c r="T355" s="86"/>
      <c r="U355" s="86"/>
      <c r="V355" s="86"/>
      <c r="W355" s="86"/>
      <c r="X355" s="86"/>
      <c r="Y355" s="86"/>
      <c r="Z355" s="86"/>
      <c r="AA355" s="86"/>
      <c r="AB355" s="86"/>
      <c r="AC355" s="86"/>
      <c r="AD355" s="86"/>
      <c r="AE355" s="86"/>
    </row>
    <row r="356" spans="1:31" ht="15.75" customHeight="1">
      <c r="A356" s="3" t="s">
        <v>1765</v>
      </c>
      <c r="B356" s="109" t="s">
        <v>1671</v>
      </c>
      <c r="C356" s="13" t="s">
        <v>1672</v>
      </c>
      <c r="D356" s="96">
        <v>2014</v>
      </c>
      <c r="E356" s="91" t="s">
        <v>1882</v>
      </c>
      <c r="F356" s="91" t="s">
        <v>1870</v>
      </c>
      <c r="G356" s="91" t="s">
        <v>2142</v>
      </c>
      <c r="H356" s="86"/>
      <c r="I356" s="86"/>
      <c r="J356" s="86"/>
      <c r="K356" s="86"/>
      <c r="L356" s="86"/>
      <c r="M356" s="86"/>
      <c r="N356" s="86"/>
      <c r="O356" s="86"/>
      <c r="P356" s="86"/>
      <c r="Q356" s="86"/>
      <c r="R356" s="86"/>
      <c r="S356" s="86"/>
      <c r="T356" s="86"/>
      <c r="U356" s="86"/>
      <c r="V356" s="86"/>
      <c r="W356" s="86"/>
      <c r="X356" s="86"/>
      <c r="Y356" s="86"/>
      <c r="Z356" s="86"/>
      <c r="AA356" s="86"/>
      <c r="AB356" s="86"/>
      <c r="AC356" s="86"/>
      <c r="AD356" s="86"/>
      <c r="AE356" s="86"/>
    </row>
    <row r="357" spans="1:31" ht="15.75" customHeight="1">
      <c r="A357" s="3" t="s">
        <v>1765</v>
      </c>
      <c r="B357" s="109" t="s">
        <v>1668</v>
      </c>
      <c r="C357" s="13" t="s">
        <v>1669</v>
      </c>
      <c r="D357" s="96">
        <v>2014</v>
      </c>
      <c r="E357" s="91" t="s">
        <v>1882</v>
      </c>
      <c r="F357" s="91" t="s">
        <v>1870</v>
      </c>
      <c r="G357" s="91" t="s">
        <v>2143</v>
      </c>
      <c r="H357" s="86"/>
      <c r="I357" s="86"/>
      <c r="J357" s="86"/>
      <c r="K357" s="86"/>
      <c r="L357" s="86"/>
      <c r="M357" s="86"/>
      <c r="N357" s="86"/>
      <c r="O357" s="86"/>
      <c r="P357" s="86"/>
      <c r="Q357" s="86"/>
      <c r="R357" s="86"/>
      <c r="S357" s="86"/>
      <c r="T357" s="86"/>
      <c r="U357" s="86"/>
      <c r="V357" s="86"/>
      <c r="W357" s="86"/>
      <c r="X357" s="86"/>
      <c r="Y357" s="86"/>
      <c r="Z357" s="86"/>
      <c r="AA357" s="86"/>
      <c r="AB357" s="86"/>
      <c r="AC357" s="86"/>
      <c r="AD357" s="86"/>
      <c r="AE357" s="86"/>
    </row>
    <row r="358" spans="1:31" ht="15.75" customHeight="1">
      <c r="A358" s="3" t="s">
        <v>1765</v>
      </c>
      <c r="B358" s="89" t="s">
        <v>516</v>
      </c>
      <c r="C358" s="13" t="s">
        <v>517</v>
      </c>
      <c r="D358" s="110">
        <v>2014</v>
      </c>
      <c r="E358" s="89" t="s">
        <v>1882</v>
      </c>
      <c r="F358" s="89" t="s">
        <v>1870</v>
      </c>
      <c r="G358" s="112" t="s">
        <v>2144</v>
      </c>
      <c r="H358" s="89"/>
      <c r="I358" s="89"/>
      <c r="J358" s="89"/>
      <c r="K358" s="89"/>
      <c r="L358" s="89"/>
      <c r="M358" s="89"/>
      <c r="N358" s="89"/>
      <c r="O358" s="89"/>
      <c r="P358" s="89"/>
      <c r="Q358" s="89"/>
      <c r="R358" s="89"/>
      <c r="S358" s="89"/>
      <c r="T358" s="89"/>
      <c r="U358" s="89"/>
      <c r="V358" s="89"/>
      <c r="W358" s="89"/>
      <c r="X358" s="89"/>
      <c r="Y358" s="89"/>
      <c r="Z358" s="89"/>
      <c r="AA358" s="89"/>
      <c r="AB358" s="89"/>
      <c r="AC358" s="89"/>
      <c r="AD358" s="89"/>
      <c r="AE358" s="89"/>
    </row>
    <row r="359" spans="1:31" ht="15.75" customHeight="1">
      <c r="A359" s="3" t="s">
        <v>1765</v>
      </c>
      <c r="B359" s="109" t="s">
        <v>555</v>
      </c>
      <c r="C359" s="13" t="s">
        <v>556</v>
      </c>
      <c r="D359" s="96">
        <v>2014</v>
      </c>
      <c r="E359" s="91" t="s">
        <v>1707</v>
      </c>
      <c r="F359" s="91" t="s">
        <v>544</v>
      </c>
      <c r="G359" s="91" t="s">
        <v>2145</v>
      </c>
      <c r="H359" s="86"/>
      <c r="I359" s="86"/>
      <c r="J359" s="86"/>
      <c r="K359" s="86"/>
      <c r="L359" s="86"/>
      <c r="M359" s="86"/>
      <c r="N359" s="86"/>
      <c r="O359" s="86"/>
      <c r="P359" s="86"/>
      <c r="Q359" s="86"/>
      <c r="R359" s="86"/>
      <c r="S359" s="86"/>
      <c r="T359" s="86"/>
      <c r="U359" s="86"/>
      <c r="V359" s="86"/>
      <c r="W359" s="86"/>
      <c r="X359" s="86"/>
      <c r="Y359" s="86"/>
      <c r="Z359" s="86"/>
      <c r="AA359" s="86"/>
      <c r="AB359" s="86"/>
      <c r="AC359" s="86"/>
      <c r="AD359" s="86"/>
      <c r="AE359" s="86"/>
    </row>
    <row r="360" spans="1:31" ht="15.75" customHeight="1">
      <c r="A360" s="3" t="s">
        <v>1765</v>
      </c>
      <c r="B360" s="109" t="s">
        <v>549</v>
      </c>
      <c r="C360" s="13" t="s">
        <v>550</v>
      </c>
      <c r="D360" s="96">
        <v>2014</v>
      </c>
      <c r="E360" s="91" t="s">
        <v>1707</v>
      </c>
      <c r="F360" s="91" t="s">
        <v>544</v>
      </c>
      <c r="G360" s="91" t="s">
        <v>2146</v>
      </c>
      <c r="H360" s="86"/>
      <c r="I360" s="86"/>
      <c r="J360" s="86"/>
      <c r="K360" s="86"/>
      <c r="L360" s="86"/>
      <c r="M360" s="86"/>
      <c r="N360" s="86"/>
      <c r="O360" s="86"/>
      <c r="P360" s="86"/>
      <c r="Q360" s="86"/>
      <c r="R360" s="86"/>
      <c r="S360" s="86"/>
      <c r="T360" s="86"/>
      <c r="U360" s="86"/>
      <c r="V360" s="86"/>
      <c r="W360" s="86"/>
      <c r="X360" s="86"/>
      <c r="Y360" s="86"/>
      <c r="Z360" s="86"/>
      <c r="AA360" s="86"/>
      <c r="AB360" s="86"/>
      <c r="AC360" s="86"/>
      <c r="AD360" s="86"/>
      <c r="AE360" s="86"/>
    </row>
    <row r="361" spans="1:31" ht="15.75" customHeight="1">
      <c r="A361" s="3" t="s">
        <v>1765</v>
      </c>
      <c r="B361" s="109" t="s">
        <v>545</v>
      </c>
      <c r="C361" s="13" t="s">
        <v>546</v>
      </c>
      <c r="D361" s="96">
        <v>2014</v>
      </c>
      <c r="E361" s="91" t="s">
        <v>1707</v>
      </c>
      <c r="F361" s="91" t="s">
        <v>544</v>
      </c>
      <c r="G361" s="91" t="s">
        <v>2147</v>
      </c>
      <c r="H361" s="86"/>
      <c r="I361" s="86"/>
      <c r="J361" s="86"/>
      <c r="K361" s="86"/>
      <c r="L361" s="86"/>
      <c r="M361" s="86"/>
      <c r="N361" s="86"/>
      <c r="O361" s="86"/>
      <c r="P361" s="86"/>
      <c r="Q361" s="86"/>
      <c r="R361" s="86"/>
      <c r="S361" s="86"/>
      <c r="T361" s="86"/>
      <c r="U361" s="86"/>
      <c r="V361" s="86"/>
      <c r="W361" s="86"/>
      <c r="X361" s="86"/>
      <c r="Y361" s="86"/>
      <c r="Z361" s="86"/>
      <c r="AA361" s="86"/>
      <c r="AB361" s="86"/>
      <c r="AC361" s="86"/>
      <c r="AD361" s="86"/>
      <c r="AE361" s="86"/>
    </row>
    <row r="362" spans="1:31" ht="15.75" customHeight="1">
      <c r="A362" s="3" t="s">
        <v>1765</v>
      </c>
      <c r="B362" s="109" t="s">
        <v>145</v>
      </c>
      <c r="C362" s="13" t="s">
        <v>146</v>
      </c>
      <c r="D362" s="96">
        <v>2015</v>
      </c>
      <c r="E362" s="91" t="s">
        <v>1702</v>
      </c>
      <c r="F362" s="91" t="s">
        <v>126</v>
      </c>
      <c r="G362" s="91" t="s">
        <v>2148</v>
      </c>
      <c r="H362" s="86"/>
      <c r="I362" s="86"/>
      <c r="J362" s="86"/>
      <c r="K362" s="86"/>
      <c r="L362" s="86"/>
      <c r="M362" s="86"/>
      <c r="N362" s="86"/>
      <c r="O362" s="86"/>
      <c r="P362" s="86"/>
      <c r="Q362" s="86"/>
      <c r="R362" s="86"/>
      <c r="S362" s="86"/>
      <c r="T362" s="86"/>
      <c r="U362" s="86"/>
      <c r="V362" s="86"/>
      <c r="W362" s="86"/>
      <c r="X362" s="86"/>
      <c r="Y362" s="86"/>
      <c r="Z362" s="86"/>
      <c r="AA362" s="86"/>
      <c r="AB362" s="86"/>
      <c r="AC362" s="86"/>
      <c r="AD362" s="86"/>
      <c r="AE362" s="86"/>
    </row>
    <row r="363" spans="1:31" ht="15.75" customHeight="1">
      <c r="A363" s="3" t="s">
        <v>1765</v>
      </c>
      <c r="B363" s="109" t="s">
        <v>813</v>
      </c>
      <c r="C363" s="13" t="s">
        <v>814</v>
      </c>
      <c r="D363" s="96">
        <v>2015</v>
      </c>
      <c r="E363" s="91" t="s">
        <v>1702</v>
      </c>
      <c r="F363" s="91" t="s">
        <v>1846</v>
      </c>
      <c r="G363" s="91" t="s">
        <v>2149</v>
      </c>
      <c r="H363" s="86"/>
      <c r="I363" s="86"/>
      <c r="J363" s="86"/>
      <c r="K363" s="86"/>
      <c r="L363" s="86"/>
      <c r="M363" s="86"/>
      <c r="N363" s="86"/>
      <c r="O363" s="86"/>
      <c r="P363" s="86"/>
      <c r="Q363" s="86"/>
      <c r="R363" s="86"/>
      <c r="S363" s="86"/>
      <c r="T363" s="86"/>
      <c r="U363" s="86"/>
      <c r="V363" s="86"/>
      <c r="W363" s="86"/>
      <c r="X363" s="86"/>
      <c r="Y363" s="86"/>
      <c r="Z363" s="86"/>
      <c r="AA363" s="86"/>
      <c r="AB363" s="86"/>
      <c r="AC363" s="86"/>
      <c r="AD363" s="86"/>
      <c r="AE363" s="86"/>
    </row>
    <row r="364" spans="1:31" ht="15.75" customHeight="1">
      <c r="A364" s="3" t="s">
        <v>1765</v>
      </c>
      <c r="B364" s="109" t="s">
        <v>660</v>
      </c>
      <c r="C364" s="13" t="s">
        <v>661</v>
      </c>
      <c r="D364" s="96">
        <v>2015</v>
      </c>
      <c r="E364" s="91" t="s">
        <v>1702</v>
      </c>
      <c r="F364" s="91" t="s">
        <v>191</v>
      </c>
      <c r="G364" s="91" t="s">
        <v>2150</v>
      </c>
      <c r="H364" s="86"/>
      <c r="I364" s="86"/>
      <c r="J364" s="86"/>
      <c r="K364" s="86"/>
      <c r="L364" s="86"/>
      <c r="M364" s="86"/>
      <c r="N364" s="86"/>
      <c r="O364" s="86"/>
      <c r="P364" s="86"/>
      <c r="Q364" s="86"/>
      <c r="R364" s="86"/>
      <c r="S364" s="86"/>
      <c r="T364" s="86"/>
      <c r="U364" s="86"/>
      <c r="V364" s="86"/>
      <c r="W364" s="86"/>
      <c r="X364" s="86"/>
      <c r="Y364" s="86"/>
      <c r="Z364" s="86"/>
      <c r="AA364" s="86"/>
      <c r="AB364" s="86"/>
      <c r="AC364" s="86"/>
      <c r="AD364" s="86"/>
      <c r="AE364" s="86"/>
    </row>
    <row r="365" spans="1:31" ht="15.75" customHeight="1">
      <c r="A365" s="3" t="s">
        <v>1765</v>
      </c>
      <c r="B365" s="109" t="s">
        <v>649</v>
      </c>
      <c r="C365" s="13" t="s">
        <v>650</v>
      </c>
      <c r="D365" s="96">
        <v>2015</v>
      </c>
      <c r="E365" s="91" t="s">
        <v>1702</v>
      </c>
      <c r="F365" s="91" t="s">
        <v>191</v>
      </c>
      <c r="G365" s="91" t="s">
        <v>2151</v>
      </c>
      <c r="H365" s="86"/>
      <c r="I365" s="86"/>
      <c r="J365" s="86"/>
      <c r="K365" s="86"/>
      <c r="L365" s="86"/>
      <c r="M365" s="86"/>
      <c r="N365" s="86"/>
      <c r="O365" s="86"/>
      <c r="P365" s="86"/>
      <c r="Q365" s="86"/>
      <c r="R365" s="86"/>
      <c r="S365" s="86"/>
      <c r="T365" s="86"/>
      <c r="U365" s="86"/>
      <c r="V365" s="86"/>
      <c r="W365" s="86"/>
      <c r="X365" s="86"/>
      <c r="Y365" s="86"/>
      <c r="Z365" s="86"/>
      <c r="AA365" s="86"/>
      <c r="AB365" s="86"/>
      <c r="AC365" s="86"/>
      <c r="AD365" s="86"/>
      <c r="AE365" s="86"/>
    </row>
    <row r="366" spans="1:31" ht="15.75" customHeight="1">
      <c r="A366" s="3" t="s">
        <v>1765</v>
      </c>
      <c r="B366" s="89" t="s">
        <v>2152</v>
      </c>
      <c r="C366" s="13" t="s">
        <v>206</v>
      </c>
      <c r="D366" s="110">
        <v>2015</v>
      </c>
      <c r="E366" s="89" t="s">
        <v>1704</v>
      </c>
      <c r="F366" s="89" t="s">
        <v>205</v>
      </c>
      <c r="G366" s="112" t="s">
        <v>2153</v>
      </c>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row>
    <row r="367" spans="1:31" ht="15.75" customHeight="1">
      <c r="A367" s="3" t="s">
        <v>1765</v>
      </c>
      <c r="B367" s="3" t="s">
        <v>313</v>
      </c>
      <c r="C367" s="13" t="s">
        <v>314</v>
      </c>
      <c r="D367" s="96">
        <v>2015</v>
      </c>
      <c r="E367" s="91" t="s">
        <v>1707</v>
      </c>
      <c r="F367" s="91" t="s">
        <v>312</v>
      </c>
      <c r="G367" s="91" t="s">
        <v>2154</v>
      </c>
      <c r="H367" s="86"/>
      <c r="I367" s="86"/>
      <c r="J367" s="86"/>
      <c r="K367" s="86"/>
      <c r="L367" s="86"/>
      <c r="M367" s="86"/>
      <c r="N367" s="86"/>
      <c r="O367" s="86"/>
      <c r="P367" s="86"/>
      <c r="Q367" s="86"/>
      <c r="R367" s="86"/>
      <c r="S367" s="86"/>
      <c r="T367" s="86"/>
      <c r="U367" s="86"/>
      <c r="V367" s="86"/>
      <c r="W367" s="86"/>
      <c r="X367" s="86"/>
      <c r="Y367" s="86"/>
      <c r="Z367" s="86"/>
      <c r="AA367" s="86"/>
      <c r="AB367" s="86"/>
      <c r="AC367" s="86"/>
      <c r="AD367" s="86"/>
      <c r="AE367" s="86"/>
    </row>
    <row r="368" spans="1:31" ht="15.75" customHeight="1">
      <c r="A368" s="3" t="s">
        <v>1765</v>
      </c>
      <c r="B368" s="86" t="s">
        <v>277</v>
      </c>
      <c r="C368" s="13" t="s">
        <v>278</v>
      </c>
      <c r="D368" s="96">
        <v>2015</v>
      </c>
      <c r="E368" s="91" t="s">
        <v>1707</v>
      </c>
      <c r="F368" s="91" t="s">
        <v>1850</v>
      </c>
      <c r="G368" s="91" t="s">
        <v>2155</v>
      </c>
      <c r="H368" s="86"/>
      <c r="I368" s="86"/>
      <c r="J368" s="86"/>
      <c r="K368" s="86"/>
      <c r="L368" s="86"/>
      <c r="M368" s="86"/>
      <c r="N368" s="86"/>
      <c r="O368" s="86"/>
      <c r="P368" s="86"/>
      <c r="Q368" s="86"/>
      <c r="R368" s="86"/>
      <c r="S368" s="86"/>
      <c r="T368" s="86"/>
      <c r="U368" s="86"/>
      <c r="V368" s="86"/>
      <c r="W368" s="86"/>
      <c r="X368" s="86"/>
      <c r="Y368" s="86"/>
      <c r="Z368" s="86"/>
      <c r="AA368" s="86"/>
      <c r="AB368" s="86"/>
      <c r="AC368" s="86"/>
      <c r="AD368" s="86"/>
      <c r="AE368" s="86"/>
    </row>
    <row r="369" spans="1:31" ht="15.75" customHeight="1">
      <c r="A369" s="3" t="s">
        <v>1765</v>
      </c>
      <c r="B369" s="121" t="s">
        <v>1114</v>
      </c>
      <c r="C369" s="122" t="s">
        <v>1115</v>
      </c>
      <c r="D369" s="85">
        <v>2015</v>
      </c>
      <c r="E369" s="86" t="s">
        <v>1702</v>
      </c>
      <c r="F369" s="86" t="s">
        <v>353</v>
      </c>
      <c r="G369" s="91" t="s">
        <v>2156</v>
      </c>
      <c r="H369" s="86"/>
      <c r="I369" s="86"/>
      <c r="J369" s="86"/>
      <c r="K369" s="86"/>
      <c r="L369" s="86"/>
      <c r="M369" s="86"/>
      <c r="N369" s="86"/>
      <c r="O369" s="86"/>
      <c r="P369" s="86"/>
      <c r="Q369" s="86"/>
      <c r="R369" s="86"/>
      <c r="S369" s="86"/>
      <c r="T369" s="86"/>
      <c r="U369" s="86"/>
      <c r="V369" s="86"/>
      <c r="W369" s="86"/>
      <c r="X369" s="86"/>
      <c r="Y369" s="86"/>
      <c r="Z369" s="86"/>
      <c r="AA369" s="86"/>
      <c r="AB369" s="86"/>
      <c r="AC369" s="86"/>
      <c r="AD369" s="86"/>
      <c r="AE369" s="86"/>
    </row>
    <row r="370" spans="1:31" ht="15.75" customHeight="1">
      <c r="A370" s="3" t="s">
        <v>1765</v>
      </c>
      <c r="B370" s="121" t="s">
        <v>2157</v>
      </c>
      <c r="C370" s="122" t="s">
        <v>985</v>
      </c>
      <c r="D370" s="85">
        <v>2015</v>
      </c>
      <c r="E370" s="86" t="s">
        <v>1707</v>
      </c>
      <c r="F370" s="86" t="s">
        <v>353</v>
      </c>
      <c r="G370" s="91" t="s">
        <v>2158</v>
      </c>
      <c r="H370" s="86"/>
      <c r="I370" s="86"/>
      <c r="J370" s="86"/>
      <c r="K370" s="86"/>
      <c r="L370" s="86"/>
      <c r="M370" s="86"/>
      <c r="N370" s="86"/>
      <c r="O370" s="86"/>
      <c r="P370" s="86"/>
      <c r="Q370" s="86"/>
      <c r="R370" s="86"/>
      <c r="S370" s="86"/>
      <c r="T370" s="86"/>
      <c r="U370" s="86"/>
      <c r="V370" s="86"/>
      <c r="W370" s="86"/>
      <c r="X370" s="86"/>
      <c r="Y370" s="86"/>
      <c r="Z370" s="86"/>
      <c r="AA370" s="86"/>
      <c r="AB370" s="86"/>
      <c r="AC370" s="86"/>
      <c r="AD370" s="86"/>
      <c r="AE370" s="86"/>
    </row>
    <row r="371" spans="1:31" ht="15.75" customHeight="1">
      <c r="A371" s="3" t="s">
        <v>1765</v>
      </c>
      <c r="B371" s="3" t="s">
        <v>2159</v>
      </c>
      <c r="C371" s="13" t="s">
        <v>373</v>
      </c>
      <c r="D371" s="96">
        <v>2015</v>
      </c>
      <c r="E371" s="91" t="s">
        <v>1707</v>
      </c>
      <c r="F371" s="91" t="s">
        <v>374</v>
      </c>
      <c r="G371" s="91" t="s">
        <v>2160</v>
      </c>
      <c r="H371" s="86"/>
      <c r="I371" s="86"/>
      <c r="J371" s="86"/>
      <c r="K371" s="86"/>
      <c r="L371" s="86"/>
      <c r="M371" s="86"/>
      <c r="N371" s="86"/>
      <c r="O371" s="86"/>
      <c r="P371" s="86"/>
      <c r="Q371" s="86"/>
      <c r="R371" s="86"/>
      <c r="S371" s="86"/>
      <c r="T371" s="86"/>
      <c r="U371" s="86"/>
      <c r="V371" s="86"/>
      <c r="W371" s="86"/>
      <c r="X371" s="86"/>
      <c r="Y371" s="86"/>
      <c r="Z371" s="86"/>
      <c r="AA371" s="86"/>
      <c r="AB371" s="86"/>
      <c r="AC371" s="86"/>
      <c r="AD371" s="86"/>
      <c r="AE371" s="86"/>
    </row>
    <row r="372" spans="1:31" ht="15.75" customHeight="1">
      <c r="A372" s="3" t="s">
        <v>1765</v>
      </c>
      <c r="B372" s="89" t="s">
        <v>601</v>
      </c>
      <c r="C372" s="13" t="s">
        <v>602</v>
      </c>
      <c r="D372" s="110">
        <v>2015</v>
      </c>
      <c r="E372" s="89" t="s">
        <v>1882</v>
      </c>
      <c r="F372" s="89" t="s">
        <v>1708</v>
      </c>
      <c r="G372" s="112" t="s">
        <v>2161</v>
      </c>
      <c r="H372" s="89"/>
      <c r="I372" s="89"/>
      <c r="J372" s="89"/>
      <c r="K372" s="89"/>
      <c r="L372" s="89"/>
      <c r="M372" s="89"/>
      <c r="N372" s="89"/>
      <c r="O372" s="89"/>
      <c r="P372" s="89"/>
      <c r="Q372" s="89"/>
      <c r="R372" s="89"/>
      <c r="S372" s="89"/>
      <c r="T372" s="89"/>
      <c r="U372" s="89"/>
      <c r="V372" s="89"/>
      <c r="W372" s="89"/>
      <c r="X372" s="89"/>
      <c r="Y372" s="89"/>
      <c r="Z372" s="89"/>
      <c r="AA372" s="89"/>
      <c r="AB372" s="89"/>
      <c r="AC372" s="89"/>
      <c r="AD372" s="89"/>
      <c r="AE372" s="89"/>
    </row>
    <row r="373" spans="1:31" ht="15.75" customHeight="1">
      <c r="A373" s="3" t="s">
        <v>1765</v>
      </c>
      <c r="B373" s="3" t="s">
        <v>605</v>
      </c>
      <c r="C373" s="13" t="s">
        <v>606</v>
      </c>
      <c r="D373" s="96">
        <v>2015</v>
      </c>
      <c r="E373" s="91" t="s">
        <v>1882</v>
      </c>
      <c r="F373" s="91" t="s">
        <v>1708</v>
      </c>
      <c r="G373" s="91" t="s">
        <v>2162</v>
      </c>
      <c r="H373" s="86"/>
      <c r="I373" s="86"/>
      <c r="J373" s="86"/>
      <c r="K373" s="86"/>
      <c r="L373" s="86"/>
      <c r="M373" s="86"/>
      <c r="N373" s="86"/>
      <c r="O373" s="86"/>
      <c r="P373" s="86"/>
      <c r="Q373" s="86"/>
      <c r="R373" s="86"/>
      <c r="S373" s="86"/>
      <c r="T373" s="86"/>
      <c r="U373" s="86"/>
      <c r="V373" s="86"/>
      <c r="W373" s="86"/>
      <c r="X373" s="86"/>
      <c r="Y373" s="86"/>
      <c r="Z373" s="86"/>
      <c r="AA373" s="86"/>
      <c r="AB373" s="86"/>
      <c r="AC373" s="86"/>
      <c r="AD373" s="86"/>
      <c r="AE373" s="86"/>
    </row>
    <row r="374" spans="1:31" ht="15.75" customHeight="1">
      <c r="A374" s="3" t="s">
        <v>1765</v>
      </c>
      <c r="B374" s="109" t="s">
        <v>291</v>
      </c>
      <c r="C374" s="13" t="s">
        <v>292</v>
      </c>
      <c r="D374" s="96">
        <v>2015</v>
      </c>
      <c r="E374" s="91" t="s">
        <v>1704</v>
      </c>
      <c r="F374" s="91" t="s">
        <v>1708</v>
      </c>
      <c r="G374" s="91" t="s">
        <v>2163</v>
      </c>
      <c r="H374" s="86"/>
      <c r="I374" s="86"/>
      <c r="J374" s="86"/>
      <c r="K374" s="86"/>
      <c r="L374" s="86"/>
      <c r="M374" s="86"/>
      <c r="N374" s="86"/>
      <c r="O374" s="86"/>
      <c r="P374" s="86"/>
      <c r="Q374" s="86"/>
      <c r="R374" s="86"/>
      <c r="S374" s="86"/>
      <c r="T374" s="86"/>
      <c r="U374" s="86"/>
      <c r="V374" s="86"/>
      <c r="W374" s="86"/>
      <c r="X374" s="86"/>
      <c r="Y374" s="86"/>
      <c r="Z374" s="86"/>
      <c r="AA374" s="86"/>
      <c r="AB374" s="86"/>
      <c r="AC374" s="86"/>
      <c r="AD374" s="86"/>
      <c r="AE374" s="86"/>
    </row>
    <row r="375" spans="1:31" ht="15.75" customHeight="1">
      <c r="A375" s="3" t="s">
        <v>1765</v>
      </c>
      <c r="B375" s="118" t="s">
        <v>351</v>
      </c>
      <c r="C375" s="13" t="s">
        <v>352</v>
      </c>
      <c r="D375" s="110">
        <v>2015</v>
      </c>
      <c r="E375" s="89" t="s">
        <v>1707</v>
      </c>
      <c r="F375" s="89" t="s">
        <v>1708</v>
      </c>
      <c r="G375" s="112" t="s">
        <v>2164</v>
      </c>
      <c r="H375" s="89"/>
      <c r="I375" s="89"/>
      <c r="J375" s="89"/>
      <c r="K375" s="89"/>
      <c r="L375" s="89"/>
      <c r="M375" s="89"/>
      <c r="N375" s="89"/>
      <c r="O375" s="89"/>
      <c r="P375" s="89"/>
      <c r="Q375" s="89"/>
      <c r="R375" s="89"/>
      <c r="S375" s="89"/>
      <c r="T375" s="89"/>
      <c r="U375" s="89"/>
      <c r="V375" s="89"/>
      <c r="W375" s="89"/>
      <c r="X375" s="89"/>
      <c r="Y375" s="89"/>
      <c r="Z375" s="89"/>
      <c r="AA375" s="89"/>
      <c r="AB375" s="89"/>
      <c r="AC375" s="89"/>
      <c r="AD375" s="89"/>
      <c r="AE375" s="89"/>
    </row>
    <row r="376" spans="1:31" ht="15.75" customHeight="1">
      <c r="A376" s="3" t="s">
        <v>1765</v>
      </c>
      <c r="B376" s="89" t="s">
        <v>425</v>
      </c>
      <c r="C376" s="13" t="s">
        <v>426</v>
      </c>
      <c r="D376" s="110">
        <v>2015</v>
      </c>
      <c r="E376" s="89" t="s">
        <v>1702</v>
      </c>
      <c r="F376" s="89" t="s">
        <v>417</v>
      </c>
      <c r="G376" s="112" t="s">
        <v>2165</v>
      </c>
      <c r="H376" s="89"/>
      <c r="I376" s="89"/>
      <c r="J376" s="89"/>
      <c r="K376" s="89"/>
      <c r="L376" s="89"/>
      <c r="M376" s="89"/>
      <c r="N376" s="89"/>
      <c r="O376" s="89"/>
      <c r="P376" s="89"/>
      <c r="Q376" s="89"/>
      <c r="R376" s="89"/>
      <c r="S376" s="89"/>
      <c r="T376" s="89"/>
      <c r="U376" s="89"/>
      <c r="V376" s="89"/>
      <c r="W376" s="89"/>
      <c r="X376" s="89"/>
      <c r="Y376" s="89"/>
      <c r="Z376" s="89"/>
      <c r="AA376" s="89"/>
      <c r="AB376" s="89"/>
      <c r="AC376" s="89"/>
      <c r="AD376" s="89"/>
      <c r="AE376" s="89"/>
    </row>
    <row r="377" spans="1:31" ht="15.75" customHeight="1">
      <c r="A377" s="3" t="s">
        <v>1765</v>
      </c>
      <c r="B377" s="109" t="s">
        <v>422</v>
      </c>
      <c r="C377" s="13" t="s">
        <v>423</v>
      </c>
      <c r="D377" s="96">
        <v>2015</v>
      </c>
      <c r="E377" s="91" t="s">
        <v>2063</v>
      </c>
      <c r="F377" s="91" t="s">
        <v>417</v>
      </c>
      <c r="G377" s="91" t="s">
        <v>2166</v>
      </c>
      <c r="H377" s="86"/>
      <c r="I377" s="86"/>
      <c r="J377" s="86"/>
      <c r="K377" s="86"/>
      <c r="L377" s="86"/>
      <c r="M377" s="86"/>
      <c r="N377" s="86"/>
      <c r="O377" s="86"/>
      <c r="P377" s="86"/>
      <c r="Q377" s="86"/>
      <c r="R377" s="86"/>
      <c r="S377" s="86"/>
      <c r="T377" s="86"/>
      <c r="U377" s="86"/>
      <c r="V377" s="86"/>
      <c r="W377" s="86"/>
      <c r="X377" s="86"/>
      <c r="Y377" s="86"/>
      <c r="Z377" s="86"/>
      <c r="AA377" s="86"/>
      <c r="AB377" s="86"/>
      <c r="AC377" s="86"/>
      <c r="AD377" s="86"/>
      <c r="AE377" s="86"/>
    </row>
    <row r="378" spans="1:31" ht="15.75" customHeight="1">
      <c r="A378" s="3" t="s">
        <v>1765</v>
      </c>
      <c r="B378" s="86" t="s">
        <v>1032</v>
      </c>
      <c r="C378" s="13" t="s">
        <v>1033</v>
      </c>
      <c r="D378" s="85">
        <v>2015</v>
      </c>
      <c r="E378" s="86" t="s">
        <v>1707</v>
      </c>
      <c r="F378" s="86" t="s">
        <v>629</v>
      </c>
      <c r="G378" s="91" t="s">
        <v>2167</v>
      </c>
      <c r="H378" s="86"/>
      <c r="I378" s="86"/>
      <c r="J378" s="86"/>
      <c r="K378" s="86"/>
      <c r="L378" s="86"/>
      <c r="M378" s="86"/>
      <c r="N378" s="86"/>
      <c r="O378" s="86"/>
      <c r="P378" s="86"/>
      <c r="Q378" s="86"/>
      <c r="R378" s="86"/>
      <c r="S378" s="86"/>
      <c r="T378" s="86"/>
      <c r="U378" s="86"/>
      <c r="V378" s="86"/>
      <c r="W378" s="86"/>
      <c r="X378" s="86"/>
      <c r="Y378" s="86"/>
      <c r="Z378" s="86"/>
      <c r="AA378" s="86"/>
      <c r="AB378" s="86"/>
      <c r="AC378" s="86"/>
      <c r="AD378" s="86"/>
      <c r="AE378" s="86"/>
    </row>
    <row r="379" spans="1:31" ht="15.75" customHeight="1">
      <c r="A379" s="3" t="s">
        <v>1765</v>
      </c>
      <c r="B379" s="109" t="s">
        <v>438</v>
      </c>
      <c r="C379" s="13" t="s">
        <v>439</v>
      </c>
      <c r="D379" s="96">
        <v>2015</v>
      </c>
      <c r="E379" s="91" t="s">
        <v>1702</v>
      </c>
      <c r="F379" s="91" t="s">
        <v>629</v>
      </c>
      <c r="G379" s="91" t="s">
        <v>2168</v>
      </c>
      <c r="H379" s="86"/>
      <c r="I379" s="86"/>
      <c r="J379" s="86"/>
      <c r="K379" s="86"/>
      <c r="L379" s="86"/>
      <c r="M379" s="86"/>
      <c r="N379" s="86"/>
      <c r="O379" s="86"/>
      <c r="P379" s="86"/>
      <c r="Q379" s="86"/>
      <c r="R379" s="86"/>
      <c r="S379" s="86"/>
      <c r="T379" s="86"/>
      <c r="U379" s="86"/>
      <c r="V379" s="86"/>
      <c r="W379" s="86"/>
      <c r="X379" s="86"/>
      <c r="Y379" s="86"/>
      <c r="Z379" s="86"/>
      <c r="AA379" s="86"/>
      <c r="AB379" s="86"/>
      <c r="AC379" s="86"/>
      <c r="AD379" s="86"/>
      <c r="AE379" s="86"/>
    </row>
    <row r="380" spans="1:31" ht="15.75" customHeight="1">
      <c r="A380" s="3" t="s">
        <v>1765</v>
      </c>
      <c r="B380" s="109" t="s">
        <v>497</v>
      </c>
      <c r="C380" s="13" t="s">
        <v>500</v>
      </c>
      <c r="D380" s="96">
        <v>2015</v>
      </c>
      <c r="E380" s="91" t="s">
        <v>1702</v>
      </c>
      <c r="F380" s="91" t="s">
        <v>629</v>
      </c>
      <c r="G380" s="91" t="s">
        <v>2169</v>
      </c>
      <c r="H380" s="86"/>
      <c r="I380" s="86"/>
      <c r="J380" s="86"/>
      <c r="K380" s="86"/>
      <c r="L380" s="86"/>
      <c r="M380" s="86"/>
      <c r="N380" s="86"/>
      <c r="O380" s="86"/>
      <c r="P380" s="86"/>
      <c r="Q380" s="86"/>
      <c r="R380" s="86"/>
      <c r="S380" s="86"/>
      <c r="T380" s="86"/>
      <c r="U380" s="86"/>
      <c r="V380" s="86"/>
      <c r="W380" s="86"/>
      <c r="X380" s="86"/>
      <c r="Y380" s="86"/>
      <c r="Z380" s="86"/>
      <c r="AA380" s="86"/>
      <c r="AB380" s="86"/>
      <c r="AC380" s="86"/>
      <c r="AD380" s="86"/>
      <c r="AE380" s="86"/>
    </row>
    <row r="381" spans="1:31" ht="15.75" customHeight="1">
      <c r="A381" s="3" t="s">
        <v>1765</v>
      </c>
      <c r="B381" s="86" t="s">
        <v>1363</v>
      </c>
      <c r="C381" s="13" t="s">
        <v>1364</v>
      </c>
      <c r="D381" s="85">
        <v>2015</v>
      </c>
      <c r="E381" s="86" t="s">
        <v>1707</v>
      </c>
      <c r="F381" s="86" t="s">
        <v>629</v>
      </c>
      <c r="G381" s="91" t="s">
        <v>2170</v>
      </c>
      <c r="H381" s="86"/>
      <c r="I381" s="86"/>
      <c r="J381" s="86"/>
      <c r="K381" s="86"/>
      <c r="L381" s="86"/>
      <c r="M381" s="86"/>
      <c r="N381" s="86"/>
      <c r="O381" s="86"/>
      <c r="P381" s="86"/>
      <c r="Q381" s="86"/>
      <c r="R381" s="86"/>
      <c r="S381" s="86"/>
      <c r="T381" s="86"/>
      <c r="U381" s="86"/>
      <c r="V381" s="86"/>
      <c r="W381" s="86"/>
      <c r="X381" s="86"/>
      <c r="Y381" s="86"/>
      <c r="Z381" s="86"/>
      <c r="AA381" s="86"/>
      <c r="AB381" s="86"/>
      <c r="AC381" s="86"/>
      <c r="AD381" s="86"/>
      <c r="AE381" s="86"/>
    </row>
    <row r="382" spans="1:31" ht="15.75" customHeight="1">
      <c r="A382" s="3" t="s">
        <v>1765</v>
      </c>
      <c r="B382" s="89" t="s">
        <v>2171</v>
      </c>
      <c r="C382" s="13" t="s">
        <v>2172</v>
      </c>
      <c r="D382" s="110">
        <v>2015</v>
      </c>
      <c r="E382" s="89" t="s">
        <v>1704</v>
      </c>
      <c r="F382" s="89" t="s">
        <v>1763</v>
      </c>
      <c r="G382" s="112" t="s">
        <v>2173</v>
      </c>
      <c r="H382" s="89"/>
      <c r="I382" s="89"/>
      <c r="J382" s="89"/>
      <c r="K382" s="89"/>
      <c r="L382" s="89"/>
      <c r="M382" s="89"/>
      <c r="N382" s="89"/>
      <c r="O382" s="89"/>
      <c r="P382" s="89"/>
      <c r="Q382" s="89"/>
      <c r="R382" s="89"/>
      <c r="S382" s="89"/>
      <c r="T382" s="89"/>
      <c r="U382" s="89"/>
      <c r="V382" s="89"/>
      <c r="W382" s="89"/>
      <c r="X382" s="89"/>
      <c r="Y382" s="89"/>
      <c r="Z382" s="89"/>
      <c r="AA382" s="89"/>
      <c r="AB382" s="89"/>
      <c r="AC382" s="89"/>
      <c r="AD382" s="89"/>
      <c r="AE382" s="89"/>
    </row>
    <row r="383" spans="1:31" ht="15.75" customHeight="1">
      <c r="A383" s="3" t="s">
        <v>1765</v>
      </c>
      <c r="B383" s="109" t="s">
        <v>463</v>
      </c>
      <c r="C383" s="13" t="s">
        <v>2174</v>
      </c>
      <c r="D383" s="96">
        <v>2015</v>
      </c>
      <c r="E383" s="91" t="s">
        <v>1715</v>
      </c>
      <c r="F383" s="91" t="s">
        <v>116</v>
      </c>
      <c r="G383" s="91" t="s">
        <v>2175</v>
      </c>
      <c r="H383" s="86"/>
      <c r="I383" s="86"/>
      <c r="J383" s="86"/>
      <c r="K383" s="86"/>
      <c r="L383" s="86"/>
      <c r="M383" s="86"/>
      <c r="N383" s="86"/>
      <c r="O383" s="86"/>
      <c r="P383" s="86"/>
      <c r="Q383" s="86"/>
      <c r="R383" s="86"/>
      <c r="S383" s="86"/>
      <c r="T383" s="86"/>
      <c r="U383" s="86"/>
      <c r="V383" s="86"/>
      <c r="W383" s="86"/>
      <c r="X383" s="86"/>
      <c r="Y383" s="86"/>
      <c r="Z383" s="86"/>
      <c r="AA383" s="86"/>
      <c r="AB383" s="86"/>
      <c r="AC383" s="86"/>
      <c r="AD383" s="86"/>
      <c r="AE383" s="86"/>
    </row>
    <row r="384" spans="1:31" ht="15.75" customHeight="1">
      <c r="A384" s="3" t="s">
        <v>1765</v>
      </c>
      <c r="B384" s="3" t="s">
        <v>503</v>
      </c>
      <c r="C384" s="13" t="s">
        <v>504</v>
      </c>
      <c r="D384" s="96">
        <v>2015</v>
      </c>
      <c r="E384" s="91" t="s">
        <v>1707</v>
      </c>
      <c r="F384" s="91" t="s">
        <v>488</v>
      </c>
      <c r="G384" s="91" t="s">
        <v>2176</v>
      </c>
      <c r="H384" s="86"/>
      <c r="I384" s="86"/>
      <c r="J384" s="86"/>
      <c r="K384" s="86"/>
      <c r="L384" s="86"/>
      <c r="M384" s="86"/>
      <c r="N384" s="86"/>
      <c r="O384" s="86"/>
      <c r="P384" s="86"/>
      <c r="Q384" s="86"/>
      <c r="R384" s="86"/>
      <c r="S384" s="86"/>
      <c r="T384" s="86"/>
      <c r="U384" s="86"/>
      <c r="V384" s="86"/>
      <c r="W384" s="86"/>
      <c r="X384" s="86"/>
      <c r="Y384" s="86"/>
      <c r="Z384" s="86"/>
      <c r="AA384" s="86"/>
      <c r="AB384" s="86"/>
      <c r="AC384" s="86"/>
      <c r="AD384" s="86"/>
      <c r="AE384" s="86"/>
    </row>
    <row r="385" spans="1:31" ht="15.75" customHeight="1">
      <c r="A385" s="3" t="s">
        <v>1765</v>
      </c>
      <c r="B385" s="109" t="s">
        <v>961</v>
      </c>
      <c r="C385" s="13" t="s">
        <v>962</v>
      </c>
      <c r="D385" s="96">
        <v>2015</v>
      </c>
      <c r="E385" s="91" t="s">
        <v>1702</v>
      </c>
      <c r="F385" s="91" t="s">
        <v>1870</v>
      </c>
      <c r="G385" s="91" t="s">
        <v>2177</v>
      </c>
      <c r="H385" s="86"/>
      <c r="I385" s="86"/>
      <c r="J385" s="86"/>
      <c r="K385" s="86"/>
      <c r="L385" s="86"/>
      <c r="M385" s="86"/>
      <c r="N385" s="86"/>
      <c r="O385" s="86"/>
      <c r="P385" s="86"/>
      <c r="Q385" s="86"/>
      <c r="R385" s="86"/>
      <c r="S385" s="86"/>
      <c r="T385" s="86"/>
      <c r="U385" s="86"/>
      <c r="V385" s="86"/>
      <c r="W385" s="86"/>
      <c r="X385" s="86"/>
      <c r="Y385" s="86"/>
      <c r="Z385" s="86"/>
      <c r="AA385" s="86"/>
      <c r="AB385" s="86"/>
      <c r="AC385" s="86"/>
      <c r="AD385" s="86"/>
      <c r="AE385" s="86"/>
    </row>
    <row r="386" spans="1:31" ht="15.75" customHeight="1">
      <c r="A386" s="3" t="s">
        <v>1765</v>
      </c>
      <c r="B386" s="3" t="s">
        <v>578</v>
      </c>
      <c r="C386" s="13" t="s">
        <v>579</v>
      </c>
      <c r="D386" s="96">
        <v>2015</v>
      </c>
      <c r="E386" s="91" t="s">
        <v>1882</v>
      </c>
      <c r="F386" s="91" t="s">
        <v>566</v>
      </c>
      <c r="G386" s="91" t="s">
        <v>2178</v>
      </c>
      <c r="H386" s="86"/>
      <c r="I386" s="86"/>
      <c r="J386" s="86"/>
      <c r="K386" s="86"/>
      <c r="L386" s="86"/>
      <c r="M386" s="86"/>
      <c r="N386" s="86"/>
      <c r="O386" s="86"/>
      <c r="P386" s="86"/>
      <c r="Q386" s="86"/>
      <c r="R386" s="86"/>
      <c r="S386" s="86"/>
      <c r="T386" s="86"/>
      <c r="U386" s="86"/>
      <c r="V386" s="86"/>
      <c r="W386" s="86"/>
      <c r="X386" s="86"/>
      <c r="Y386" s="86"/>
      <c r="Z386" s="86"/>
      <c r="AA386" s="86"/>
      <c r="AB386" s="86"/>
      <c r="AC386" s="86"/>
      <c r="AD386" s="86"/>
      <c r="AE386" s="86"/>
    </row>
    <row r="387" spans="1:31" ht="15.75" customHeight="1">
      <c r="A387" s="3" t="s">
        <v>1765</v>
      </c>
      <c r="B387" s="89" t="s">
        <v>221</v>
      </c>
      <c r="C387" s="13" t="s">
        <v>222</v>
      </c>
      <c r="D387" s="110">
        <v>2016</v>
      </c>
      <c r="E387" s="89" t="s">
        <v>1882</v>
      </c>
      <c r="F387" s="89" t="s">
        <v>205</v>
      </c>
      <c r="G387" s="112" t="s">
        <v>2179</v>
      </c>
      <c r="H387" s="89"/>
      <c r="I387" s="89"/>
      <c r="J387" s="89"/>
      <c r="K387" s="89"/>
      <c r="L387" s="89"/>
      <c r="M387" s="89"/>
      <c r="N387" s="89"/>
      <c r="O387" s="89"/>
      <c r="P387" s="89"/>
      <c r="Q387" s="89"/>
      <c r="R387" s="89"/>
      <c r="S387" s="89"/>
      <c r="T387" s="89"/>
      <c r="U387" s="89"/>
      <c r="V387" s="89"/>
      <c r="W387" s="89"/>
      <c r="X387" s="89"/>
      <c r="Y387" s="89"/>
      <c r="Z387" s="89"/>
      <c r="AA387" s="89"/>
      <c r="AB387" s="89"/>
      <c r="AC387" s="89"/>
      <c r="AD387" s="89"/>
      <c r="AE387" s="89"/>
    </row>
    <row r="388" spans="1:31" ht="15.75" customHeight="1">
      <c r="A388" s="3" t="s">
        <v>1765</v>
      </c>
      <c r="B388" s="89" t="s">
        <v>223</v>
      </c>
      <c r="C388" s="13" t="s">
        <v>227</v>
      </c>
      <c r="D388" s="110">
        <v>2016</v>
      </c>
      <c r="E388" s="91" t="s">
        <v>2063</v>
      </c>
      <c r="F388" s="89" t="s">
        <v>205</v>
      </c>
      <c r="G388" s="112" t="s">
        <v>2180</v>
      </c>
      <c r="H388" s="89"/>
      <c r="I388" s="89"/>
      <c r="J388" s="89"/>
      <c r="K388" s="89"/>
      <c r="L388" s="89"/>
      <c r="M388" s="89"/>
      <c r="N388" s="89"/>
      <c r="O388" s="89"/>
      <c r="P388" s="89"/>
      <c r="Q388" s="89"/>
      <c r="R388" s="89"/>
      <c r="S388" s="89"/>
      <c r="T388" s="89"/>
      <c r="U388" s="89"/>
      <c r="V388" s="89"/>
      <c r="W388" s="89"/>
      <c r="X388" s="89"/>
      <c r="Y388" s="89"/>
      <c r="Z388" s="89"/>
      <c r="AA388" s="89"/>
      <c r="AB388" s="89"/>
      <c r="AC388" s="89"/>
      <c r="AD388" s="89"/>
      <c r="AE388" s="89"/>
    </row>
    <row r="389" spans="1:31" ht="15.75" customHeight="1">
      <c r="A389" s="3" t="s">
        <v>1765</v>
      </c>
      <c r="B389" s="86" t="s">
        <v>300</v>
      </c>
      <c r="C389" s="13" t="s">
        <v>301</v>
      </c>
      <c r="D389" s="85">
        <v>2016</v>
      </c>
      <c r="E389" s="86" t="s">
        <v>1702</v>
      </c>
      <c r="F389" s="86" t="s">
        <v>672</v>
      </c>
      <c r="G389" s="91" t="s">
        <v>2181</v>
      </c>
      <c r="H389" s="86"/>
      <c r="I389" s="86"/>
      <c r="J389" s="86"/>
      <c r="K389" s="86"/>
      <c r="L389" s="86"/>
      <c r="M389" s="86"/>
      <c r="N389" s="86"/>
      <c r="O389" s="86"/>
      <c r="P389" s="86"/>
      <c r="Q389" s="86"/>
      <c r="R389" s="86"/>
      <c r="S389" s="86"/>
      <c r="T389" s="86"/>
      <c r="U389" s="86"/>
      <c r="V389" s="86"/>
      <c r="W389" s="86"/>
      <c r="X389" s="86"/>
      <c r="Y389" s="86"/>
      <c r="Z389" s="86"/>
      <c r="AA389" s="86"/>
      <c r="AB389" s="86"/>
      <c r="AC389" s="86"/>
      <c r="AD389" s="86"/>
      <c r="AE389" s="86"/>
    </row>
    <row r="390" spans="1:31" ht="15.75" customHeight="1">
      <c r="A390" s="3" t="s">
        <v>1765</v>
      </c>
      <c r="B390" s="86" t="s">
        <v>327</v>
      </c>
      <c r="C390" s="13" t="s">
        <v>328</v>
      </c>
      <c r="D390" s="96">
        <v>2016</v>
      </c>
      <c r="E390" s="91" t="s">
        <v>1702</v>
      </c>
      <c r="F390" s="91" t="s">
        <v>682</v>
      </c>
      <c r="G390" s="91" t="s">
        <v>2182</v>
      </c>
      <c r="H390" s="86"/>
      <c r="I390" s="86"/>
      <c r="J390" s="86"/>
      <c r="K390" s="86"/>
      <c r="L390" s="86"/>
      <c r="M390" s="86"/>
      <c r="N390" s="86"/>
      <c r="O390" s="86"/>
      <c r="P390" s="86"/>
      <c r="Q390" s="86"/>
      <c r="R390" s="86"/>
      <c r="S390" s="86"/>
      <c r="T390" s="86"/>
      <c r="U390" s="86"/>
      <c r="V390" s="86"/>
      <c r="W390" s="86"/>
      <c r="X390" s="86"/>
      <c r="Y390" s="86"/>
      <c r="Z390" s="86"/>
      <c r="AA390" s="86"/>
      <c r="AB390" s="86"/>
      <c r="AC390" s="86"/>
      <c r="AD390" s="86"/>
      <c r="AE390" s="86"/>
    </row>
    <row r="391" spans="1:31" ht="15.75" customHeight="1">
      <c r="A391" s="3" t="s">
        <v>1765</v>
      </c>
      <c r="B391" s="86" t="s">
        <v>692</v>
      </c>
      <c r="C391" s="13" t="s">
        <v>693</v>
      </c>
      <c r="D391" s="85">
        <v>2016</v>
      </c>
      <c r="E391" s="86" t="s">
        <v>1707</v>
      </c>
      <c r="F391" s="86" t="s">
        <v>682</v>
      </c>
      <c r="G391" s="91" t="s">
        <v>2183</v>
      </c>
      <c r="H391" s="86"/>
      <c r="I391" s="86"/>
      <c r="J391" s="86"/>
      <c r="K391" s="86"/>
      <c r="L391" s="86"/>
      <c r="M391" s="86"/>
      <c r="N391" s="86"/>
      <c r="O391" s="86"/>
      <c r="P391" s="86"/>
      <c r="Q391" s="86"/>
      <c r="R391" s="86"/>
      <c r="S391" s="86"/>
      <c r="T391" s="86"/>
      <c r="U391" s="86"/>
      <c r="V391" s="86"/>
      <c r="W391" s="86"/>
      <c r="X391" s="86"/>
      <c r="Y391" s="86"/>
      <c r="Z391" s="86"/>
      <c r="AA391" s="86"/>
      <c r="AB391" s="86"/>
      <c r="AC391" s="86"/>
      <c r="AD391" s="86"/>
      <c r="AE391" s="86"/>
    </row>
    <row r="392" spans="1:31" ht="15.75" customHeight="1">
      <c r="A392" s="3" t="s">
        <v>1765</v>
      </c>
      <c r="B392" s="109" t="s">
        <v>996</v>
      </c>
      <c r="C392" s="13" t="s">
        <v>997</v>
      </c>
      <c r="D392" s="85">
        <v>2016</v>
      </c>
      <c r="E392" s="86" t="s">
        <v>1704</v>
      </c>
      <c r="F392" s="86" t="s">
        <v>374</v>
      </c>
      <c r="G392" s="112" t="s">
        <v>2184</v>
      </c>
      <c r="H392" s="86"/>
      <c r="I392" s="86"/>
      <c r="J392" s="86"/>
      <c r="K392" s="86"/>
      <c r="L392" s="86"/>
      <c r="M392" s="86"/>
      <c r="N392" s="86"/>
      <c r="O392" s="86"/>
      <c r="P392" s="86"/>
      <c r="Q392" s="86"/>
      <c r="R392" s="86"/>
      <c r="S392" s="86"/>
      <c r="T392" s="86"/>
      <c r="U392" s="86"/>
      <c r="V392" s="86"/>
      <c r="W392" s="86"/>
      <c r="X392" s="86"/>
      <c r="Y392" s="86"/>
      <c r="Z392" s="86"/>
      <c r="AA392" s="86"/>
      <c r="AB392" s="86"/>
      <c r="AC392" s="86"/>
      <c r="AD392" s="86"/>
      <c r="AE392" s="86"/>
    </row>
    <row r="393" spans="1:31" ht="15.75" customHeight="1">
      <c r="A393" s="3" t="s">
        <v>1765</v>
      </c>
      <c r="B393" s="109" t="s">
        <v>377</v>
      </c>
      <c r="C393" s="13" t="s">
        <v>378</v>
      </c>
      <c r="D393" s="96">
        <v>2016</v>
      </c>
      <c r="E393" s="91" t="s">
        <v>1707</v>
      </c>
      <c r="F393" s="91" t="s">
        <v>107</v>
      </c>
      <c r="G393" s="91" t="s">
        <v>2185</v>
      </c>
      <c r="H393" s="86"/>
      <c r="I393" s="86"/>
      <c r="J393" s="86"/>
      <c r="K393" s="86"/>
      <c r="L393" s="86"/>
      <c r="M393" s="86"/>
      <c r="N393" s="86"/>
      <c r="O393" s="86"/>
      <c r="P393" s="86"/>
      <c r="Q393" s="86"/>
      <c r="R393" s="86"/>
      <c r="S393" s="86"/>
      <c r="T393" s="86"/>
      <c r="U393" s="86"/>
      <c r="V393" s="86"/>
      <c r="W393" s="86"/>
      <c r="X393" s="86"/>
      <c r="Y393" s="86"/>
      <c r="Z393" s="86"/>
      <c r="AA393" s="86"/>
      <c r="AB393" s="86"/>
      <c r="AC393" s="86"/>
      <c r="AD393" s="86"/>
      <c r="AE393" s="86"/>
    </row>
    <row r="394" spans="1:31" ht="15.75" customHeight="1">
      <c r="A394" s="3" t="s">
        <v>1765</v>
      </c>
      <c r="B394" s="109" t="s">
        <v>403</v>
      </c>
      <c r="C394" s="13" t="s">
        <v>404</v>
      </c>
      <c r="D394" s="96">
        <v>2016</v>
      </c>
      <c r="E394" s="91" t="s">
        <v>1707</v>
      </c>
      <c r="F394" s="91" t="s">
        <v>1841</v>
      </c>
      <c r="G394" s="91" t="s">
        <v>2186</v>
      </c>
      <c r="H394" s="86"/>
      <c r="I394" s="86"/>
      <c r="J394" s="86"/>
      <c r="K394" s="86"/>
      <c r="L394" s="86"/>
      <c r="M394" s="86"/>
      <c r="N394" s="86"/>
      <c r="O394" s="86"/>
      <c r="P394" s="86"/>
      <c r="Q394" s="86"/>
      <c r="R394" s="86"/>
      <c r="S394" s="86"/>
      <c r="T394" s="86"/>
      <c r="U394" s="86"/>
      <c r="V394" s="86"/>
      <c r="W394" s="86"/>
      <c r="X394" s="86"/>
      <c r="Y394" s="86"/>
      <c r="Z394" s="86"/>
      <c r="AA394" s="86"/>
      <c r="AB394" s="86"/>
      <c r="AC394" s="86"/>
      <c r="AD394" s="86"/>
      <c r="AE394" s="86"/>
    </row>
    <row r="395" spans="1:31" ht="15.75" customHeight="1">
      <c r="A395" s="3" t="s">
        <v>1765</v>
      </c>
      <c r="B395" s="109" t="s">
        <v>335</v>
      </c>
      <c r="C395" s="13" t="s">
        <v>336</v>
      </c>
      <c r="D395" s="96">
        <v>2016</v>
      </c>
      <c r="E395" s="91" t="s">
        <v>1704</v>
      </c>
      <c r="F395" s="91" t="s">
        <v>1763</v>
      </c>
      <c r="G395" s="91" t="s">
        <v>2187</v>
      </c>
      <c r="H395" s="86"/>
      <c r="I395" s="86"/>
      <c r="J395" s="86"/>
      <c r="K395" s="86"/>
      <c r="L395" s="86"/>
      <c r="M395" s="86"/>
      <c r="N395" s="86"/>
      <c r="O395" s="86"/>
      <c r="P395" s="86"/>
      <c r="Q395" s="86"/>
      <c r="R395" s="86"/>
      <c r="S395" s="86"/>
      <c r="T395" s="86"/>
      <c r="U395" s="86"/>
      <c r="V395" s="86"/>
      <c r="W395" s="86"/>
      <c r="X395" s="86"/>
      <c r="Y395" s="86"/>
      <c r="Z395" s="86"/>
      <c r="AA395" s="86"/>
      <c r="AB395" s="86"/>
      <c r="AC395" s="86"/>
      <c r="AD395" s="86"/>
      <c r="AE395" s="86"/>
    </row>
    <row r="396" spans="1:31" ht="15.75" customHeight="1">
      <c r="A396" s="3" t="s">
        <v>1765</v>
      </c>
      <c r="B396" s="109" t="s">
        <v>498</v>
      </c>
      <c r="C396" s="13" t="s">
        <v>499</v>
      </c>
      <c r="D396" s="96">
        <v>2016</v>
      </c>
      <c r="E396" s="91" t="s">
        <v>1707</v>
      </c>
      <c r="F396" s="91" t="s">
        <v>488</v>
      </c>
      <c r="G396" s="91" t="s">
        <v>2188</v>
      </c>
      <c r="H396" s="86"/>
      <c r="I396" s="86"/>
      <c r="J396" s="86"/>
      <c r="K396" s="86"/>
      <c r="L396" s="86"/>
      <c r="M396" s="86"/>
      <c r="N396" s="86"/>
      <c r="O396" s="86"/>
      <c r="P396" s="86"/>
      <c r="Q396" s="86"/>
      <c r="R396" s="86"/>
      <c r="S396" s="86"/>
      <c r="T396" s="86"/>
      <c r="U396" s="86"/>
      <c r="V396" s="86"/>
      <c r="W396" s="86"/>
      <c r="X396" s="86"/>
      <c r="Y396" s="86"/>
      <c r="Z396" s="86"/>
      <c r="AA396" s="86"/>
      <c r="AB396" s="86"/>
      <c r="AC396" s="86"/>
      <c r="AD396" s="86"/>
      <c r="AE396" s="86"/>
    </row>
    <row r="397" spans="1:31" ht="15.75" customHeight="1">
      <c r="A397" s="3" t="s">
        <v>1765</v>
      </c>
      <c r="B397" s="109" t="s">
        <v>945</v>
      </c>
      <c r="C397" s="13" t="s">
        <v>946</v>
      </c>
      <c r="D397" s="96">
        <v>2016</v>
      </c>
      <c r="E397" s="91" t="s">
        <v>1882</v>
      </c>
      <c r="F397" s="91" t="s">
        <v>1870</v>
      </c>
      <c r="G397" s="91" t="s">
        <v>2189</v>
      </c>
      <c r="H397" s="86"/>
      <c r="I397" s="86"/>
      <c r="J397" s="86"/>
      <c r="K397" s="86"/>
      <c r="L397" s="86"/>
      <c r="M397" s="86"/>
      <c r="N397" s="86"/>
      <c r="O397" s="86"/>
      <c r="P397" s="86"/>
      <c r="Q397" s="86"/>
      <c r="R397" s="86"/>
      <c r="S397" s="86"/>
      <c r="T397" s="86"/>
      <c r="U397" s="86"/>
      <c r="V397" s="86"/>
      <c r="W397" s="86"/>
      <c r="X397" s="86"/>
      <c r="Y397" s="86"/>
      <c r="Z397" s="86"/>
      <c r="AA397" s="86"/>
      <c r="AB397" s="86"/>
      <c r="AC397" s="86"/>
      <c r="AD397" s="86"/>
      <c r="AE397" s="86"/>
    </row>
    <row r="398" spans="1:31" ht="15.75" customHeight="1">
      <c r="A398" s="3" t="s">
        <v>1765</v>
      </c>
      <c r="B398" s="109" t="s">
        <v>143</v>
      </c>
      <c r="C398" s="13" t="s">
        <v>144</v>
      </c>
      <c r="D398" s="96">
        <v>2017</v>
      </c>
      <c r="E398" s="91" t="s">
        <v>1702</v>
      </c>
      <c r="F398" s="91" t="s">
        <v>126</v>
      </c>
      <c r="G398" s="91" t="s">
        <v>2190</v>
      </c>
      <c r="H398" s="86"/>
      <c r="I398" s="86"/>
      <c r="J398" s="86"/>
      <c r="K398" s="86"/>
      <c r="L398" s="86"/>
      <c r="M398" s="86"/>
      <c r="N398" s="86"/>
      <c r="O398" s="86"/>
      <c r="P398" s="86"/>
      <c r="Q398" s="86"/>
      <c r="R398" s="86"/>
      <c r="S398" s="86"/>
      <c r="T398" s="86"/>
      <c r="U398" s="86"/>
      <c r="V398" s="86"/>
      <c r="W398" s="86"/>
      <c r="X398" s="86"/>
      <c r="Y398" s="86"/>
      <c r="Z398" s="86"/>
      <c r="AA398" s="86"/>
      <c r="AB398" s="86"/>
      <c r="AC398" s="86"/>
      <c r="AD398" s="86"/>
      <c r="AE398" s="86"/>
    </row>
    <row r="399" spans="1:31" ht="15.75" customHeight="1">
      <c r="A399" s="3" t="s">
        <v>1765</v>
      </c>
      <c r="B399" s="109" t="s">
        <v>165</v>
      </c>
      <c r="C399" s="13" t="s">
        <v>166</v>
      </c>
      <c r="D399" s="96">
        <v>2017</v>
      </c>
      <c r="E399" s="91" t="s">
        <v>1702</v>
      </c>
      <c r="F399" s="91" t="s">
        <v>1846</v>
      </c>
      <c r="G399" s="91" t="s">
        <v>2191</v>
      </c>
      <c r="H399" s="86"/>
      <c r="I399" s="86"/>
      <c r="J399" s="86"/>
      <c r="K399" s="86"/>
      <c r="L399" s="86"/>
      <c r="M399" s="86"/>
      <c r="N399" s="86"/>
      <c r="O399" s="86"/>
      <c r="P399" s="86"/>
      <c r="Q399" s="86"/>
      <c r="R399" s="86"/>
      <c r="S399" s="86"/>
      <c r="T399" s="86"/>
      <c r="U399" s="86"/>
      <c r="V399" s="86"/>
      <c r="W399" s="86"/>
      <c r="X399" s="86"/>
      <c r="Y399" s="86"/>
      <c r="Z399" s="86"/>
      <c r="AA399" s="86"/>
      <c r="AB399" s="86"/>
      <c r="AC399" s="86"/>
      <c r="AD399" s="86"/>
      <c r="AE399" s="86"/>
    </row>
    <row r="400" spans="1:31" ht="15.75" customHeight="1">
      <c r="A400" s="3" t="s">
        <v>1765</v>
      </c>
      <c r="B400" s="109" t="s">
        <v>1216</v>
      </c>
      <c r="C400" s="13" t="s">
        <v>1217</v>
      </c>
      <c r="D400" s="96">
        <v>2017</v>
      </c>
      <c r="E400" s="91" t="s">
        <v>1702</v>
      </c>
      <c r="F400" s="91" t="s">
        <v>1846</v>
      </c>
      <c r="G400" s="91" t="s">
        <v>2192</v>
      </c>
      <c r="H400" s="86"/>
      <c r="I400" s="86"/>
      <c r="J400" s="86"/>
      <c r="K400" s="86"/>
      <c r="L400" s="86"/>
      <c r="M400" s="86"/>
      <c r="N400" s="86"/>
      <c r="O400" s="86"/>
      <c r="P400" s="86"/>
      <c r="Q400" s="86"/>
      <c r="R400" s="86"/>
      <c r="S400" s="86"/>
      <c r="T400" s="86"/>
      <c r="U400" s="86"/>
      <c r="V400" s="86"/>
      <c r="W400" s="86"/>
      <c r="X400" s="86"/>
      <c r="Y400" s="86"/>
      <c r="Z400" s="86"/>
      <c r="AA400" s="86"/>
      <c r="AB400" s="86"/>
      <c r="AC400" s="86"/>
      <c r="AD400" s="86"/>
      <c r="AE400" s="86"/>
    </row>
    <row r="401" spans="1:31" ht="15.75" customHeight="1">
      <c r="A401" s="3" t="s">
        <v>1765</v>
      </c>
      <c r="B401" s="86" t="s">
        <v>185</v>
      </c>
      <c r="C401" s="13" t="s">
        <v>186</v>
      </c>
      <c r="D401" s="85">
        <v>2017</v>
      </c>
      <c r="E401" s="86" t="s">
        <v>1715</v>
      </c>
      <c r="F401" s="91" t="s">
        <v>179</v>
      </c>
      <c r="G401" s="89" t="s">
        <v>2193</v>
      </c>
      <c r="H401" s="86"/>
      <c r="I401" s="86"/>
      <c r="J401" s="86"/>
      <c r="K401" s="86"/>
      <c r="L401" s="86"/>
      <c r="M401" s="86"/>
      <c r="N401" s="86"/>
      <c r="O401" s="86"/>
      <c r="P401" s="86"/>
      <c r="Q401" s="86"/>
      <c r="R401" s="86"/>
      <c r="S401" s="86"/>
      <c r="T401" s="86"/>
      <c r="U401" s="86"/>
      <c r="V401" s="86"/>
      <c r="W401" s="86"/>
      <c r="X401" s="86"/>
      <c r="Y401" s="86"/>
      <c r="Z401" s="86"/>
      <c r="AA401" s="86"/>
      <c r="AB401" s="86"/>
      <c r="AC401" s="86"/>
      <c r="AD401" s="86"/>
      <c r="AE401" s="86"/>
    </row>
    <row r="402" spans="1:31" ht="15.75" customHeight="1">
      <c r="A402" s="3" t="s">
        <v>1765</v>
      </c>
      <c r="B402" s="3" t="s">
        <v>293</v>
      </c>
      <c r="C402" s="13" t="s">
        <v>294</v>
      </c>
      <c r="D402" s="96">
        <v>2017</v>
      </c>
      <c r="E402" s="91" t="s">
        <v>1702</v>
      </c>
      <c r="F402" s="91" t="s">
        <v>191</v>
      </c>
      <c r="G402" s="91" t="s">
        <v>2194</v>
      </c>
      <c r="H402" s="86"/>
      <c r="I402" s="86"/>
      <c r="J402" s="86"/>
      <c r="K402" s="86"/>
      <c r="L402" s="86"/>
      <c r="M402" s="86"/>
      <c r="N402" s="86"/>
      <c r="O402" s="86"/>
      <c r="P402" s="86"/>
      <c r="Q402" s="86"/>
      <c r="R402" s="86"/>
      <c r="S402" s="86"/>
      <c r="T402" s="86"/>
      <c r="U402" s="86"/>
      <c r="V402" s="86"/>
      <c r="W402" s="86"/>
      <c r="X402" s="86"/>
      <c r="Y402" s="86"/>
      <c r="Z402" s="86"/>
      <c r="AA402" s="86"/>
      <c r="AB402" s="86"/>
      <c r="AC402" s="86"/>
      <c r="AD402" s="86"/>
      <c r="AE402" s="86"/>
    </row>
    <row r="403" spans="1:31" ht="15.75" customHeight="1">
      <c r="A403" s="3" t="s">
        <v>1765</v>
      </c>
      <c r="B403" s="109" t="s">
        <v>213</v>
      </c>
      <c r="C403" s="13" t="s">
        <v>214</v>
      </c>
      <c r="D403" s="96">
        <v>2017</v>
      </c>
      <c r="E403" s="91" t="s">
        <v>1702</v>
      </c>
      <c r="F403" s="91" t="s">
        <v>205</v>
      </c>
      <c r="G403" s="91" t="s">
        <v>2195</v>
      </c>
      <c r="H403" s="86"/>
      <c r="I403" s="86"/>
      <c r="J403" s="86"/>
      <c r="K403" s="86"/>
      <c r="L403" s="86"/>
      <c r="M403" s="86"/>
      <c r="N403" s="86"/>
      <c r="O403" s="86"/>
      <c r="P403" s="86"/>
      <c r="Q403" s="86"/>
      <c r="R403" s="86"/>
      <c r="S403" s="86"/>
      <c r="T403" s="86"/>
      <c r="U403" s="86"/>
      <c r="V403" s="86"/>
      <c r="W403" s="86"/>
      <c r="X403" s="86"/>
      <c r="Y403" s="86"/>
      <c r="Z403" s="86"/>
      <c r="AA403" s="86"/>
      <c r="AB403" s="86"/>
      <c r="AC403" s="86"/>
      <c r="AD403" s="86"/>
      <c r="AE403" s="86"/>
    </row>
    <row r="404" spans="1:31" ht="15.75" customHeight="1">
      <c r="A404" s="3" t="s">
        <v>1765</v>
      </c>
      <c r="B404" s="109" t="s">
        <v>217</v>
      </c>
      <c r="C404" s="13" t="s">
        <v>218</v>
      </c>
      <c r="D404" s="96">
        <v>2017</v>
      </c>
      <c r="E404" s="91" t="s">
        <v>1702</v>
      </c>
      <c r="F404" s="91" t="s">
        <v>205</v>
      </c>
      <c r="G404" s="91" t="s">
        <v>2196</v>
      </c>
      <c r="H404" s="86"/>
      <c r="I404" s="86"/>
      <c r="J404" s="86"/>
      <c r="K404" s="86"/>
      <c r="L404" s="86"/>
      <c r="M404" s="86"/>
      <c r="N404" s="86"/>
      <c r="O404" s="86"/>
      <c r="P404" s="86"/>
      <c r="Q404" s="86"/>
      <c r="R404" s="86"/>
      <c r="S404" s="86"/>
      <c r="T404" s="86"/>
      <c r="U404" s="86"/>
      <c r="V404" s="86"/>
      <c r="W404" s="86"/>
      <c r="X404" s="86"/>
      <c r="Y404" s="86"/>
      <c r="Z404" s="86"/>
      <c r="AA404" s="86"/>
      <c r="AB404" s="86"/>
      <c r="AC404" s="86"/>
      <c r="AD404" s="86"/>
      <c r="AE404" s="86"/>
    </row>
    <row r="405" spans="1:31" ht="15.75" customHeight="1">
      <c r="A405" s="3" t="s">
        <v>1765</v>
      </c>
      <c r="B405" s="109" t="s">
        <v>225</v>
      </c>
      <c r="C405" s="13" t="s">
        <v>226</v>
      </c>
      <c r="D405" s="96">
        <v>2017</v>
      </c>
      <c r="E405" s="91" t="s">
        <v>1715</v>
      </c>
      <c r="F405" s="91" t="s">
        <v>205</v>
      </c>
      <c r="G405" s="91" t="s">
        <v>2197</v>
      </c>
      <c r="H405" s="86"/>
      <c r="I405" s="86"/>
      <c r="J405" s="86"/>
      <c r="K405" s="86"/>
      <c r="L405" s="86"/>
      <c r="M405" s="86"/>
      <c r="N405" s="86"/>
      <c r="O405" s="86"/>
      <c r="P405" s="86"/>
      <c r="Q405" s="86"/>
      <c r="R405" s="86"/>
      <c r="S405" s="86"/>
      <c r="T405" s="86"/>
      <c r="U405" s="86"/>
      <c r="V405" s="86"/>
      <c r="W405" s="86"/>
      <c r="X405" s="86"/>
      <c r="Y405" s="86"/>
      <c r="Z405" s="86"/>
      <c r="AA405" s="86"/>
      <c r="AB405" s="86"/>
      <c r="AC405" s="86"/>
      <c r="AD405" s="86"/>
      <c r="AE405" s="86"/>
    </row>
    <row r="406" spans="1:31" ht="15.75" customHeight="1">
      <c r="A406" s="3" t="s">
        <v>1765</v>
      </c>
      <c r="B406" s="109" t="s">
        <v>257</v>
      </c>
      <c r="C406" s="13" t="s">
        <v>258</v>
      </c>
      <c r="D406" s="96">
        <v>2017</v>
      </c>
      <c r="E406" s="91" t="s">
        <v>2063</v>
      </c>
      <c r="F406" s="91" t="s">
        <v>52</v>
      </c>
      <c r="G406" s="91" t="s">
        <v>2198</v>
      </c>
      <c r="H406" s="86"/>
      <c r="I406" s="86"/>
      <c r="J406" s="86"/>
      <c r="K406" s="86"/>
      <c r="L406" s="86"/>
      <c r="M406" s="86"/>
      <c r="N406" s="86"/>
      <c r="O406" s="86"/>
      <c r="P406" s="86"/>
      <c r="Q406" s="86"/>
      <c r="R406" s="86"/>
      <c r="S406" s="86"/>
      <c r="T406" s="86"/>
      <c r="U406" s="86"/>
      <c r="V406" s="86"/>
      <c r="W406" s="86"/>
      <c r="X406" s="86"/>
      <c r="Y406" s="86"/>
      <c r="Z406" s="86"/>
      <c r="AA406" s="86"/>
      <c r="AB406" s="86"/>
      <c r="AC406" s="86"/>
      <c r="AD406" s="86"/>
      <c r="AE406" s="86"/>
    </row>
    <row r="407" spans="1:31" ht="15.75" customHeight="1">
      <c r="A407" s="3" t="s">
        <v>1765</v>
      </c>
      <c r="B407" s="86" t="s">
        <v>877</v>
      </c>
      <c r="C407" s="13" t="s">
        <v>878</v>
      </c>
      <c r="D407" s="85">
        <v>2017</v>
      </c>
      <c r="E407" s="86" t="s">
        <v>1702</v>
      </c>
      <c r="F407" s="86" t="s">
        <v>672</v>
      </c>
      <c r="G407" s="91" t="s">
        <v>2199</v>
      </c>
      <c r="H407" s="86"/>
      <c r="I407" s="86"/>
      <c r="J407" s="86"/>
      <c r="K407" s="86"/>
      <c r="L407" s="86"/>
      <c r="M407" s="86"/>
      <c r="N407" s="86"/>
      <c r="O407" s="86"/>
      <c r="P407" s="86"/>
      <c r="Q407" s="86"/>
      <c r="R407" s="86"/>
      <c r="S407" s="86"/>
      <c r="T407" s="86"/>
      <c r="U407" s="86"/>
      <c r="V407" s="86"/>
      <c r="W407" s="86"/>
      <c r="X407" s="86"/>
      <c r="Y407" s="86"/>
      <c r="Z407" s="86"/>
      <c r="AA407" s="86"/>
      <c r="AB407" s="86"/>
      <c r="AC407" s="86"/>
      <c r="AD407" s="86"/>
      <c r="AE407" s="86"/>
    </row>
    <row r="408" spans="1:31" ht="15.75" customHeight="1">
      <c r="A408" s="3" t="s">
        <v>1765</v>
      </c>
      <c r="B408" s="86" t="s">
        <v>854</v>
      </c>
      <c r="C408" s="13" t="s">
        <v>855</v>
      </c>
      <c r="D408" s="85">
        <v>2017</v>
      </c>
      <c r="E408" s="86" t="s">
        <v>1702</v>
      </c>
      <c r="F408" s="86" t="s">
        <v>672</v>
      </c>
      <c r="G408" s="91" t="s">
        <v>2200</v>
      </c>
      <c r="H408" s="86"/>
      <c r="I408" s="86"/>
      <c r="J408" s="86"/>
      <c r="K408" s="86"/>
      <c r="L408" s="86"/>
      <c r="M408" s="86"/>
      <c r="N408" s="86"/>
      <c r="O408" s="86"/>
      <c r="P408" s="86"/>
      <c r="Q408" s="86"/>
      <c r="R408" s="86"/>
      <c r="S408" s="86"/>
      <c r="T408" s="86"/>
      <c r="U408" s="86"/>
      <c r="V408" s="86"/>
      <c r="W408" s="86"/>
      <c r="X408" s="86"/>
      <c r="Y408" s="86"/>
      <c r="Z408" s="86"/>
      <c r="AA408" s="86"/>
      <c r="AB408" s="86"/>
      <c r="AC408" s="86"/>
      <c r="AD408" s="86"/>
      <c r="AE408" s="86"/>
    </row>
    <row r="409" spans="1:31" ht="15.75" customHeight="1">
      <c r="A409" s="3" t="s">
        <v>1765</v>
      </c>
      <c r="B409" s="109" t="s">
        <v>275</v>
      </c>
      <c r="C409" s="13" t="s">
        <v>276</v>
      </c>
      <c r="D409" s="96">
        <v>2017</v>
      </c>
      <c r="E409" s="91" t="s">
        <v>2063</v>
      </c>
      <c r="F409" s="91" t="s">
        <v>1850</v>
      </c>
      <c r="G409" s="91" t="s">
        <v>2201</v>
      </c>
      <c r="H409" s="86"/>
      <c r="I409" s="86"/>
      <c r="J409" s="86"/>
      <c r="K409" s="86"/>
      <c r="L409" s="86"/>
      <c r="M409" s="86"/>
      <c r="N409" s="86"/>
      <c r="O409" s="86"/>
      <c r="P409" s="86"/>
      <c r="Q409" s="86"/>
      <c r="R409" s="86"/>
      <c r="S409" s="86"/>
      <c r="T409" s="86"/>
      <c r="U409" s="86"/>
      <c r="V409" s="86"/>
      <c r="W409" s="86"/>
      <c r="X409" s="86"/>
      <c r="Y409" s="86"/>
      <c r="Z409" s="86"/>
      <c r="AA409" s="86"/>
      <c r="AB409" s="86"/>
      <c r="AC409" s="86"/>
      <c r="AD409" s="86"/>
      <c r="AE409" s="86"/>
    </row>
    <row r="410" spans="1:31" ht="15.75" customHeight="1">
      <c r="A410" s="3" t="s">
        <v>1765</v>
      </c>
      <c r="B410" s="86" t="s">
        <v>339</v>
      </c>
      <c r="C410" s="13" t="s">
        <v>340</v>
      </c>
      <c r="D410" s="85">
        <v>2017</v>
      </c>
      <c r="E410" s="86" t="s">
        <v>1707</v>
      </c>
      <c r="F410" s="86" t="s">
        <v>682</v>
      </c>
      <c r="G410" s="91" t="s">
        <v>2202</v>
      </c>
      <c r="H410" s="86"/>
      <c r="I410" s="86"/>
      <c r="J410" s="86"/>
      <c r="K410" s="86"/>
      <c r="L410" s="86"/>
      <c r="M410" s="86"/>
      <c r="N410" s="86"/>
      <c r="O410" s="86"/>
      <c r="P410" s="86"/>
      <c r="Q410" s="86"/>
      <c r="R410" s="86"/>
      <c r="S410" s="86"/>
      <c r="T410" s="86"/>
      <c r="U410" s="86"/>
      <c r="V410" s="86"/>
      <c r="W410" s="86"/>
      <c r="X410" s="86"/>
      <c r="Y410" s="86"/>
      <c r="Z410" s="86"/>
      <c r="AA410" s="86"/>
      <c r="AB410" s="86"/>
      <c r="AC410" s="86"/>
      <c r="AD410" s="86"/>
      <c r="AE410" s="86"/>
    </row>
    <row r="411" spans="1:31" ht="15.75" customHeight="1">
      <c r="A411" s="3" t="s">
        <v>1765</v>
      </c>
      <c r="B411" s="86" t="s">
        <v>906</v>
      </c>
      <c r="C411" s="13" t="s">
        <v>907</v>
      </c>
      <c r="D411" s="85">
        <v>2017</v>
      </c>
      <c r="E411" s="86" t="s">
        <v>1704</v>
      </c>
      <c r="F411" s="86" t="s">
        <v>353</v>
      </c>
      <c r="G411" s="112" t="s">
        <v>2203</v>
      </c>
      <c r="H411" s="86"/>
      <c r="I411" s="86"/>
      <c r="J411" s="86"/>
      <c r="K411" s="86"/>
      <c r="L411" s="86"/>
      <c r="M411" s="86"/>
      <c r="N411" s="86"/>
      <c r="O411" s="86"/>
      <c r="P411" s="86"/>
      <c r="Q411" s="86"/>
      <c r="R411" s="86"/>
      <c r="S411" s="86"/>
      <c r="T411" s="86"/>
      <c r="U411" s="86"/>
      <c r="V411" s="86"/>
      <c r="W411" s="86"/>
      <c r="X411" s="86"/>
      <c r="Y411" s="86"/>
      <c r="Z411" s="86"/>
      <c r="AA411" s="86"/>
      <c r="AB411" s="86"/>
      <c r="AC411" s="86"/>
      <c r="AD411" s="86"/>
      <c r="AE411" s="86"/>
    </row>
    <row r="412" spans="1:31" ht="15.75" customHeight="1">
      <c r="A412" s="3" t="s">
        <v>1765</v>
      </c>
      <c r="B412" s="89" t="s">
        <v>241</v>
      </c>
      <c r="C412" s="13" t="s">
        <v>242</v>
      </c>
      <c r="D412" s="110">
        <v>2017</v>
      </c>
      <c r="E412" s="89" t="s">
        <v>1704</v>
      </c>
      <c r="F412" s="89" t="s">
        <v>1708</v>
      </c>
      <c r="G412" s="112" t="s">
        <v>2204</v>
      </c>
      <c r="H412" s="89"/>
      <c r="I412" s="89"/>
      <c r="J412" s="89"/>
      <c r="K412" s="89"/>
      <c r="L412" s="89"/>
      <c r="M412" s="89"/>
      <c r="N412" s="89"/>
      <c r="O412" s="89"/>
      <c r="P412" s="89"/>
      <c r="Q412" s="89"/>
      <c r="R412" s="89"/>
      <c r="S412" s="89"/>
      <c r="T412" s="89"/>
      <c r="U412" s="89"/>
      <c r="V412" s="89"/>
      <c r="W412" s="89"/>
      <c r="X412" s="89"/>
      <c r="Y412" s="89"/>
      <c r="Z412" s="89"/>
      <c r="AA412" s="89"/>
      <c r="AB412" s="89"/>
      <c r="AC412" s="89"/>
      <c r="AD412" s="89"/>
      <c r="AE412" s="89"/>
    </row>
    <row r="413" spans="1:31" ht="15.75" customHeight="1">
      <c r="A413" s="3" t="s">
        <v>1765</v>
      </c>
      <c r="B413" s="3" t="s">
        <v>586</v>
      </c>
      <c r="C413" s="13" t="s">
        <v>587</v>
      </c>
      <c r="D413" s="96">
        <v>2017</v>
      </c>
      <c r="E413" s="91" t="s">
        <v>1715</v>
      </c>
      <c r="F413" s="91" t="s">
        <v>1708</v>
      </c>
      <c r="G413" s="91" t="s">
        <v>2205</v>
      </c>
      <c r="H413" s="86"/>
      <c r="I413" s="86"/>
      <c r="J413" s="86"/>
      <c r="K413" s="86"/>
      <c r="L413" s="86"/>
      <c r="M413" s="86"/>
      <c r="N413" s="86"/>
      <c r="O413" s="86"/>
      <c r="P413" s="86"/>
      <c r="Q413" s="86"/>
      <c r="R413" s="86"/>
      <c r="S413" s="86"/>
      <c r="T413" s="86"/>
      <c r="U413" s="86"/>
      <c r="V413" s="86"/>
      <c r="W413" s="86"/>
      <c r="X413" s="86"/>
      <c r="Y413" s="86"/>
      <c r="Z413" s="86"/>
      <c r="AA413" s="86"/>
      <c r="AB413" s="86"/>
      <c r="AC413" s="86"/>
      <c r="AD413" s="86"/>
      <c r="AE413" s="86"/>
    </row>
    <row r="414" spans="1:31" ht="15.75" customHeight="1">
      <c r="A414" s="3" t="s">
        <v>1765</v>
      </c>
      <c r="B414" s="89" t="s">
        <v>120</v>
      </c>
      <c r="C414" s="13" t="s">
        <v>121</v>
      </c>
      <c r="D414" s="110">
        <v>2017</v>
      </c>
      <c r="E414" s="89" t="s">
        <v>1702</v>
      </c>
      <c r="F414" s="89" t="s">
        <v>1708</v>
      </c>
      <c r="G414" s="112" t="s">
        <v>2206</v>
      </c>
      <c r="H414" s="89"/>
      <c r="I414" s="89"/>
      <c r="J414" s="89"/>
      <c r="K414" s="89"/>
      <c r="L414" s="89"/>
      <c r="M414" s="89"/>
      <c r="N414" s="89"/>
      <c r="O414" s="89"/>
      <c r="P414" s="89"/>
      <c r="Q414" s="89"/>
      <c r="R414" s="89"/>
      <c r="S414" s="89"/>
      <c r="T414" s="89"/>
      <c r="U414" s="89"/>
      <c r="V414" s="89"/>
      <c r="W414" s="89"/>
      <c r="X414" s="89"/>
      <c r="Y414" s="89"/>
      <c r="Z414" s="89"/>
      <c r="AA414" s="89"/>
      <c r="AB414" s="89"/>
      <c r="AC414" s="89"/>
      <c r="AD414" s="89"/>
      <c r="AE414" s="89"/>
    </row>
    <row r="415" spans="1:31" ht="15.75" customHeight="1">
      <c r="A415" s="3" t="s">
        <v>1765</v>
      </c>
      <c r="B415" s="109" t="s">
        <v>399</v>
      </c>
      <c r="C415" s="13" t="s">
        <v>400</v>
      </c>
      <c r="D415" s="96">
        <v>2017</v>
      </c>
      <c r="E415" s="91" t="s">
        <v>1707</v>
      </c>
      <c r="F415" s="91" t="s">
        <v>1841</v>
      </c>
      <c r="G415" s="91" t="s">
        <v>2207</v>
      </c>
      <c r="H415" s="86"/>
      <c r="I415" s="86"/>
      <c r="J415" s="86"/>
      <c r="K415" s="86"/>
      <c r="L415" s="86"/>
      <c r="M415" s="86"/>
      <c r="N415" s="86"/>
      <c r="O415" s="86"/>
      <c r="P415" s="86"/>
      <c r="Q415" s="86"/>
      <c r="R415" s="86"/>
      <c r="S415" s="86"/>
      <c r="T415" s="86"/>
      <c r="U415" s="86"/>
      <c r="V415" s="86"/>
      <c r="W415" s="86"/>
      <c r="X415" s="86"/>
      <c r="Y415" s="86"/>
      <c r="Z415" s="86"/>
      <c r="AA415" s="86"/>
      <c r="AB415" s="86"/>
      <c r="AC415" s="86"/>
      <c r="AD415" s="86"/>
      <c r="AE415" s="86"/>
    </row>
    <row r="416" spans="1:31" ht="15.75" customHeight="1">
      <c r="A416" s="3" t="s">
        <v>1765</v>
      </c>
      <c r="B416" s="109" t="s">
        <v>407</v>
      </c>
      <c r="C416" s="13" t="s">
        <v>408</v>
      </c>
      <c r="D416" s="96">
        <v>2017</v>
      </c>
      <c r="E416" s="91" t="s">
        <v>1702</v>
      </c>
      <c r="F416" s="91" t="s">
        <v>1841</v>
      </c>
      <c r="G416" s="91" t="s">
        <v>2208</v>
      </c>
      <c r="H416" s="86"/>
      <c r="I416" s="86"/>
      <c r="J416" s="86"/>
      <c r="K416" s="86"/>
      <c r="L416" s="86"/>
      <c r="M416" s="86"/>
      <c r="N416" s="86"/>
      <c r="O416" s="86"/>
      <c r="P416" s="86"/>
      <c r="Q416" s="86"/>
      <c r="R416" s="86"/>
      <c r="S416" s="86"/>
      <c r="T416" s="86"/>
      <c r="U416" s="86"/>
      <c r="V416" s="86"/>
      <c r="W416" s="86"/>
      <c r="X416" s="86"/>
      <c r="Y416" s="86"/>
      <c r="Z416" s="86"/>
      <c r="AA416" s="86"/>
      <c r="AB416" s="86"/>
      <c r="AC416" s="86"/>
      <c r="AD416" s="86"/>
      <c r="AE416" s="86"/>
    </row>
    <row r="417" spans="1:31" ht="15.75" customHeight="1">
      <c r="A417" s="3" t="s">
        <v>1765</v>
      </c>
      <c r="B417" s="89" t="s">
        <v>427</v>
      </c>
      <c r="C417" s="13" t="s">
        <v>428</v>
      </c>
      <c r="D417" s="110">
        <v>2017</v>
      </c>
      <c r="E417" s="89" t="s">
        <v>1707</v>
      </c>
      <c r="F417" s="89" t="s">
        <v>417</v>
      </c>
      <c r="G417" s="112" t="s">
        <v>2209</v>
      </c>
      <c r="H417" s="89"/>
      <c r="I417" s="89"/>
      <c r="J417" s="89"/>
      <c r="K417" s="89"/>
      <c r="L417" s="89"/>
      <c r="M417" s="89"/>
      <c r="N417" s="89"/>
      <c r="O417" s="89"/>
      <c r="P417" s="89"/>
      <c r="Q417" s="89"/>
      <c r="R417" s="89"/>
      <c r="S417" s="89"/>
      <c r="T417" s="89"/>
      <c r="U417" s="89"/>
      <c r="V417" s="89"/>
      <c r="W417" s="89"/>
      <c r="X417" s="89"/>
      <c r="Y417" s="89"/>
      <c r="Z417" s="89"/>
      <c r="AA417" s="89"/>
      <c r="AB417" s="89"/>
      <c r="AC417" s="89"/>
      <c r="AD417" s="89"/>
      <c r="AE417" s="89"/>
    </row>
    <row r="418" spans="1:31" ht="15.75" customHeight="1">
      <c r="A418" s="3" t="s">
        <v>1765</v>
      </c>
      <c r="B418" s="109" t="s">
        <v>265</v>
      </c>
      <c r="C418" s="13" t="s">
        <v>266</v>
      </c>
      <c r="D418" s="96">
        <v>2017</v>
      </c>
      <c r="E418" s="91" t="s">
        <v>1702</v>
      </c>
      <c r="F418" s="91" t="s">
        <v>629</v>
      </c>
      <c r="G418" s="91" t="s">
        <v>2210</v>
      </c>
      <c r="H418" s="86"/>
      <c r="I418" s="86"/>
      <c r="J418" s="86"/>
      <c r="K418" s="86"/>
      <c r="L418" s="86"/>
      <c r="M418" s="86"/>
      <c r="N418" s="86"/>
      <c r="O418" s="86"/>
      <c r="P418" s="86"/>
      <c r="Q418" s="86"/>
      <c r="R418" s="86"/>
      <c r="S418" s="86"/>
      <c r="T418" s="86"/>
      <c r="U418" s="86"/>
      <c r="V418" s="86"/>
      <c r="W418" s="86"/>
      <c r="X418" s="86"/>
      <c r="Y418" s="86"/>
      <c r="Z418" s="86"/>
      <c r="AA418" s="86"/>
      <c r="AB418" s="86"/>
      <c r="AC418" s="86"/>
      <c r="AD418" s="86"/>
      <c r="AE418" s="86"/>
    </row>
    <row r="419" spans="1:31" ht="15.75" customHeight="1">
      <c r="A419" s="3" t="s">
        <v>1765</v>
      </c>
      <c r="B419" s="118" t="s">
        <v>930</v>
      </c>
      <c r="C419" s="13" t="s">
        <v>931</v>
      </c>
      <c r="D419" s="110">
        <v>2017</v>
      </c>
      <c r="E419" s="89" t="s">
        <v>1702</v>
      </c>
      <c r="F419" s="89" t="s">
        <v>629</v>
      </c>
      <c r="G419" s="112" t="s">
        <v>2211</v>
      </c>
      <c r="H419" s="89"/>
      <c r="I419" s="89"/>
      <c r="J419" s="89"/>
      <c r="K419" s="89"/>
      <c r="L419" s="89"/>
      <c r="M419" s="89"/>
      <c r="N419" s="89"/>
      <c r="O419" s="89"/>
      <c r="P419" s="89"/>
      <c r="Q419" s="89"/>
      <c r="R419" s="89"/>
      <c r="S419" s="89"/>
      <c r="T419" s="89"/>
      <c r="U419" s="89"/>
      <c r="V419" s="89"/>
      <c r="W419" s="89"/>
      <c r="X419" s="89"/>
      <c r="Y419" s="89"/>
      <c r="Z419" s="89"/>
      <c r="AA419" s="89"/>
      <c r="AB419" s="89"/>
      <c r="AC419" s="89"/>
      <c r="AD419" s="89"/>
      <c r="AE419" s="89"/>
    </row>
    <row r="420" spans="1:31" ht="15.75" customHeight="1">
      <c r="A420" s="3" t="s">
        <v>1765</v>
      </c>
      <c r="B420" s="89" t="s">
        <v>2212</v>
      </c>
      <c r="C420" s="13" t="s">
        <v>117</v>
      </c>
      <c r="D420" s="110">
        <v>2017</v>
      </c>
      <c r="E420" s="89" t="s">
        <v>1702</v>
      </c>
      <c r="F420" s="89" t="s">
        <v>116</v>
      </c>
      <c r="G420" s="112" t="s">
        <v>2213</v>
      </c>
      <c r="H420" s="89"/>
      <c r="I420" s="89"/>
      <c r="J420" s="89"/>
      <c r="K420" s="89"/>
      <c r="L420" s="89"/>
      <c r="M420" s="89"/>
      <c r="N420" s="89"/>
      <c r="O420" s="89"/>
      <c r="P420" s="89"/>
      <c r="Q420" s="89"/>
      <c r="R420" s="89"/>
      <c r="S420" s="89"/>
      <c r="T420" s="89"/>
      <c r="U420" s="89"/>
      <c r="V420" s="89"/>
      <c r="W420" s="89"/>
      <c r="X420" s="89"/>
      <c r="Y420" s="89"/>
      <c r="Z420" s="89"/>
      <c r="AA420" s="89"/>
      <c r="AB420" s="89"/>
      <c r="AC420" s="89"/>
      <c r="AD420" s="89"/>
      <c r="AE420" s="89"/>
    </row>
    <row r="421" spans="1:31" ht="15.75" customHeight="1">
      <c r="A421" s="3" t="s">
        <v>1765</v>
      </c>
      <c r="B421" s="86" t="s">
        <v>1155</v>
      </c>
      <c r="C421" s="13" t="s">
        <v>1156</v>
      </c>
      <c r="D421" s="96">
        <v>2017</v>
      </c>
      <c r="E421" s="91" t="s">
        <v>1707</v>
      </c>
      <c r="F421" s="91" t="s">
        <v>116</v>
      </c>
      <c r="G421" s="91" t="s">
        <v>2214</v>
      </c>
      <c r="H421" s="86"/>
      <c r="I421" s="86"/>
      <c r="J421" s="86"/>
      <c r="K421" s="86"/>
      <c r="L421" s="86"/>
      <c r="M421" s="86"/>
      <c r="N421" s="86"/>
      <c r="O421" s="86"/>
      <c r="P421" s="86"/>
      <c r="Q421" s="86"/>
      <c r="R421" s="86"/>
      <c r="S421" s="86"/>
      <c r="T421" s="86"/>
      <c r="U421" s="86"/>
      <c r="V421" s="86"/>
      <c r="W421" s="86"/>
      <c r="X421" s="86"/>
      <c r="Y421" s="86"/>
      <c r="Z421" s="86"/>
      <c r="AA421" s="86"/>
      <c r="AB421" s="86"/>
      <c r="AC421" s="86"/>
      <c r="AD421" s="86"/>
      <c r="AE421" s="86"/>
    </row>
    <row r="422" spans="1:31" ht="15.75" customHeight="1">
      <c r="A422" s="3" t="s">
        <v>1765</v>
      </c>
      <c r="B422" s="109" t="s">
        <v>493</v>
      </c>
      <c r="C422" s="13" t="s">
        <v>494</v>
      </c>
      <c r="D422" s="96">
        <v>2017</v>
      </c>
      <c r="E422" s="91" t="s">
        <v>1702</v>
      </c>
      <c r="F422" s="91" t="s">
        <v>488</v>
      </c>
      <c r="G422" s="91" t="s">
        <v>2215</v>
      </c>
      <c r="H422" s="86"/>
      <c r="I422" s="86"/>
      <c r="J422" s="86"/>
      <c r="K422" s="86"/>
      <c r="L422" s="86"/>
      <c r="M422" s="86"/>
      <c r="N422" s="86"/>
      <c r="O422" s="86"/>
      <c r="P422" s="86"/>
      <c r="Q422" s="86"/>
      <c r="R422" s="86"/>
      <c r="S422" s="86"/>
      <c r="T422" s="86"/>
      <c r="U422" s="86"/>
      <c r="V422" s="86"/>
      <c r="W422" s="86"/>
      <c r="X422" s="86"/>
      <c r="Y422" s="86"/>
      <c r="Z422" s="86"/>
      <c r="AA422" s="86"/>
      <c r="AB422" s="86"/>
      <c r="AC422" s="86"/>
      <c r="AD422" s="86"/>
      <c r="AE422" s="86"/>
    </row>
    <row r="423" spans="1:31" ht="15.75" customHeight="1">
      <c r="A423" s="3" t="s">
        <v>1765</v>
      </c>
      <c r="B423" s="109" t="s">
        <v>495</v>
      </c>
      <c r="C423" s="13" t="s">
        <v>507</v>
      </c>
      <c r="D423" s="96">
        <v>2017</v>
      </c>
      <c r="E423" s="91" t="s">
        <v>1702</v>
      </c>
      <c r="F423" s="91" t="s">
        <v>488</v>
      </c>
      <c r="G423" s="91" t="s">
        <v>2216</v>
      </c>
      <c r="H423" s="86"/>
      <c r="I423" s="86"/>
      <c r="J423" s="86"/>
      <c r="K423" s="86"/>
      <c r="L423" s="86"/>
      <c r="M423" s="86"/>
      <c r="N423" s="86"/>
      <c r="O423" s="86"/>
      <c r="P423" s="86"/>
      <c r="Q423" s="86"/>
      <c r="R423" s="86"/>
      <c r="S423" s="86"/>
      <c r="T423" s="86"/>
      <c r="U423" s="86"/>
      <c r="V423" s="86"/>
      <c r="W423" s="86"/>
      <c r="X423" s="86"/>
      <c r="Y423" s="86"/>
      <c r="Z423" s="86"/>
      <c r="AA423" s="86"/>
      <c r="AB423" s="86"/>
      <c r="AC423" s="86"/>
      <c r="AD423" s="86"/>
      <c r="AE423" s="86"/>
    </row>
    <row r="424" spans="1:31" ht="15.75" customHeight="1">
      <c r="A424" s="3" t="s">
        <v>1765</v>
      </c>
      <c r="B424" s="89" t="s">
        <v>521</v>
      </c>
      <c r="C424" s="13" t="s">
        <v>522</v>
      </c>
      <c r="D424" s="110">
        <v>2017</v>
      </c>
      <c r="E424" s="89" t="s">
        <v>1702</v>
      </c>
      <c r="F424" s="89" t="s">
        <v>1870</v>
      </c>
      <c r="G424" s="112" t="s">
        <v>2217</v>
      </c>
      <c r="H424" s="89"/>
      <c r="I424" s="89"/>
      <c r="J424" s="89"/>
      <c r="K424" s="89"/>
      <c r="L424" s="89"/>
      <c r="M424" s="89"/>
      <c r="N424" s="89"/>
      <c r="O424" s="89"/>
      <c r="P424" s="89"/>
      <c r="Q424" s="89"/>
      <c r="R424" s="89"/>
      <c r="S424" s="89"/>
      <c r="T424" s="89"/>
      <c r="U424" s="89"/>
      <c r="V424" s="89"/>
      <c r="W424" s="89"/>
      <c r="X424" s="89"/>
      <c r="Y424" s="89"/>
      <c r="Z424" s="89"/>
      <c r="AA424" s="89"/>
      <c r="AB424" s="89"/>
      <c r="AC424" s="89"/>
      <c r="AD424" s="89"/>
      <c r="AE424" s="89"/>
    </row>
    <row r="425" spans="1:31" ht="15.75" customHeight="1">
      <c r="A425" s="3" t="s">
        <v>1765</v>
      </c>
      <c r="B425" s="3" t="s">
        <v>576</v>
      </c>
      <c r="C425" s="13" t="s">
        <v>577</v>
      </c>
      <c r="D425" s="96">
        <v>2017</v>
      </c>
      <c r="E425" s="91" t="s">
        <v>1704</v>
      </c>
      <c r="F425" s="91" t="s">
        <v>566</v>
      </c>
      <c r="G425" s="91" t="s">
        <v>2218</v>
      </c>
      <c r="H425" s="86"/>
      <c r="I425" s="86"/>
      <c r="J425" s="86"/>
      <c r="K425" s="86"/>
      <c r="L425" s="86"/>
      <c r="M425" s="86"/>
      <c r="N425" s="86"/>
      <c r="O425" s="86"/>
      <c r="P425" s="86"/>
      <c r="Q425" s="86"/>
      <c r="R425" s="86"/>
      <c r="S425" s="86"/>
      <c r="T425" s="86"/>
      <c r="U425" s="86"/>
      <c r="V425" s="86"/>
      <c r="W425" s="86"/>
      <c r="X425" s="86"/>
      <c r="Y425" s="86"/>
      <c r="Z425" s="86"/>
      <c r="AA425" s="86"/>
      <c r="AB425" s="86"/>
      <c r="AC425" s="86"/>
      <c r="AD425" s="86"/>
      <c r="AE425" s="86"/>
    </row>
    <row r="426" spans="1:31" ht="15.75" customHeight="1">
      <c r="A426" s="3" t="s">
        <v>1765</v>
      </c>
      <c r="B426" s="109" t="s">
        <v>619</v>
      </c>
      <c r="C426" s="13" t="s">
        <v>620</v>
      </c>
      <c r="D426" s="96">
        <v>2017</v>
      </c>
      <c r="E426" s="91" t="s">
        <v>1707</v>
      </c>
      <c r="F426" s="91" t="s">
        <v>1831</v>
      </c>
      <c r="G426" s="91" t="s">
        <v>2219</v>
      </c>
      <c r="H426" s="86"/>
      <c r="I426" s="86"/>
      <c r="J426" s="86"/>
      <c r="K426" s="86"/>
      <c r="L426" s="86"/>
      <c r="M426" s="86"/>
      <c r="N426" s="86"/>
      <c r="O426" s="86"/>
      <c r="P426" s="86"/>
      <c r="Q426" s="86"/>
      <c r="R426" s="86"/>
      <c r="S426" s="86"/>
      <c r="T426" s="86"/>
      <c r="U426" s="86"/>
      <c r="V426" s="86"/>
      <c r="W426" s="86"/>
      <c r="X426" s="86"/>
      <c r="Y426" s="86"/>
      <c r="Z426" s="86"/>
      <c r="AA426" s="86"/>
      <c r="AB426" s="86"/>
      <c r="AC426" s="86"/>
      <c r="AD426" s="86"/>
      <c r="AE426" s="86"/>
    </row>
    <row r="427" spans="1:31" ht="15.75" customHeight="1">
      <c r="A427" s="3" t="s">
        <v>1765</v>
      </c>
      <c r="B427" s="109" t="s">
        <v>138</v>
      </c>
      <c r="C427" s="13" t="s">
        <v>139</v>
      </c>
      <c r="D427" s="96">
        <v>2018</v>
      </c>
      <c r="E427" s="91" t="s">
        <v>1702</v>
      </c>
      <c r="F427" s="91" t="s">
        <v>126</v>
      </c>
      <c r="G427" s="91" t="s">
        <v>2220</v>
      </c>
      <c r="H427" s="86"/>
      <c r="I427" s="86"/>
      <c r="J427" s="86"/>
      <c r="K427" s="86"/>
      <c r="L427" s="86"/>
      <c r="M427" s="86"/>
      <c r="N427" s="86"/>
      <c r="O427" s="86"/>
      <c r="P427" s="86"/>
      <c r="Q427" s="86"/>
      <c r="R427" s="86"/>
      <c r="S427" s="86"/>
      <c r="T427" s="86"/>
      <c r="U427" s="86"/>
      <c r="V427" s="86"/>
      <c r="W427" s="86"/>
      <c r="X427" s="86"/>
      <c r="Y427" s="86"/>
      <c r="Z427" s="86"/>
      <c r="AA427" s="86"/>
      <c r="AB427" s="86"/>
      <c r="AC427" s="86"/>
      <c r="AD427" s="86"/>
      <c r="AE427" s="86"/>
    </row>
    <row r="428" spans="1:31" ht="15.75" customHeight="1">
      <c r="A428" s="3" t="s">
        <v>1765</v>
      </c>
      <c r="B428" s="109" t="s">
        <v>810</v>
      </c>
      <c r="C428" s="13" t="s">
        <v>811</v>
      </c>
      <c r="D428" s="96">
        <v>2018</v>
      </c>
      <c r="E428" s="91" t="s">
        <v>2063</v>
      </c>
      <c r="F428" s="91" t="s">
        <v>1846</v>
      </c>
      <c r="G428" s="91" t="s">
        <v>2221</v>
      </c>
      <c r="H428" s="86"/>
      <c r="I428" s="86"/>
      <c r="J428" s="86"/>
      <c r="K428" s="86"/>
      <c r="L428" s="86"/>
      <c r="M428" s="86"/>
      <c r="N428" s="86"/>
      <c r="O428" s="86"/>
      <c r="P428" s="86"/>
      <c r="Q428" s="86"/>
      <c r="R428" s="86"/>
      <c r="S428" s="86"/>
      <c r="T428" s="86"/>
      <c r="U428" s="86"/>
      <c r="V428" s="86"/>
      <c r="W428" s="86"/>
      <c r="X428" s="86"/>
      <c r="Y428" s="86"/>
      <c r="Z428" s="86"/>
      <c r="AA428" s="86"/>
      <c r="AB428" s="86"/>
      <c r="AC428" s="86"/>
      <c r="AD428" s="86"/>
      <c r="AE428" s="86"/>
    </row>
    <row r="429" spans="1:31" ht="15.75" customHeight="1">
      <c r="A429" s="3" t="s">
        <v>1765</v>
      </c>
      <c r="B429" s="109" t="s">
        <v>1293</v>
      </c>
      <c r="C429" s="13" t="s">
        <v>1294</v>
      </c>
      <c r="D429" s="96">
        <v>2018</v>
      </c>
      <c r="E429" s="91" t="s">
        <v>1702</v>
      </c>
      <c r="F429" s="91" t="s">
        <v>191</v>
      </c>
      <c r="G429" s="91" t="s">
        <v>2222</v>
      </c>
      <c r="H429" s="86"/>
      <c r="I429" s="86"/>
      <c r="J429" s="86"/>
      <c r="K429" s="86"/>
      <c r="L429" s="86"/>
      <c r="M429" s="86"/>
      <c r="N429" s="86"/>
      <c r="O429" s="86"/>
      <c r="P429" s="86"/>
      <c r="Q429" s="86"/>
      <c r="R429" s="86"/>
      <c r="S429" s="86"/>
      <c r="T429" s="86"/>
      <c r="U429" s="86"/>
      <c r="V429" s="86"/>
      <c r="W429" s="86"/>
      <c r="X429" s="86"/>
      <c r="Y429" s="86"/>
      <c r="Z429" s="86"/>
      <c r="AA429" s="86"/>
      <c r="AB429" s="86"/>
      <c r="AC429" s="86"/>
      <c r="AD429" s="86"/>
      <c r="AE429" s="86"/>
    </row>
    <row r="430" spans="1:31" ht="15.75" customHeight="1">
      <c r="A430" s="3" t="s">
        <v>1765</v>
      </c>
      <c r="B430" s="109" t="s">
        <v>849</v>
      </c>
      <c r="C430" s="13" t="s">
        <v>850</v>
      </c>
      <c r="D430" s="96">
        <v>2018</v>
      </c>
      <c r="E430" s="91" t="s">
        <v>1707</v>
      </c>
      <c r="F430" s="91" t="s">
        <v>191</v>
      </c>
      <c r="G430" s="91" t="s">
        <v>2223</v>
      </c>
      <c r="H430" s="86"/>
      <c r="I430" s="86"/>
      <c r="J430" s="86"/>
      <c r="K430" s="86"/>
      <c r="L430" s="86"/>
      <c r="M430" s="86"/>
      <c r="N430" s="86"/>
      <c r="O430" s="86"/>
      <c r="P430" s="86"/>
      <c r="Q430" s="86"/>
      <c r="R430" s="86"/>
      <c r="S430" s="86"/>
      <c r="T430" s="86"/>
      <c r="U430" s="86"/>
      <c r="V430" s="86"/>
      <c r="W430" s="86"/>
      <c r="X430" s="86"/>
      <c r="Y430" s="86"/>
      <c r="Z430" s="86"/>
      <c r="AA430" s="86"/>
      <c r="AB430" s="86"/>
      <c r="AC430" s="86"/>
      <c r="AD430" s="86"/>
      <c r="AE430" s="86"/>
    </row>
    <row r="431" spans="1:31" ht="15.75" customHeight="1">
      <c r="A431" s="3" t="s">
        <v>1765</v>
      </c>
      <c r="B431" s="109" t="s">
        <v>307</v>
      </c>
      <c r="C431" s="13" t="s">
        <v>308</v>
      </c>
      <c r="D431" s="96">
        <v>2018</v>
      </c>
      <c r="E431" s="91" t="s">
        <v>1702</v>
      </c>
      <c r="F431" s="91" t="s">
        <v>672</v>
      </c>
      <c r="G431" s="91" t="s">
        <v>2224</v>
      </c>
      <c r="H431" s="86"/>
      <c r="I431" s="86"/>
      <c r="J431" s="86"/>
      <c r="K431" s="86"/>
      <c r="L431" s="86"/>
      <c r="M431" s="86"/>
      <c r="N431" s="86"/>
      <c r="O431" s="86"/>
      <c r="P431" s="86"/>
      <c r="Q431" s="86"/>
      <c r="R431" s="86"/>
      <c r="S431" s="86"/>
      <c r="T431" s="86"/>
      <c r="U431" s="86"/>
      <c r="V431" s="86"/>
      <c r="W431" s="86"/>
      <c r="X431" s="86"/>
      <c r="Y431" s="86"/>
      <c r="Z431" s="86"/>
      <c r="AA431" s="86"/>
      <c r="AB431" s="86"/>
      <c r="AC431" s="86"/>
      <c r="AD431" s="86"/>
      <c r="AE431" s="86"/>
    </row>
    <row r="432" spans="1:31" ht="15.75" customHeight="1">
      <c r="A432" s="3" t="s">
        <v>1765</v>
      </c>
      <c r="B432" s="86" t="s">
        <v>281</v>
      </c>
      <c r="C432" s="13" t="s">
        <v>282</v>
      </c>
      <c r="D432" s="96">
        <v>2018</v>
      </c>
      <c r="E432" s="91" t="s">
        <v>1707</v>
      </c>
      <c r="F432" s="91" t="s">
        <v>1850</v>
      </c>
      <c r="G432" s="91" t="s">
        <v>2225</v>
      </c>
      <c r="H432" s="86"/>
      <c r="I432" s="86"/>
      <c r="J432" s="86"/>
      <c r="K432" s="86"/>
      <c r="L432" s="86"/>
      <c r="M432" s="86"/>
      <c r="N432" s="86"/>
      <c r="O432" s="86"/>
      <c r="P432" s="86"/>
      <c r="Q432" s="86"/>
      <c r="R432" s="86"/>
      <c r="S432" s="86"/>
      <c r="T432" s="86"/>
      <c r="U432" s="86"/>
      <c r="V432" s="86"/>
      <c r="W432" s="86"/>
      <c r="X432" s="86"/>
      <c r="Y432" s="86"/>
      <c r="Z432" s="86"/>
      <c r="AA432" s="86"/>
      <c r="AB432" s="86"/>
      <c r="AC432" s="86"/>
      <c r="AD432" s="86"/>
      <c r="AE432" s="86"/>
    </row>
    <row r="433" spans="1:31" ht="15.75" customHeight="1">
      <c r="A433" s="3" t="s">
        <v>1765</v>
      </c>
      <c r="B433" s="121" t="s">
        <v>2226</v>
      </c>
      <c r="C433" s="122" t="s">
        <v>1112</v>
      </c>
      <c r="D433" s="85">
        <v>2018</v>
      </c>
      <c r="E433" s="86" t="s">
        <v>1702</v>
      </c>
      <c r="F433" s="86" t="s">
        <v>353</v>
      </c>
      <c r="G433" s="91" t="s">
        <v>2227</v>
      </c>
      <c r="H433" s="86"/>
      <c r="I433" s="86"/>
      <c r="J433" s="86"/>
      <c r="K433" s="86"/>
      <c r="L433" s="86"/>
      <c r="M433" s="86"/>
      <c r="N433" s="86"/>
      <c r="O433" s="86"/>
      <c r="P433" s="86"/>
      <c r="Q433" s="86"/>
      <c r="R433" s="86"/>
      <c r="S433" s="86"/>
      <c r="T433" s="86"/>
      <c r="U433" s="86"/>
      <c r="V433" s="86"/>
      <c r="W433" s="86"/>
      <c r="X433" s="86"/>
      <c r="Y433" s="86"/>
      <c r="Z433" s="86"/>
      <c r="AA433" s="86"/>
      <c r="AB433" s="86"/>
      <c r="AC433" s="86"/>
      <c r="AD433" s="86"/>
      <c r="AE433" s="86"/>
    </row>
    <row r="434" spans="1:31" ht="15.75" customHeight="1">
      <c r="A434" s="3" t="s">
        <v>1765</v>
      </c>
      <c r="B434" s="121" t="s">
        <v>1119</v>
      </c>
      <c r="C434" s="122" t="s">
        <v>1120</v>
      </c>
      <c r="D434" s="85">
        <v>2018</v>
      </c>
      <c r="E434" s="86" t="s">
        <v>1702</v>
      </c>
      <c r="F434" s="86" t="s">
        <v>353</v>
      </c>
      <c r="G434" s="91" t="s">
        <v>2228</v>
      </c>
      <c r="H434" s="86"/>
      <c r="I434" s="86"/>
      <c r="J434" s="86"/>
      <c r="K434" s="86"/>
      <c r="L434" s="86"/>
      <c r="M434" s="86"/>
      <c r="N434" s="86"/>
      <c r="O434" s="86"/>
      <c r="P434" s="86"/>
      <c r="Q434" s="86"/>
      <c r="R434" s="86"/>
      <c r="S434" s="86"/>
      <c r="T434" s="86"/>
      <c r="U434" s="86"/>
      <c r="V434" s="86"/>
      <c r="W434" s="86"/>
      <c r="X434" s="86"/>
      <c r="Y434" s="86"/>
      <c r="Z434" s="86"/>
      <c r="AA434" s="86"/>
      <c r="AB434" s="86"/>
      <c r="AC434" s="86"/>
      <c r="AD434" s="86"/>
      <c r="AE434" s="86"/>
    </row>
    <row r="435" spans="1:31" ht="15.75" customHeight="1">
      <c r="A435" s="3" t="s">
        <v>1765</v>
      </c>
      <c r="B435" s="121" t="s">
        <v>2229</v>
      </c>
      <c r="C435" s="122" t="s">
        <v>992</v>
      </c>
      <c r="D435" s="85">
        <v>2018</v>
      </c>
      <c r="E435" s="86" t="s">
        <v>1702</v>
      </c>
      <c r="F435" s="86" t="s">
        <v>353</v>
      </c>
      <c r="G435" s="91" t="s">
        <v>2230</v>
      </c>
      <c r="H435" s="86"/>
      <c r="I435" s="86"/>
      <c r="J435" s="86"/>
      <c r="K435" s="86"/>
      <c r="L435" s="86"/>
      <c r="M435" s="86"/>
      <c r="N435" s="86"/>
      <c r="O435" s="86"/>
      <c r="P435" s="86"/>
      <c r="Q435" s="86"/>
      <c r="R435" s="86"/>
      <c r="S435" s="86"/>
      <c r="T435" s="86"/>
      <c r="U435" s="86"/>
      <c r="V435" s="86"/>
      <c r="W435" s="86"/>
      <c r="X435" s="86"/>
      <c r="Y435" s="86"/>
      <c r="Z435" s="86"/>
      <c r="AA435" s="86"/>
      <c r="AB435" s="86"/>
      <c r="AC435" s="86"/>
      <c r="AD435" s="86"/>
      <c r="AE435" s="86"/>
    </row>
    <row r="436" spans="1:31" ht="15.75" customHeight="1">
      <c r="A436" s="3" t="s">
        <v>1765</v>
      </c>
      <c r="B436" s="109" t="s">
        <v>1072</v>
      </c>
      <c r="C436" s="13" t="s">
        <v>366</v>
      </c>
      <c r="D436" s="85">
        <v>2018</v>
      </c>
      <c r="E436" s="86" t="s">
        <v>1702</v>
      </c>
      <c r="F436" s="86" t="s">
        <v>374</v>
      </c>
      <c r="G436" s="112" t="s">
        <v>2231</v>
      </c>
      <c r="H436" s="86"/>
      <c r="I436" s="86"/>
      <c r="J436" s="86"/>
      <c r="K436" s="86"/>
      <c r="L436" s="86"/>
      <c r="M436" s="86"/>
      <c r="N436" s="86"/>
      <c r="O436" s="86"/>
      <c r="P436" s="86"/>
      <c r="Q436" s="86"/>
      <c r="R436" s="86"/>
      <c r="S436" s="86"/>
      <c r="T436" s="86"/>
      <c r="U436" s="86"/>
      <c r="V436" s="86"/>
      <c r="W436" s="86"/>
      <c r="X436" s="86"/>
      <c r="Y436" s="86"/>
      <c r="Z436" s="86"/>
      <c r="AA436" s="86"/>
      <c r="AB436" s="86"/>
      <c r="AC436" s="86"/>
      <c r="AD436" s="86"/>
      <c r="AE436" s="86"/>
    </row>
    <row r="437" spans="1:31" ht="15.75" customHeight="1">
      <c r="A437" s="3" t="s">
        <v>1765</v>
      </c>
      <c r="B437" s="3" t="s">
        <v>78</v>
      </c>
      <c r="C437" s="13" t="s">
        <v>79</v>
      </c>
      <c r="D437" s="96">
        <v>2018</v>
      </c>
      <c r="E437" s="91" t="s">
        <v>1702</v>
      </c>
      <c r="F437" s="91" t="s">
        <v>1708</v>
      </c>
      <c r="G437" s="91" t="s">
        <v>2232</v>
      </c>
      <c r="H437" s="86"/>
      <c r="I437" s="86"/>
      <c r="J437" s="86"/>
      <c r="K437" s="86"/>
      <c r="L437" s="86"/>
      <c r="M437" s="86"/>
      <c r="N437" s="86"/>
      <c r="O437" s="86"/>
      <c r="P437" s="86"/>
      <c r="Q437" s="86"/>
      <c r="R437" s="86"/>
      <c r="S437" s="86"/>
      <c r="T437" s="86"/>
      <c r="U437" s="86"/>
      <c r="V437" s="86"/>
      <c r="W437" s="86"/>
      <c r="X437" s="86"/>
      <c r="Y437" s="86"/>
      <c r="Z437" s="86"/>
      <c r="AA437" s="86"/>
      <c r="AB437" s="86"/>
      <c r="AC437" s="86"/>
      <c r="AD437" s="86"/>
      <c r="AE437" s="86"/>
    </row>
    <row r="438" spans="1:31" ht="15.75" customHeight="1">
      <c r="A438" s="3" t="s">
        <v>1765</v>
      </c>
      <c r="B438" s="3" t="s">
        <v>409</v>
      </c>
      <c r="C438" s="13" t="s">
        <v>410</v>
      </c>
      <c r="D438" s="96">
        <v>2018</v>
      </c>
      <c r="E438" s="91" t="s">
        <v>1702</v>
      </c>
      <c r="F438" s="91" t="s">
        <v>1841</v>
      </c>
      <c r="G438" s="91" t="s">
        <v>2233</v>
      </c>
      <c r="H438" s="86"/>
      <c r="I438" s="86"/>
      <c r="J438" s="86"/>
      <c r="K438" s="86"/>
      <c r="L438" s="86"/>
      <c r="M438" s="86"/>
      <c r="N438" s="86"/>
      <c r="O438" s="86"/>
      <c r="P438" s="86"/>
      <c r="Q438" s="86"/>
      <c r="R438" s="86"/>
      <c r="S438" s="86"/>
      <c r="T438" s="86"/>
      <c r="U438" s="86"/>
      <c r="V438" s="86"/>
      <c r="W438" s="86"/>
      <c r="X438" s="86"/>
      <c r="Y438" s="86"/>
      <c r="Z438" s="86"/>
      <c r="AA438" s="86"/>
      <c r="AB438" s="86"/>
      <c r="AC438" s="86"/>
      <c r="AD438" s="86"/>
      <c r="AE438" s="86"/>
    </row>
    <row r="439" spans="1:31" ht="15.75" customHeight="1">
      <c r="A439" s="3" t="s">
        <v>1765</v>
      </c>
      <c r="B439" s="49" t="s">
        <v>1024</v>
      </c>
      <c r="C439" s="13" t="s">
        <v>1025</v>
      </c>
      <c r="D439" s="85">
        <v>2018</v>
      </c>
      <c r="E439" s="86" t="s">
        <v>1882</v>
      </c>
      <c r="F439" s="86" t="s">
        <v>629</v>
      </c>
      <c r="G439" s="91" t="s">
        <v>2234</v>
      </c>
      <c r="H439" s="86"/>
      <c r="I439" s="86"/>
      <c r="J439" s="86"/>
      <c r="K439" s="86"/>
      <c r="L439" s="86"/>
      <c r="M439" s="86"/>
      <c r="N439" s="86"/>
      <c r="O439" s="86"/>
      <c r="P439" s="86"/>
      <c r="Q439" s="86"/>
      <c r="R439" s="86"/>
      <c r="S439" s="86"/>
      <c r="T439" s="86"/>
      <c r="U439" s="86"/>
      <c r="V439" s="86"/>
      <c r="W439" s="86"/>
      <c r="X439" s="86"/>
      <c r="Y439" s="86"/>
      <c r="Z439" s="86"/>
      <c r="AA439" s="86"/>
      <c r="AB439" s="86"/>
      <c r="AC439" s="86"/>
      <c r="AD439" s="86"/>
      <c r="AE439" s="86"/>
    </row>
    <row r="440" spans="1:31" ht="15.75" customHeight="1">
      <c r="A440" s="3" t="s">
        <v>1765</v>
      </c>
      <c r="B440" s="86" t="s">
        <v>909</v>
      </c>
      <c r="C440" s="13" t="s">
        <v>910</v>
      </c>
      <c r="D440" s="85">
        <v>2018</v>
      </c>
      <c r="E440" s="86" t="s">
        <v>1704</v>
      </c>
      <c r="F440" s="86" t="s">
        <v>1763</v>
      </c>
      <c r="G440" s="86" t="s">
        <v>2235</v>
      </c>
      <c r="H440" s="86"/>
      <c r="I440" s="86"/>
      <c r="J440" s="86"/>
      <c r="K440" s="86"/>
      <c r="L440" s="86"/>
      <c r="M440" s="86"/>
      <c r="N440" s="86"/>
      <c r="O440" s="86"/>
      <c r="P440" s="86"/>
      <c r="Q440" s="86"/>
      <c r="R440" s="86"/>
      <c r="S440" s="86"/>
      <c r="T440" s="86"/>
      <c r="U440" s="86"/>
      <c r="V440" s="86"/>
      <c r="W440" s="86"/>
      <c r="X440" s="86"/>
      <c r="Y440" s="86"/>
      <c r="Z440" s="86"/>
      <c r="AA440" s="86"/>
      <c r="AB440" s="86"/>
      <c r="AC440" s="86"/>
      <c r="AD440" s="86"/>
      <c r="AE440" s="86"/>
    </row>
    <row r="441" spans="1:31" ht="15.75" customHeight="1">
      <c r="A441" s="3" t="s">
        <v>1765</v>
      </c>
      <c r="B441" s="109" t="s">
        <v>505</v>
      </c>
      <c r="C441" s="13" t="s">
        <v>506</v>
      </c>
      <c r="D441" s="96">
        <v>2018</v>
      </c>
      <c r="E441" s="91" t="s">
        <v>1702</v>
      </c>
      <c r="F441" s="91" t="s">
        <v>488</v>
      </c>
      <c r="G441" s="91" t="s">
        <v>2236</v>
      </c>
      <c r="H441" s="86"/>
      <c r="I441" s="86"/>
      <c r="J441" s="86"/>
      <c r="K441" s="86"/>
      <c r="L441" s="86"/>
      <c r="M441" s="86"/>
      <c r="N441" s="86"/>
      <c r="O441" s="86"/>
      <c r="P441" s="86"/>
      <c r="Q441" s="86"/>
      <c r="R441" s="86"/>
      <c r="S441" s="86"/>
      <c r="T441" s="86"/>
      <c r="U441" s="86"/>
      <c r="V441" s="86"/>
      <c r="W441" s="86"/>
      <c r="X441" s="86"/>
      <c r="Y441" s="86"/>
      <c r="Z441" s="86"/>
      <c r="AA441" s="86"/>
      <c r="AB441" s="86"/>
      <c r="AC441" s="86"/>
      <c r="AD441" s="86"/>
      <c r="AE441" s="86"/>
    </row>
    <row r="442" spans="1:31" ht="15.75" customHeight="1">
      <c r="A442" s="3" t="s">
        <v>1765</v>
      </c>
      <c r="B442" s="109" t="s">
        <v>281</v>
      </c>
      <c r="C442" s="13" t="s">
        <v>496</v>
      </c>
      <c r="D442" s="96">
        <v>2018</v>
      </c>
      <c r="E442" s="91" t="s">
        <v>1702</v>
      </c>
      <c r="F442" s="91" t="s">
        <v>488</v>
      </c>
      <c r="G442" s="91" t="s">
        <v>2237</v>
      </c>
      <c r="H442" s="86"/>
      <c r="I442" s="86"/>
      <c r="J442" s="86"/>
      <c r="K442" s="86"/>
      <c r="L442" s="86"/>
      <c r="M442" s="86"/>
      <c r="N442" s="86"/>
      <c r="O442" s="86"/>
      <c r="P442" s="86"/>
      <c r="Q442" s="86"/>
      <c r="R442" s="86"/>
      <c r="S442" s="86"/>
      <c r="T442" s="86"/>
      <c r="U442" s="86"/>
      <c r="V442" s="86"/>
      <c r="W442" s="86"/>
      <c r="X442" s="86"/>
      <c r="Y442" s="86"/>
      <c r="Z442" s="86"/>
      <c r="AA442" s="86"/>
      <c r="AB442" s="86"/>
      <c r="AC442" s="86"/>
      <c r="AD442" s="86"/>
      <c r="AE442" s="86"/>
    </row>
    <row r="443" spans="1:31" ht="15.75" customHeight="1">
      <c r="A443" s="3" t="s">
        <v>1765</v>
      </c>
      <c r="B443" s="89" t="s">
        <v>523</v>
      </c>
      <c r="C443" s="13" t="s">
        <v>524</v>
      </c>
      <c r="D443" s="110">
        <v>2018</v>
      </c>
      <c r="E443" s="91" t="s">
        <v>2063</v>
      </c>
      <c r="F443" s="89" t="s">
        <v>1870</v>
      </c>
      <c r="G443" s="112" t="s">
        <v>2238</v>
      </c>
      <c r="H443" s="89"/>
      <c r="I443" s="89"/>
      <c r="J443" s="89"/>
      <c r="K443" s="89"/>
      <c r="L443" s="89"/>
      <c r="M443" s="89"/>
      <c r="N443" s="89"/>
      <c r="O443" s="89"/>
      <c r="P443" s="89"/>
      <c r="Q443" s="89"/>
      <c r="R443" s="89"/>
      <c r="S443" s="89"/>
      <c r="T443" s="89"/>
      <c r="U443" s="89"/>
      <c r="V443" s="89"/>
      <c r="W443" s="89"/>
      <c r="X443" s="89"/>
      <c r="Y443" s="89"/>
      <c r="Z443" s="89"/>
      <c r="AA443" s="89"/>
      <c r="AB443" s="89"/>
      <c r="AC443" s="89"/>
      <c r="AD443" s="89"/>
      <c r="AE443" s="89"/>
    </row>
    <row r="444" spans="1:31" ht="15.75" customHeight="1">
      <c r="A444" s="3" t="s">
        <v>1765</v>
      </c>
      <c r="B444" s="109" t="s">
        <v>1675</v>
      </c>
      <c r="C444" s="13" t="s">
        <v>1676</v>
      </c>
      <c r="D444" s="96">
        <v>2018</v>
      </c>
      <c r="E444" s="91" t="s">
        <v>2063</v>
      </c>
      <c r="F444" s="91" t="s">
        <v>1870</v>
      </c>
      <c r="G444" s="91" t="s">
        <v>2239</v>
      </c>
      <c r="H444" s="86"/>
      <c r="I444" s="86"/>
      <c r="J444" s="86"/>
      <c r="K444" s="86"/>
      <c r="L444" s="86"/>
      <c r="M444" s="86"/>
      <c r="N444" s="86"/>
      <c r="O444" s="86"/>
      <c r="P444" s="86"/>
      <c r="Q444" s="86"/>
      <c r="R444" s="86"/>
      <c r="S444" s="86"/>
      <c r="T444" s="86"/>
      <c r="U444" s="86"/>
      <c r="V444" s="86"/>
      <c r="W444" s="86"/>
      <c r="X444" s="86"/>
      <c r="Y444" s="86"/>
      <c r="Z444" s="86"/>
      <c r="AA444" s="86"/>
      <c r="AB444" s="86"/>
      <c r="AC444" s="86"/>
      <c r="AD444" s="86"/>
      <c r="AE444" s="86"/>
    </row>
    <row r="445" spans="1:31" ht="15.75" customHeight="1">
      <c r="A445" s="3" t="s">
        <v>1765</v>
      </c>
      <c r="B445" s="109" t="s">
        <v>570</v>
      </c>
      <c r="C445" s="13" t="s">
        <v>571</v>
      </c>
      <c r="D445" s="96">
        <v>2018</v>
      </c>
      <c r="E445" s="91" t="s">
        <v>1882</v>
      </c>
      <c r="F445" s="91" t="s">
        <v>566</v>
      </c>
      <c r="G445" s="91" t="s">
        <v>2240</v>
      </c>
      <c r="H445" s="86"/>
      <c r="I445" s="86"/>
      <c r="J445" s="86"/>
      <c r="K445" s="86"/>
      <c r="L445" s="86"/>
      <c r="M445" s="86"/>
      <c r="N445" s="86"/>
      <c r="O445" s="86"/>
      <c r="P445" s="86"/>
      <c r="Q445" s="86"/>
      <c r="R445" s="86"/>
      <c r="S445" s="86"/>
      <c r="T445" s="86"/>
      <c r="U445" s="86"/>
      <c r="V445" s="86"/>
      <c r="W445" s="86"/>
      <c r="X445" s="86"/>
      <c r="Y445" s="86"/>
      <c r="Z445" s="86"/>
      <c r="AA445" s="86"/>
      <c r="AB445" s="86"/>
      <c r="AC445" s="86"/>
      <c r="AD445" s="86"/>
      <c r="AE445" s="86"/>
    </row>
    <row r="446" spans="1:31" ht="15.75" customHeight="1">
      <c r="A446" s="3" t="s">
        <v>1765</v>
      </c>
      <c r="B446" s="109" t="s">
        <v>574</v>
      </c>
      <c r="C446" s="13" t="s">
        <v>575</v>
      </c>
      <c r="D446" s="96">
        <v>2018</v>
      </c>
      <c r="E446" s="91" t="s">
        <v>1702</v>
      </c>
      <c r="F446" s="91" t="s">
        <v>566</v>
      </c>
      <c r="G446" s="91" t="s">
        <v>2241</v>
      </c>
      <c r="H446" s="86"/>
      <c r="I446" s="86"/>
      <c r="J446" s="86"/>
      <c r="K446" s="86"/>
      <c r="L446" s="86"/>
      <c r="M446" s="86"/>
      <c r="N446" s="86"/>
      <c r="O446" s="86"/>
      <c r="P446" s="86"/>
      <c r="Q446" s="86"/>
      <c r="R446" s="86"/>
      <c r="S446" s="86"/>
      <c r="T446" s="86"/>
      <c r="U446" s="86"/>
      <c r="V446" s="86"/>
      <c r="W446" s="86"/>
      <c r="X446" s="86"/>
      <c r="Y446" s="86"/>
      <c r="Z446" s="86"/>
      <c r="AA446" s="86"/>
      <c r="AB446" s="86"/>
      <c r="AC446" s="86"/>
      <c r="AD446" s="86"/>
      <c r="AE446" s="86"/>
    </row>
    <row r="447" spans="1:31" ht="15.75" customHeight="1">
      <c r="A447" s="3" t="s">
        <v>1765</v>
      </c>
      <c r="B447" s="86" t="s">
        <v>2242</v>
      </c>
      <c r="C447" s="13" t="s">
        <v>184</v>
      </c>
      <c r="D447" s="85">
        <v>2019</v>
      </c>
      <c r="E447" s="86" t="s">
        <v>1702</v>
      </c>
      <c r="F447" s="91" t="s">
        <v>179</v>
      </c>
      <c r="G447" s="89" t="s">
        <v>2243</v>
      </c>
      <c r="H447" s="86"/>
      <c r="I447" s="86"/>
      <c r="J447" s="86"/>
      <c r="K447" s="86"/>
      <c r="L447" s="86"/>
      <c r="M447" s="86"/>
      <c r="N447" s="86"/>
      <c r="O447" s="86"/>
      <c r="P447" s="86"/>
      <c r="Q447" s="86"/>
      <c r="R447" s="86"/>
      <c r="S447" s="86"/>
      <c r="T447" s="86"/>
      <c r="U447" s="86"/>
      <c r="V447" s="86"/>
      <c r="W447" s="86"/>
      <c r="X447" s="86"/>
      <c r="Y447" s="86"/>
      <c r="Z447" s="86"/>
      <c r="AA447" s="86"/>
      <c r="AB447" s="86"/>
      <c r="AC447" s="86"/>
      <c r="AD447" s="86"/>
      <c r="AE447" s="86"/>
    </row>
    <row r="448" spans="1:31" ht="15.75" customHeight="1">
      <c r="A448" s="3" t="s">
        <v>1765</v>
      </c>
      <c r="B448" s="3" t="s">
        <v>255</v>
      </c>
      <c r="C448" s="13" t="s">
        <v>256</v>
      </c>
      <c r="D448" s="96">
        <v>2019</v>
      </c>
      <c r="E448" s="91" t="s">
        <v>1702</v>
      </c>
      <c r="F448" s="91" t="s">
        <v>52</v>
      </c>
      <c r="G448" s="91" t="s">
        <v>2244</v>
      </c>
      <c r="H448" s="86"/>
      <c r="I448" s="86"/>
      <c r="J448" s="86"/>
      <c r="K448" s="86"/>
      <c r="L448" s="86"/>
      <c r="M448" s="86"/>
      <c r="N448" s="86"/>
      <c r="O448" s="86"/>
      <c r="P448" s="86"/>
      <c r="Q448" s="86"/>
      <c r="R448" s="86"/>
      <c r="S448" s="86"/>
      <c r="T448" s="86"/>
      <c r="U448" s="86"/>
      <c r="V448" s="86"/>
      <c r="W448" s="86"/>
      <c r="X448" s="86"/>
      <c r="Y448" s="86"/>
      <c r="Z448" s="86"/>
      <c r="AA448" s="86"/>
      <c r="AB448" s="86"/>
      <c r="AC448" s="86"/>
      <c r="AD448" s="86"/>
      <c r="AE448" s="86"/>
    </row>
    <row r="449" spans="1:31" ht="15.75" customHeight="1">
      <c r="A449" s="3" t="s">
        <v>1765</v>
      </c>
      <c r="B449" s="89" t="s">
        <v>2245</v>
      </c>
      <c r="C449" s="13" t="s">
        <v>431</v>
      </c>
      <c r="D449" s="110">
        <v>2019</v>
      </c>
      <c r="E449" s="89" t="s">
        <v>1704</v>
      </c>
      <c r="F449" s="91" t="s">
        <v>315</v>
      </c>
      <c r="G449" s="112" t="s">
        <v>2246</v>
      </c>
      <c r="H449" s="89"/>
      <c r="I449" s="89"/>
      <c r="J449" s="89"/>
      <c r="K449" s="89"/>
      <c r="L449" s="89"/>
      <c r="M449" s="89"/>
      <c r="N449" s="89"/>
      <c r="O449" s="89"/>
      <c r="P449" s="89"/>
      <c r="Q449" s="89"/>
      <c r="R449" s="89"/>
      <c r="S449" s="89"/>
      <c r="T449" s="89"/>
      <c r="U449" s="89"/>
      <c r="V449" s="89"/>
      <c r="W449" s="89"/>
      <c r="X449" s="89"/>
      <c r="Y449" s="89"/>
      <c r="Z449" s="89"/>
      <c r="AA449" s="89"/>
      <c r="AB449" s="89"/>
      <c r="AC449" s="89"/>
      <c r="AD449" s="89"/>
      <c r="AE449" s="89"/>
    </row>
    <row r="450" spans="1:31" ht="15.75" customHeight="1">
      <c r="A450" s="3" t="s">
        <v>1765</v>
      </c>
      <c r="B450" s="86" t="s">
        <v>1745</v>
      </c>
      <c r="C450" s="13" t="s">
        <v>2247</v>
      </c>
      <c r="D450" s="96">
        <v>2019</v>
      </c>
      <c r="E450" s="91" t="s">
        <v>1702</v>
      </c>
      <c r="F450" s="91" t="s">
        <v>315</v>
      </c>
      <c r="G450" s="91" t="s">
        <v>2248</v>
      </c>
      <c r="H450" s="86"/>
      <c r="I450" s="86"/>
      <c r="J450" s="86"/>
      <c r="K450" s="86"/>
      <c r="L450" s="86"/>
      <c r="M450" s="86"/>
      <c r="N450" s="86"/>
      <c r="O450" s="86"/>
      <c r="P450" s="86"/>
      <c r="Q450" s="86"/>
      <c r="R450" s="86"/>
      <c r="S450" s="86"/>
      <c r="T450" s="86"/>
      <c r="U450" s="86"/>
      <c r="V450" s="86"/>
      <c r="W450" s="86"/>
      <c r="X450" s="86"/>
      <c r="Y450" s="86"/>
      <c r="Z450" s="86"/>
      <c r="AA450" s="86"/>
      <c r="AB450" s="86"/>
      <c r="AC450" s="86"/>
      <c r="AD450" s="86"/>
      <c r="AE450" s="86"/>
    </row>
    <row r="451" spans="1:31" ht="15.75" customHeight="1">
      <c r="A451" s="3" t="s">
        <v>1765</v>
      </c>
      <c r="B451" s="86" t="s">
        <v>279</v>
      </c>
      <c r="C451" s="13" t="s">
        <v>280</v>
      </c>
      <c r="D451" s="96">
        <v>2019</v>
      </c>
      <c r="E451" s="91" t="s">
        <v>1707</v>
      </c>
      <c r="F451" s="91" t="s">
        <v>1850</v>
      </c>
      <c r="G451" s="91" t="s">
        <v>2249</v>
      </c>
      <c r="H451" s="86"/>
      <c r="I451" s="86"/>
      <c r="J451" s="86"/>
      <c r="K451" s="86"/>
      <c r="L451" s="86"/>
      <c r="M451" s="86"/>
      <c r="N451" s="86"/>
      <c r="O451" s="86"/>
      <c r="P451" s="86"/>
      <c r="Q451" s="86"/>
      <c r="R451" s="86"/>
      <c r="S451" s="86"/>
      <c r="T451" s="86"/>
      <c r="U451" s="86"/>
      <c r="V451" s="86"/>
      <c r="W451" s="86"/>
      <c r="X451" s="86"/>
      <c r="Y451" s="86"/>
      <c r="Z451" s="86"/>
      <c r="AA451" s="86"/>
      <c r="AB451" s="86"/>
      <c r="AC451" s="86"/>
      <c r="AD451" s="86"/>
      <c r="AE451" s="86"/>
    </row>
    <row r="452" spans="1:31" ht="15.75" customHeight="1">
      <c r="A452" s="3" t="s">
        <v>1765</v>
      </c>
      <c r="B452" s="121" t="s">
        <v>1123</v>
      </c>
      <c r="C452" s="122" t="s">
        <v>1124</v>
      </c>
      <c r="D452" s="85">
        <v>2019</v>
      </c>
      <c r="E452" s="86" t="s">
        <v>1707</v>
      </c>
      <c r="F452" s="86" t="s">
        <v>353</v>
      </c>
      <c r="G452" s="91" t="s">
        <v>2250</v>
      </c>
      <c r="H452" s="86"/>
      <c r="I452" s="86"/>
      <c r="J452" s="86"/>
      <c r="K452" s="86"/>
      <c r="L452" s="86"/>
      <c r="M452" s="86"/>
      <c r="N452" s="86"/>
      <c r="O452" s="86"/>
      <c r="P452" s="86"/>
      <c r="Q452" s="86"/>
      <c r="R452" s="86"/>
      <c r="S452" s="86"/>
      <c r="T452" s="86"/>
      <c r="U452" s="86"/>
      <c r="V452" s="86"/>
      <c r="W452" s="86"/>
      <c r="X452" s="86"/>
      <c r="Y452" s="86"/>
      <c r="Z452" s="86"/>
      <c r="AA452" s="86"/>
      <c r="AB452" s="86"/>
      <c r="AC452" s="86"/>
      <c r="AD452" s="86"/>
      <c r="AE452" s="86"/>
    </row>
    <row r="453" spans="1:31" ht="15.75" customHeight="1">
      <c r="A453" s="3" t="s">
        <v>1765</v>
      </c>
      <c r="B453" s="121" t="s">
        <v>1127</v>
      </c>
      <c r="C453" s="122" t="s">
        <v>1128</v>
      </c>
      <c r="D453" s="85">
        <v>2019</v>
      </c>
      <c r="E453" s="86" t="s">
        <v>1702</v>
      </c>
      <c r="F453" s="86" t="s">
        <v>353</v>
      </c>
      <c r="G453" s="91" t="s">
        <v>2251</v>
      </c>
      <c r="H453" s="86"/>
      <c r="I453" s="86"/>
      <c r="J453" s="86"/>
      <c r="K453" s="86"/>
      <c r="L453" s="86"/>
      <c r="M453" s="86"/>
      <c r="N453" s="86"/>
      <c r="O453" s="86"/>
      <c r="P453" s="86"/>
      <c r="Q453" s="86"/>
      <c r="R453" s="86"/>
      <c r="S453" s="86"/>
      <c r="T453" s="86"/>
      <c r="U453" s="86"/>
      <c r="V453" s="86"/>
      <c r="W453" s="86"/>
      <c r="X453" s="86"/>
      <c r="Y453" s="86"/>
      <c r="Z453" s="86"/>
      <c r="AA453" s="86"/>
      <c r="AB453" s="86"/>
      <c r="AC453" s="86"/>
      <c r="AD453" s="86"/>
      <c r="AE453" s="86"/>
    </row>
    <row r="454" spans="1:31" ht="15.75" customHeight="1">
      <c r="A454" s="3" t="s">
        <v>1765</v>
      </c>
      <c r="B454" s="109" t="s">
        <v>1132</v>
      </c>
      <c r="C454" s="13" t="s">
        <v>1133</v>
      </c>
      <c r="D454" s="85">
        <v>2019</v>
      </c>
      <c r="E454" s="86" t="s">
        <v>1707</v>
      </c>
      <c r="F454" s="86" t="s">
        <v>374</v>
      </c>
      <c r="G454" s="112" t="s">
        <v>2252</v>
      </c>
      <c r="H454" s="86"/>
      <c r="I454" s="86"/>
      <c r="J454" s="86"/>
      <c r="K454" s="86"/>
      <c r="L454" s="86"/>
      <c r="M454" s="86"/>
      <c r="N454" s="86"/>
      <c r="O454" s="86"/>
      <c r="P454" s="86"/>
      <c r="Q454" s="86"/>
      <c r="R454" s="86"/>
      <c r="S454" s="86"/>
      <c r="T454" s="86"/>
      <c r="U454" s="86"/>
      <c r="V454" s="86"/>
      <c r="W454" s="86"/>
      <c r="X454" s="86"/>
      <c r="Y454" s="86"/>
      <c r="Z454" s="86"/>
      <c r="AA454" s="86"/>
      <c r="AB454" s="86"/>
      <c r="AC454" s="86"/>
      <c r="AD454" s="86"/>
      <c r="AE454" s="86"/>
    </row>
    <row r="455" spans="1:31" ht="15.75" customHeight="1">
      <c r="A455" s="3" t="s">
        <v>1765</v>
      </c>
      <c r="B455" s="86" t="s">
        <v>2253</v>
      </c>
      <c r="C455" s="13" t="s">
        <v>2254</v>
      </c>
      <c r="D455" s="85">
        <v>2019</v>
      </c>
      <c r="E455" s="86" t="s">
        <v>1707</v>
      </c>
      <c r="F455" s="86" t="s">
        <v>374</v>
      </c>
      <c r="G455" s="112" t="s">
        <v>2255</v>
      </c>
      <c r="H455" s="86"/>
      <c r="I455" s="86"/>
      <c r="J455" s="86"/>
      <c r="K455" s="86"/>
      <c r="L455" s="86"/>
      <c r="M455" s="86"/>
      <c r="N455" s="86"/>
      <c r="O455" s="86"/>
      <c r="P455" s="86"/>
      <c r="Q455" s="86"/>
      <c r="R455" s="86"/>
      <c r="S455" s="86"/>
      <c r="T455" s="86"/>
      <c r="U455" s="86"/>
      <c r="V455" s="86"/>
      <c r="W455" s="86"/>
      <c r="X455" s="86"/>
      <c r="Y455" s="86"/>
      <c r="Z455" s="86"/>
      <c r="AA455" s="86"/>
      <c r="AB455" s="86"/>
      <c r="AC455" s="86"/>
      <c r="AD455" s="86"/>
      <c r="AE455" s="86"/>
    </row>
    <row r="456" spans="1:31" ht="15.75" customHeight="1">
      <c r="A456" s="3" t="s">
        <v>1765</v>
      </c>
      <c r="B456" s="109" t="s">
        <v>2256</v>
      </c>
      <c r="C456" s="13" t="s">
        <v>1005</v>
      </c>
      <c r="D456" s="85">
        <v>2019</v>
      </c>
      <c r="E456" s="86" t="s">
        <v>1704</v>
      </c>
      <c r="F456" s="86" t="s">
        <v>374</v>
      </c>
      <c r="G456" s="112" t="s">
        <v>2257</v>
      </c>
      <c r="H456" s="86"/>
      <c r="I456" s="86"/>
      <c r="J456" s="86"/>
      <c r="K456" s="86"/>
      <c r="L456" s="86"/>
      <c r="M456" s="86"/>
      <c r="N456" s="86"/>
      <c r="O456" s="86"/>
      <c r="P456" s="86"/>
      <c r="Q456" s="86"/>
      <c r="R456" s="86"/>
      <c r="S456" s="86"/>
      <c r="T456" s="86"/>
      <c r="U456" s="86"/>
      <c r="V456" s="86"/>
      <c r="W456" s="86"/>
      <c r="X456" s="86"/>
      <c r="Y456" s="86"/>
      <c r="Z456" s="86"/>
      <c r="AA456" s="86"/>
      <c r="AB456" s="86"/>
      <c r="AC456" s="86"/>
      <c r="AD456" s="86"/>
      <c r="AE456" s="86"/>
    </row>
    <row r="457" spans="1:31" ht="15.75" customHeight="1">
      <c r="A457" s="3" t="s">
        <v>1765</v>
      </c>
      <c r="B457" s="109" t="s">
        <v>1016</v>
      </c>
      <c r="C457" s="13" t="s">
        <v>1017</v>
      </c>
      <c r="D457" s="85">
        <v>2019</v>
      </c>
      <c r="E457" s="91" t="s">
        <v>2063</v>
      </c>
      <c r="F457" s="86" t="s">
        <v>374</v>
      </c>
      <c r="G457" s="112" t="s">
        <v>2258</v>
      </c>
      <c r="H457" s="86"/>
      <c r="I457" s="86"/>
      <c r="J457" s="86"/>
      <c r="K457" s="86"/>
      <c r="L457" s="86"/>
      <c r="M457" s="86"/>
      <c r="N457" s="86"/>
      <c r="O457" s="86"/>
      <c r="P457" s="86"/>
      <c r="Q457" s="86"/>
      <c r="R457" s="86"/>
      <c r="S457" s="86"/>
      <c r="T457" s="86"/>
      <c r="U457" s="86"/>
      <c r="V457" s="86"/>
      <c r="W457" s="86"/>
      <c r="X457" s="86"/>
      <c r="Y457" s="86"/>
      <c r="Z457" s="86"/>
      <c r="AA457" s="86"/>
      <c r="AB457" s="86"/>
      <c r="AC457" s="86"/>
      <c r="AD457" s="86"/>
      <c r="AE457" s="86"/>
    </row>
    <row r="458" spans="1:31" ht="15.75" customHeight="1">
      <c r="A458" s="3" t="s">
        <v>1765</v>
      </c>
      <c r="B458" s="3" t="s">
        <v>413</v>
      </c>
      <c r="C458" s="13" t="s">
        <v>414</v>
      </c>
      <c r="D458" s="96">
        <v>2019</v>
      </c>
      <c r="E458" s="91" t="s">
        <v>1707</v>
      </c>
      <c r="F458" s="91" t="s">
        <v>1708</v>
      </c>
      <c r="G458" s="91" t="s">
        <v>2259</v>
      </c>
      <c r="H458" s="86"/>
      <c r="I458" s="86"/>
      <c r="J458" s="86"/>
      <c r="K458" s="86"/>
      <c r="L458" s="86"/>
      <c r="M458" s="86"/>
      <c r="N458" s="86"/>
      <c r="O458" s="86"/>
      <c r="P458" s="86"/>
      <c r="Q458" s="86"/>
      <c r="R458" s="86"/>
      <c r="S458" s="86"/>
      <c r="T458" s="86"/>
      <c r="U458" s="86"/>
      <c r="V458" s="86"/>
      <c r="W458" s="86"/>
      <c r="X458" s="86"/>
      <c r="Y458" s="86"/>
      <c r="Z458" s="86"/>
      <c r="AA458" s="86"/>
      <c r="AB458" s="86"/>
      <c r="AC458" s="86"/>
      <c r="AD458" s="86"/>
      <c r="AE458" s="86"/>
    </row>
    <row r="459" spans="1:31" ht="15.75" customHeight="1">
      <c r="A459" s="3" t="s">
        <v>1765</v>
      </c>
      <c r="B459" s="3" t="s">
        <v>385</v>
      </c>
      <c r="C459" s="13" t="s">
        <v>386</v>
      </c>
      <c r="D459" s="96">
        <v>2019</v>
      </c>
      <c r="E459" s="91" t="s">
        <v>1702</v>
      </c>
      <c r="F459" s="91" t="s">
        <v>1708</v>
      </c>
      <c r="G459" s="91" t="s">
        <v>2260</v>
      </c>
      <c r="H459" s="86"/>
      <c r="I459" s="86"/>
      <c r="J459" s="86"/>
      <c r="K459" s="86"/>
      <c r="L459" s="86"/>
      <c r="M459" s="86"/>
      <c r="N459" s="86"/>
      <c r="O459" s="86"/>
      <c r="P459" s="86"/>
      <c r="Q459" s="86"/>
      <c r="R459" s="86"/>
      <c r="S459" s="86"/>
      <c r="T459" s="86"/>
      <c r="U459" s="86"/>
      <c r="V459" s="86"/>
      <c r="W459" s="86"/>
      <c r="X459" s="86"/>
      <c r="Y459" s="86"/>
      <c r="Z459" s="86"/>
      <c r="AA459" s="86"/>
      <c r="AB459" s="86"/>
      <c r="AC459" s="86"/>
      <c r="AD459" s="86"/>
      <c r="AE459" s="86"/>
    </row>
    <row r="460" spans="1:31" ht="15.75" customHeight="1">
      <c r="A460" s="3" t="s">
        <v>1765</v>
      </c>
      <c r="B460" s="89" t="s">
        <v>354</v>
      </c>
      <c r="C460" s="13" t="s">
        <v>355</v>
      </c>
      <c r="D460" s="110">
        <v>2019</v>
      </c>
      <c r="E460" s="89" t="s">
        <v>1702</v>
      </c>
      <c r="F460" s="89" t="s">
        <v>1708</v>
      </c>
      <c r="G460" s="112" t="s">
        <v>2261</v>
      </c>
      <c r="H460" s="89"/>
      <c r="I460" s="89"/>
      <c r="J460" s="89"/>
      <c r="K460" s="89"/>
      <c r="L460" s="89"/>
      <c r="M460" s="89"/>
      <c r="N460" s="89"/>
      <c r="O460" s="89"/>
      <c r="P460" s="89"/>
      <c r="Q460" s="89"/>
      <c r="R460" s="89"/>
      <c r="S460" s="89"/>
      <c r="T460" s="89"/>
      <c r="U460" s="89"/>
      <c r="V460" s="89"/>
      <c r="W460" s="89"/>
      <c r="X460" s="89"/>
      <c r="Y460" s="89"/>
      <c r="Z460" s="89"/>
      <c r="AA460" s="89"/>
      <c r="AB460" s="89"/>
      <c r="AC460" s="89"/>
      <c r="AD460" s="89"/>
      <c r="AE460" s="89"/>
    </row>
    <row r="461" spans="1:31" ht="15.75" customHeight="1">
      <c r="A461" s="3" t="s">
        <v>1765</v>
      </c>
      <c r="B461" s="11" t="s">
        <v>153</v>
      </c>
      <c r="C461" s="13" t="s">
        <v>2262</v>
      </c>
      <c r="D461" s="96">
        <v>2019</v>
      </c>
      <c r="E461" s="91" t="s">
        <v>1702</v>
      </c>
      <c r="F461" s="91" t="s">
        <v>1708</v>
      </c>
      <c r="G461" s="91" t="s">
        <v>2263</v>
      </c>
      <c r="H461" s="86"/>
      <c r="I461" s="86"/>
      <c r="J461" s="86"/>
      <c r="K461" s="86"/>
      <c r="L461" s="86"/>
      <c r="M461" s="86"/>
      <c r="N461" s="86"/>
      <c r="O461" s="86"/>
      <c r="P461" s="86"/>
      <c r="Q461" s="86"/>
      <c r="R461" s="86"/>
      <c r="S461" s="86"/>
      <c r="T461" s="86"/>
      <c r="U461" s="86"/>
      <c r="V461" s="86"/>
      <c r="W461" s="86"/>
      <c r="X461" s="86"/>
      <c r="Y461" s="86"/>
      <c r="Z461" s="86"/>
      <c r="AA461" s="86"/>
      <c r="AB461" s="86"/>
      <c r="AC461" s="86"/>
      <c r="AD461" s="86"/>
      <c r="AE461" s="86"/>
    </row>
    <row r="462" spans="1:31" ht="15.75" customHeight="1">
      <c r="A462" s="3" t="s">
        <v>1765</v>
      </c>
      <c r="B462" s="89" t="s">
        <v>2264</v>
      </c>
      <c r="C462" s="13" t="s">
        <v>2265</v>
      </c>
      <c r="D462" s="110">
        <v>2019</v>
      </c>
      <c r="E462" s="89" t="s">
        <v>1702</v>
      </c>
      <c r="F462" s="89" t="s">
        <v>629</v>
      </c>
      <c r="G462" s="112" t="s">
        <v>2266</v>
      </c>
      <c r="H462" s="89"/>
      <c r="I462" s="89"/>
      <c r="J462" s="89"/>
      <c r="K462" s="89"/>
      <c r="L462" s="89"/>
      <c r="M462" s="89"/>
      <c r="N462" s="89"/>
      <c r="O462" s="89"/>
      <c r="P462" s="89"/>
      <c r="Q462" s="89"/>
      <c r="R462" s="89"/>
      <c r="S462" s="89"/>
      <c r="T462" s="89"/>
      <c r="U462" s="89"/>
      <c r="V462" s="89"/>
      <c r="W462" s="89"/>
      <c r="X462" s="89"/>
      <c r="Y462" s="89"/>
      <c r="Z462" s="89"/>
      <c r="AA462" s="89"/>
      <c r="AB462" s="89"/>
      <c r="AC462" s="89"/>
      <c r="AD462" s="89"/>
      <c r="AE462" s="89"/>
    </row>
    <row r="463" spans="1:31" ht="15.75" customHeight="1">
      <c r="A463" s="3" t="s">
        <v>1765</v>
      </c>
      <c r="B463" s="86" t="s">
        <v>1383</v>
      </c>
      <c r="C463" s="13" t="s">
        <v>1384</v>
      </c>
      <c r="D463" s="85">
        <v>2019</v>
      </c>
      <c r="E463" s="86" t="s">
        <v>1702</v>
      </c>
      <c r="F463" s="86" t="s">
        <v>629</v>
      </c>
      <c r="G463" s="91" t="s">
        <v>2267</v>
      </c>
      <c r="H463" s="86"/>
      <c r="I463" s="86"/>
      <c r="J463" s="86"/>
      <c r="K463" s="86"/>
      <c r="L463" s="86"/>
      <c r="M463" s="86"/>
      <c r="N463" s="86"/>
      <c r="O463" s="86"/>
      <c r="P463" s="86"/>
      <c r="Q463" s="86"/>
      <c r="R463" s="86"/>
      <c r="S463" s="86"/>
      <c r="T463" s="86"/>
      <c r="U463" s="86"/>
      <c r="V463" s="86"/>
      <c r="W463" s="86"/>
      <c r="X463" s="86"/>
      <c r="Y463" s="86"/>
      <c r="Z463" s="86"/>
      <c r="AA463" s="86"/>
      <c r="AB463" s="86"/>
      <c r="AC463" s="86"/>
      <c r="AD463" s="86"/>
      <c r="AE463" s="86"/>
    </row>
    <row r="464" spans="1:31" ht="15.75" customHeight="1">
      <c r="A464" s="3" t="s">
        <v>1765</v>
      </c>
      <c r="B464" s="86" t="s">
        <v>2268</v>
      </c>
      <c r="C464" s="13" t="s">
        <v>1039</v>
      </c>
      <c r="D464" s="85">
        <v>2019</v>
      </c>
      <c r="E464" s="86" t="s">
        <v>1707</v>
      </c>
      <c r="F464" s="86" t="s">
        <v>629</v>
      </c>
      <c r="G464" s="91" t="s">
        <v>2269</v>
      </c>
      <c r="H464" s="86"/>
      <c r="I464" s="86"/>
      <c r="J464" s="86"/>
      <c r="K464" s="86"/>
      <c r="L464" s="86"/>
      <c r="M464" s="86"/>
      <c r="N464" s="86"/>
      <c r="O464" s="86"/>
      <c r="P464" s="86"/>
      <c r="Q464" s="86"/>
      <c r="R464" s="86"/>
      <c r="S464" s="86"/>
      <c r="T464" s="86"/>
      <c r="U464" s="86"/>
      <c r="V464" s="86"/>
      <c r="W464" s="86"/>
      <c r="X464" s="86"/>
      <c r="Y464" s="86"/>
      <c r="Z464" s="86"/>
      <c r="AA464" s="86"/>
      <c r="AB464" s="86"/>
      <c r="AC464" s="86"/>
      <c r="AD464" s="86"/>
      <c r="AE464" s="86"/>
    </row>
    <row r="465" spans="1:31" ht="15.75" customHeight="1">
      <c r="A465" s="3" t="s">
        <v>1765</v>
      </c>
      <c r="B465" s="118" t="s">
        <v>1142</v>
      </c>
      <c r="C465" s="13" t="s">
        <v>1143</v>
      </c>
      <c r="D465" s="110">
        <v>2019</v>
      </c>
      <c r="E465" s="89" t="s">
        <v>1702</v>
      </c>
      <c r="F465" s="89" t="s">
        <v>629</v>
      </c>
      <c r="G465" s="112" t="s">
        <v>2270</v>
      </c>
      <c r="H465" s="89"/>
      <c r="I465" s="89"/>
      <c r="J465" s="89"/>
      <c r="K465" s="89"/>
      <c r="L465" s="89"/>
      <c r="M465" s="89"/>
      <c r="N465" s="89"/>
      <c r="O465" s="89"/>
      <c r="P465" s="89"/>
      <c r="Q465" s="89"/>
      <c r="R465" s="89"/>
      <c r="S465" s="89"/>
      <c r="T465" s="89"/>
      <c r="U465" s="89"/>
      <c r="V465" s="89"/>
      <c r="W465" s="89"/>
      <c r="X465" s="89"/>
      <c r="Y465" s="89"/>
      <c r="Z465" s="89"/>
      <c r="AA465" s="89"/>
      <c r="AB465" s="89"/>
      <c r="AC465" s="89"/>
      <c r="AD465" s="89"/>
      <c r="AE465" s="89"/>
    </row>
    <row r="466" spans="1:31" ht="15.75" customHeight="1">
      <c r="A466" s="3" t="s">
        <v>1765</v>
      </c>
      <c r="B466" s="86" t="s">
        <v>2271</v>
      </c>
      <c r="C466" s="13" t="s">
        <v>1029</v>
      </c>
      <c r="D466" s="85">
        <v>2019</v>
      </c>
      <c r="E466" s="86" t="s">
        <v>1707</v>
      </c>
      <c r="F466" s="86" t="s">
        <v>629</v>
      </c>
      <c r="G466" s="91" t="s">
        <v>2272</v>
      </c>
      <c r="H466" s="86"/>
      <c r="I466" s="86"/>
      <c r="J466" s="86"/>
      <c r="K466" s="86"/>
      <c r="L466" s="86"/>
      <c r="M466" s="86"/>
      <c r="N466" s="86"/>
      <c r="O466" s="86"/>
      <c r="P466" s="86"/>
      <c r="Q466" s="86"/>
      <c r="R466" s="86"/>
      <c r="S466" s="86"/>
      <c r="T466" s="86"/>
      <c r="U466" s="86"/>
      <c r="V466" s="86"/>
      <c r="W466" s="86"/>
      <c r="X466" s="86"/>
      <c r="Y466" s="86"/>
      <c r="Z466" s="86"/>
      <c r="AA466" s="86"/>
      <c r="AB466" s="86"/>
      <c r="AC466" s="86"/>
      <c r="AD466" s="86"/>
      <c r="AE466" s="86"/>
    </row>
    <row r="467" spans="1:31" ht="15.75" customHeight="1">
      <c r="A467" s="3" t="s">
        <v>1765</v>
      </c>
      <c r="B467" s="3" t="s">
        <v>189</v>
      </c>
      <c r="C467" s="13" t="s">
        <v>190</v>
      </c>
      <c r="D467" s="85">
        <v>2019</v>
      </c>
      <c r="E467" s="86" t="s">
        <v>1704</v>
      </c>
      <c r="F467" s="86" t="s">
        <v>1763</v>
      </c>
      <c r="G467" s="91" t="s">
        <v>2273</v>
      </c>
      <c r="H467" s="86"/>
      <c r="I467" s="86"/>
      <c r="J467" s="86"/>
      <c r="K467" s="86"/>
      <c r="L467" s="86"/>
      <c r="M467" s="86"/>
      <c r="N467" s="86"/>
      <c r="O467" s="86"/>
      <c r="P467" s="86"/>
      <c r="Q467" s="86"/>
      <c r="R467" s="86"/>
      <c r="S467" s="86"/>
      <c r="T467" s="86"/>
      <c r="U467" s="86"/>
      <c r="V467" s="86"/>
      <c r="W467" s="86"/>
      <c r="X467" s="86"/>
      <c r="Y467" s="86"/>
      <c r="Z467" s="86"/>
      <c r="AA467" s="86"/>
      <c r="AB467" s="86"/>
      <c r="AC467" s="86"/>
      <c r="AD467" s="86"/>
      <c r="AE467" s="86"/>
    </row>
    <row r="468" spans="1:31" ht="15.75" customHeight="1">
      <c r="A468" s="3" t="s">
        <v>1765</v>
      </c>
      <c r="B468" s="3" t="s">
        <v>510</v>
      </c>
      <c r="C468" s="13" t="s">
        <v>511</v>
      </c>
      <c r="D468" s="96">
        <v>2019</v>
      </c>
      <c r="E468" s="91" t="s">
        <v>1702</v>
      </c>
      <c r="F468" s="91" t="s">
        <v>1870</v>
      </c>
      <c r="G468" s="91" t="s">
        <v>2274</v>
      </c>
      <c r="H468" s="86"/>
      <c r="I468" s="86"/>
      <c r="J468" s="86"/>
      <c r="K468" s="86"/>
      <c r="L468" s="86"/>
      <c r="M468" s="86"/>
      <c r="N468" s="86"/>
      <c r="O468" s="86"/>
      <c r="P468" s="86"/>
      <c r="Q468" s="86"/>
      <c r="R468" s="86"/>
      <c r="S468" s="86"/>
      <c r="T468" s="86"/>
      <c r="U468" s="86"/>
      <c r="V468" s="86"/>
      <c r="W468" s="86"/>
      <c r="X468" s="86"/>
      <c r="Y468" s="86"/>
      <c r="Z468" s="86"/>
      <c r="AA468" s="86"/>
      <c r="AB468" s="86"/>
      <c r="AC468" s="86"/>
      <c r="AD468" s="86"/>
      <c r="AE468" s="86"/>
    </row>
    <row r="469" spans="1:31" ht="15.75" customHeight="1">
      <c r="A469" s="3" t="s">
        <v>1765</v>
      </c>
      <c r="B469" s="3" t="s">
        <v>538</v>
      </c>
      <c r="C469" s="13" t="s">
        <v>539</v>
      </c>
      <c r="D469" s="96">
        <v>2019</v>
      </c>
      <c r="E469" s="91" t="s">
        <v>1702</v>
      </c>
      <c r="F469" s="91" t="s">
        <v>1870</v>
      </c>
      <c r="G469" s="91" t="s">
        <v>2275</v>
      </c>
      <c r="H469" s="86"/>
      <c r="I469" s="86"/>
      <c r="J469" s="86"/>
      <c r="K469" s="86"/>
      <c r="L469" s="86"/>
      <c r="M469" s="86"/>
      <c r="N469" s="86"/>
      <c r="O469" s="86"/>
      <c r="P469" s="86"/>
      <c r="Q469" s="86"/>
      <c r="R469" s="86"/>
      <c r="S469" s="86"/>
      <c r="T469" s="86"/>
      <c r="U469" s="86"/>
      <c r="V469" s="86"/>
      <c r="W469" s="86"/>
      <c r="X469" s="86"/>
      <c r="Y469" s="86"/>
      <c r="Z469" s="86"/>
      <c r="AA469" s="86"/>
      <c r="AB469" s="86"/>
      <c r="AC469" s="86"/>
      <c r="AD469" s="86"/>
      <c r="AE469" s="86"/>
    </row>
    <row r="470" spans="1:31" ht="15.75" customHeight="1">
      <c r="A470" s="3" t="s">
        <v>1765</v>
      </c>
      <c r="B470" s="89" t="s">
        <v>572</v>
      </c>
      <c r="C470" s="13" t="s">
        <v>573</v>
      </c>
      <c r="D470" s="110">
        <v>2019</v>
      </c>
      <c r="E470" s="91" t="s">
        <v>2063</v>
      </c>
      <c r="F470" s="89" t="s">
        <v>566</v>
      </c>
      <c r="G470" s="112" t="s">
        <v>2276</v>
      </c>
      <c r="H470" s="89"/>
      <c r="I470" s="89"/>
      <c r="J470" s="89"/>
      <c r="K470" s="89"/>
      <c r="L470" s="89"/>
      <c r="M470" s="89"/>
      <c r="N470" s="89"/>
      <c r="O470" s="89"/>
      <c r="P470" s="89"/>
      <c r="Q470" s="89"/>
      <c r="R470" s="89"/>
      <c r="S470" s="89"/>
      <c r="T470" s="89"/>
      <c r="U470" s="89"/>
      <c r="V470" s="89"/>
      <c r="W470" s="89"/>
      <c r="X470" s="89"/>
      <c r="Y470" s="89"/>
      <c r="Z470" s="89"/>
      <c r="AA470" s="89"/>
      <c r="AB470" s="89"/>
      <c r="AC470" s="89"/>
      <c r="AD470" s="89"/>
      <c r="AE470" s="89"/>
    </row>
    <row r="471" spans="1:31" ht="15.75" customHeight="1">
      <c r="A471" s="3" t="s">
        <v>1765</v>
      </c>
      <c r="B471" s="86" t="s">
        <v>829</v>
      </c>
      <c r="C471" s="13" t="s">
        <v>830</v>
      </c>
      <c r="D471" s="85">
        <v>2020</v>
      </c>
      <c r="E471" s="86" t="s">
        <v>1707</v>
      </c>
      <c r="F471" s="91" t="s">
        <v>179</v>
      </c>
      <c r="G471" s="89" t="s">
        <v>2277</v>
      </c>
      <c r="H471" s="86"/>
      <c r="I471" s="86"/>
      <c r="J471" s="86"/>
      <c r="K471" s="86"/>
      <c r="L471" s="86"/>
      <c r="M471" s="86"/>
      <c r="N471" s="86"/>
      <c r="O471" s="86"/>
      <c r="P471" s="86"/>
      <c r="Q471" s="86"/>
      <c r="R471" s="86"/>
      <c r="S471" s="86"/>
      <c r="T471" s="86"/>
      <c r="U471" s="86"/>
      <c r="V471" s="86"/>
      <c r="W471" s="86"/>
      <c r="X471" s="86"/>
      <c r="Y471" s="86"/>
      <c r="Z471" s="86"/>
      <c r="AA471" s="86"/>
      <c r="AB471" s="86"/>
      <c r="AC471" s="86"/>
      <c r="AD471" s="86"/>
      <c r="AE471" s="86"/>
    </row>
    <row r="472" spans="1:31" ht="15.75" customHeight="1">
      <c r="A472" s="103" t="s">
        <v>1701</v>
      </c>
      <c r="B472" s="103" t="s">
        <v>2278</v>
      </c>
      <c r="C472" s="123" t="s">
        <v>2279</v>
      </c>
      <c r="D472" s="100">
        <v>2021</v>
      </c>
      <c r="E472" s="103" t="s">
        <v>1704</v>
      </c>
      <c r="F472" s="103" t="s">
        <v>1763</v>
      </c>
      <c r="G472" s="102" t="s">
        <v>2280</v>
      </c>
      <c r="H472" s="103"/>
      <c r="I472" s="103"/>
      <c r="J472" s="103"/>
      <c r="K472" s="103"/>
      <c r="L472" s="103"/>
      <c r="M472" s="103"/>
      <c r="N472" s="103"/>
      <c r="O472" s="103"/>
      <c r="P472" s="103"/>
      <c r="Q472" s="103"/>
      <c r="R472" s="103"/>
      <c r="S472" s="103"/>
      <c r="T472" s="103"/>
      <c r="U472" s="103"/>
      <c r="V472" s="103"/>
      <c r="W472" s="103"/>
      <c r="X472" s="103"/>
      <c r="Y472" s="103"/>
      <c r="Z472" s="103"/>
      <c r="AA472" s="103"/>
      <c r="AB472" s="103"/>
      <c r="AC472" s="103"/>
      <c r="AD472" s="103"/>
      <c r="AE472" s="103"/>
    </row>
    <row r="473" spans="1:31" ht="15.75" customHeight="1">
      <c r="A473" s="109"/>
      <c r="B473" s="109"/>
      <c r="C473" s="95"/>
      <c r="D473" s="85"/>
      <c r="E473" s="86"/>
      <c r="F473" s="86"/>
      <c r="G473" s="86"/>
      <c r="H473" s="86"/>
      <c r="I473" s="86"/>
      <c r="J473" s="86"/>
      <c r="K473" s="86"/>
      <c r="L473" s="86"/>
      <c r="M473" s="86"/>
      <c r="N473" s="86"/>
      <c r="O473" s="86"/>
      <c r="P473" s="86"/>
      <c r="Q473" s="86"/>
      <c r="R473" s="86"/>
      <c r="S473" s="86"/>
      <c r="T473" s="86"/>
      <c r="U473" s="86"/>
      <c r="V473" s="86"/>
      <c r="W473" s="86"/>
      <c r="X473" s="86"/>
      <c r="Y473" s="86"/>
      <c r="Z473" s="86"/>
      <c r="AA473" s="86"/>
      <c r="AB473" s="86"/>
      <c r="AC473" s="86"/>
      <c r="AD473" s="86"/>
      <c r="AE473" s="86"/>
    </row>
    <row r="474" spans="1:31" ht="15.75" customHeight="1">
      <c r="A474" s="109"/>
      <c r="B474" s="109"/>
      <c r="C474" s="95"/>
      <c r="D474" s="85"/>
      <c r="E474" s="86"/>
      <c r="F474" s="86"/>
      <c r="G474" s="86"/>
      <c r="H474" s="86"/>
      <c r="I474" s="86"/>
      <c r="J474" s="86"/>
      <c r="K474" s="86"/>
      <c r="L474" s="86"/>
      <c r="M474" s="86"/>
      <c r="N474" s="86"/>
      <c r="O474" s="86"/>
      <c r="P474" s="86"/>
      <c r="Q474" s="86"/>
      <c r="R474" s="86"/>
      <c r="S474" s="86"/>
      <c r="T474" s="86"/>
      <c r="U474" s="86"/>
      <c r="V474" s="86"/>
      <c r="W474" s="86"/>
      <c r="X474" s="86"/>
      <c r="Y474" s="86"/>
      <c r="Z474" s="86"/>
      <c r="AA474" s="86"/>
      <c r="AB474" s="86"/>
      <c r="AC474" s="86"/>
      <c r="AD474" s="86"/>
      <c r="AE474" s="86"/>
    </row>
    <row r="475" spans="1:31" ht="15.75" customHeight="1">
      <c r="A475" s="86"/>
      <c r="B475" s="86"/>
      <c r="C475" s="95"/>
      <c r="D475" s="85"/>
      <c r="E475" s="86"/>
      <c r="F475" s="86"/>
      <c r="G475" s="86"/>
      <c r="H475" s="86"/>
      <c r="I475" s="86"/>
      <c r="J475" s="86"/>
      <c r="K475" s="86"/>
      <c r="L475" s="86"/>
      <c r="M475" s="86"/>
      <c r="N475" s="86"/>
      <c r="O475" s="86"/>
      <c r="P475" s="86"/>
      <c r="Q475" s="86"/>
      <c r="R475" s="86"/>
      <c r="S475" s="86"/>
      <c r="T475" s="86"/>
      <c r="U475" s="86"/>
      <c r="V475" s="86"/>
      <c r="W475" s="86"/>
      <c r="X475" s="86"/>
      <c r="Y475" s="86"/>
      <c r="Z475" s="86"/>
      <c r="AA475" s="86"/>
      <c r="AB475" s="86"/>
      <c r="AC475" s="86"/>
      <c r="AD475" s="86"/>
      <c r="AE475" s="86"/>
    </row>
    <row r="476" spans="1:31" ht="15.75" customHeight="1">
      <c r="A476" s="86"/>
      <c r="B476" s="86"/>
      <c r="C476" s="95"/>
      <c r="D476" s="85"/>
      <c r="E476" s="86"/>
      <c r="F476" s="86"/>
      <c r="G476" s="86"/>
      <c r="H476" s="86"/>
      <c r="I476" s="86"/>
      <c r="J476" s="86"/>
      <c r="K476" s="86"/>
      <c r="L476" s="86"/>
      <c r="M476" s="86"/>
      <c r="N476" s="86"/>
      <c r="O476" s="86"/>
      <c r="P476" s="86"/>
      <c r="Q476" s="86"/>
      <c r="R476" s="86"/>
      <c r="S476" s="86"/>
      <c r="T476" s="86"/>
      <c r="U476" s="86"/>
      <c r="V476" s="86"/>
      <c r="W476" s="86"/>
      <c r="X476" s="86"/>
      <c r="Y476" s="86"/>
      <c r="Z476" s="86"/>
      <c r="AA476" s="86"/>
      <c r="AB476" s="86"/>
      <c r="AC476" s="86"/>
      <c r="AD476" s="86"/>
      <c r="AE476" s="86"/>
    </row>
    <row r="477" spans="1:31" ht="15.75" customHeight="1">
      <c r="A477" s="86"/>
      <c r="B477" s="86"/>
      <c r="C477" s="95"/>
      <c r="D477" s="85"/>
      <c r="E477" s="86"/>
      <c r="F477" s="86"/>
      <c r="G477" s="86"/>
      <c r="H477" s="86"/>
      <c r="I477" s="86"/>
      <c r="J477" s="86"/>
      <c r="K477" s="86"/>
      <c r="L477" s="86"/>
      <c r="M477" s="86"/>
      <c r="N477" s="86"/>
      <c r="O477" s="86"/>
      <c r="P477" s="86"/>
      <c r="Q477" s="86"/>
      <c r="R477" s="86"/>
      <c r="S477" s="86"/>
      <c r="T477" s="86"/>
      <c r="U477" s="86"/>
      <c r="V477" s="86"/>
      <c r="W477" s="86"/>
      <c r="X477" s="86"/>
      <c r="Y477" s="86"/>
      <c r="Z477" s="86"/>
      <c r="AA477" s="86"/>
      <c r="AB477" s="86"/>
      <c r="AC477" s="86"/>
      <c r="AD477" s="86"/>
      <c r="AE477" s="86"/>
    </row>
    <row r="478" spans="1:31" ht="15.75" customHeight="1">
      <c r="A478" s="86"/>
      <c r="B478" s="86"/>
      <c r="C478" s="95"/>
      <c r="D478" s="85"/>
      <c r="E478" s="86"/>
      <c r="F478" s="86"/>
      <c r="G478" s="86"/>
      <c r="H478" s="86"/>
      <c r="I478" s="86"/>
      <c r="J478" s="86"/>
      <c r="K478" s="86"/>
      <c r="L478" s="86"/>
      <c r="M478" s="86"/>
      <c r="N478" s="86"/>
      <c r="O478" s="86"/>
      <c r="P478" s="86"/>
      <c r="Q478" s="86"/>
      <c r="R478" s="86"/>
      <c r="S478" s="86"/>
      <c r="T478" s="86"/>
      <c r="U478" s="86"/>
      <c r="V478" s="86"/>
      <c r="W478" s="86"/>
      <c r="X478" s="86"/>
      <c r="Y478" s="86"/>
      <c r="Z478" s="86"/>
      <c r="AA478" s="86"/>
      <c r="AB478" s="86"/>
      <c r="AC478" s="86"/>
      <c r="AD478" s="86"/>
      <c r="AE478" s="86"/>
    </row>
    <row r="479" spans="1:31" ht="15.75" customHeight="1">
      <c r="A479" s="86"/>
      <c r="B479" s="86"/>
      <c r="C479" s="95"/>
      <c r="D479" s="85"/>
      <c r="E479" s="86"/>
      <c r="F479" s="86"/>
      <c r="G479" s="86"/>
      <c r="H479" s="86"/>
      <c r="I479" s="86"/>
      <c r="J479" s="86"/>
      <c r="K479" s="86"/>
      <c r="L479" s="86"/>
      <c r="M479" s="86"/>
      <c r="N479" s="86"/>
      <c r="O479" s="86"/>
      <c r="P479" s="86"/>
      <c r="Q479" s="86"/>
      <c r="R479" s="86"/>
      <c r="S479" s="86"/>
      <c r="T479" s="86"/>
      <c r="U479" s="86"/>
      <c r="V479" s="86"/>
      <c r="W479" s="86"/>
      <c r="X479" s="86"/>
      <c r="Y479" s="86"/>
      <c r="Z479" s="86"/>
      <c r="AA479" s="86"/>
      <c r="AB479" s="86"/>
      <c r="AC479" s="86"/>
      <c r="AD479" s="86"/>
      <c r="AE479" s="86"/>
    </row>
    <row r="480" spans="1:31" ht="15.75" customHeight="1">
      <c r="A480" s="109"/>
      <c r="B480" s="109"/>
      <c r="C480" s="95"/>
      <c r="D480" s="85"/>
      <c r="E480" s="86"/>
      <c r="F480" s="86"/>
      <c r="G480" s="86"/>
      <c r="H480" s="86"/>
      <c r="I480" s="86"/>
      <c r="J480" s="86"/>
      <c r="K480" s="86"/>
      <c r="L480" s="86"/>
      <c r="M480" s="86"/>
      <c r="N480" s="86"/>
      <c r="O480" s="86"/>
      <c r="P480" s="86"/>
      <c r="Q480" s="86"/>
      <c r="R480" s="86"/>
      <c r="S480" s="86"/>
      <c r="T480" s="86"/>
      <c r="U480" s="86"/>
      <c r="V480" s="86"/>
      <c r="W480" s="86"/>
      <c r="X480" s="86"/>
      <c r="Y480" s="86"/>
      <c r="Z480" s="86"/>
      <c r="AA480" s="86"/>
      <c r="AB480" s="86"/>
      <c r="AC480" s="86"/>
      <c r="AD480" s="86"/>
      <c r="AE480" s="86"/>
    </row>
    <row r="481" spans="1:31" ht="15.75" customHeight="1">
      <c r="A481" s="109"/>
      <c r="B481" s="109"/>
      <c r="C481" s="95"/>
      <c r="D481" s="85"/>
      <c r="E481" s="86"/>
      <c r="F481" s="86"/>
      <c r="G481" s="86"/>
      <c r="H481" s="86"/>
      <c r="I481" s="86"/>
      <c r="J481" s="86"/>
      <c r="K481" s="86"/>
      <c r="L481" s="86"/>
      <c r="M481" s="86"/>
      <c r="N481" s="86"/>
      <c r="O481" s="86"/>
      <c r="P481" s="86"/>
      <c r="Q481" s="86"/>
      <c r="R481" s="86"/>
      <c r="S481" s="86"/>
      <c r="T481" s="86"/>
      <c r="U481" s="86"/>
      <c r="V481" s="86"/>
      <c r="W481" s="86"/>
      <c r="X481" s="86"/>
      <c r="Y481" s="86"/>
      <c r="Z481" s="86"/>
      <c r="AA481" s="86"/>
      <c r="AB481" s="86"/>
      <c r="AC481" s="86"/>
      <c r="AD481" s="86"/>
      <c r="AE481" s="86"/>
    </row>
    <row r="482" spans="1:31" ht="15.75" customHeight="1">
      <c r="A482" s="86"/>
      <c r="B482" s="86"/>
      <c r="C482" s="95"/>
      <c r="D482" s="85"/>
      <c r="E482" s="86"/>
      <c r="F482" s="86"/>
      <c r="G482" s="86"/>
      <c r="H482" s="86"/>
      <c r="I482" s="86"/>
      <c r="J482" s="86"/>
      <c r="K482" s="86"/>
      <c r="L482" s="86"/>
      <c r="M482" s="86"/>
      <c r="N482" s="86"/>
      <c r="O482" s="86"/>
      <c r="P482" s="86"/>
      <c r="Q482" s="86"/>
      <c r="R482" s="86"/>
      <c r="S482" s="86"/>
      <c r="T482" s="86"/>
      <c r="U482" s="86"/>
      <c r="V482" s="86"/>
      <c r="W482" s="86"/>
      <c r="X482" s="86"/>
      <c r="Y482" s="86"/>
      <c r="Z482" s="86"/>
      <c r="AA482" s="86"/>
      <c r="AB482" s="86"/>
      <c r="AC482" s="86"/>
      <c r="AD482" s="86"/>
      <c r="AE482" s="86"/>
    </row>
    <row r="483" spans="1:31" ht="15.75" customHeight="1">
      <c r="A483" s="86"/>
      <c r="B483" s="86"/>
      <c r="C483" s="95"/>
      <c r="D483" s="85"/>
      <c r="E483" s="86"/>
      <c r="F483" s="86"/>
      <c r="G483" s="86"/>
      <c r="H483" s="86"/>
      <c r="I483" s="86"/>
      <c r="J483" s="86"/>
      <c r="K483" s="86"/>
      <c r="L483" s="86"/>
      <c r="M483" s="86"/>
      <c r="N483" s="86"/>
      <c r="O483" s="86"/>
      <c r="P483" s="86"/>
      <c r="Q483" s="86"/>
      <c r="R483" s="86"/>
      <c r="S483" s="86"/>
      <c r="T483" s="86"/>
      <c r="U483" s="86"/>
      <c r="V483" s="86"/>
      <c r="W483" s="86"/>
      <c r="X483" s="86"/>
      <c r="Y483" s="86"/>
      <c r="Z483" s="86"/>
      <c r="AA483" s="86"/>
      <c r="AB483" s="86"/>
      <c r="AC483" s="86"/>
      <c r="AD483" s="86"/>
      <c r="AE483" s="86"/>
    </row>
    <row r="484" spans="1:31" ht="15.75" customHeight="1">
      <c r="A484" s="86"/>
      <c r="B484" s="86"/>
      <c r="C484" s="95"/>
      <c r="D484" s="85"/>
      <c r="E484" s="86"/>
      <c r="F484" s="86"/>
      <c r="G484" s="86"/>
      <c r="H484" s="86"/>
      <c r="I484" s="86"/>
      <c r="J484" s="86"/>
      <c r="K484" s="86"/>
      <c r="L484" s="86"/>
      <c r="M484" s="86"/>
      <c r="N484" s="86"/>
      <c r="O484" s="86"/>
      <c r="P484" s="86"/>
      <c r="Q484" s="86"/>
      <c r="R484" s="86"/>
      <c r="S484" s="86"/>
      <c r="T484" s="86"/>
      <c r="U484" s="86"/>
      <c r="V484" s="86"/>
      <c r="W484" s="86"/>
      <c r="X484" s="86"/>
      <c r="Y484" s="86"/>
      <c r="Z484" s="86"/>
      <c r="AA484" s="86"/>
      <c r="AB484" s="86"/>
      <c r="AC484" s="86"/>
      <c r="AD484" s="86"/>
      <c r="AE484" s="86"/>
    </row>
    <row r="485" spans="1:31" ht="15.75" customHeight="1">
      <c r="A485" s="86"/>
      <c r="B485" s="86"/>
      <c r="C485" s="95"/>
      <c r="D485" s="85"/>
      <c r="E485" s="86"/>
      <c r="F485" s="86"/>
      <c r="G485" s="86"/>
      <c r="H485" s="86"/>
      <c r="I485" s="86"/>
      <c r="J485" s="86"/>
      <c r="K485" s="86"/>
      <c r="L485" s="86"/>
      <c r="M485" s="86"/>
      <c r="N485" s="86"/>
      <c r="O485" s="86"/>
      <c r="P485" s="86"/>
      <c r="Q485" s="86"/>
      <c r="R485" s="86"/>
      <c r="S485" s="86"/>
      <c r="T485" s="86"/>
      <c r="U485" s="86"/>
      <c r="V485" s="86"/>
      <c r="W485" s="86"/>
      <c r="X485" s="86"/>
      <c r="Y485" s="86"/>
      <c r="Z485" s="86"/>
      <c r="AA485" s="86"/>
      <c r="AB485" s="86"/>
      <c r="AC485" s="86"/>
      <c r="AD485" s="86"/>
      <c r="AE485" s="86"/>
    </row>
    <row r="486" spans="1:31" ht="15.75" customHeight="1">
      <c r="A486" s="86"/>
      <c r="B486" s="86"/>
      <c r="C486" s="95"/>
      <c r="D486" s="85"/>
      <c r="E486" s="86"/>
      <c r="F486" s="86"/>
      <c r="G486" s="86"/>
      <c r="H486" s="86"/>
      <c r="I486" s="86"/>
      <c r="J486" s="86"/>
      <c r="K486" s="86"/>
      <c r="L486" s="86"/>
      <c r="M486" s="86"/>
      <c r="N486" s="86"/>
      <c r="O486" s="86"/>
      <c r="P486" s="86"/>
      <c r="Q486" s="86"/>
      <c r="R486" s="86"/>
      <c r="S486" s="86"/>
      <c r="T486" s="86"/>
      <c r="U486" s="86"/>
      <c r="V486" s="86"/>
      <c r="W486" s="86"/>
      <c r="X486" s="86"/>
      <c r="Y486" s="86"/>
      <c r="Z486" s="86"/>
      <c r="AA486" s="86"/>
      <c r="AB486" s="86"/>
      <c r="AC486" s="86"/>
      <c r="AD486" s="86"/>
      <c r="AE486" s="86"/>
    </row>
    <row r="487" spans="1:31" ht="15.75" customHeight="1">
      <c r="A487" s="86"/>
      <c r="B487" s="86"/>
      <c r="C487" s="95"/>
      <c r="D487" s="85"/>
      <c r="E487" s="86"/>
      <c r="F487" s="86"/>
      <c r="G487" s="86"/>
      <c r="H487" s="86"/>
      <c r="I487" s="86"/>
      <c r="J487" s="86"/>
      <c r="K487" s="86"/>
      <c r="L487" s="86"/>
      <c r="M487" s="86"/>
      <c r="N487" s="86"/>
      <c r="O487" s="86"/>
      <c r="P487" s="86"/>
      <c r="Q487" s="86"/>
      <c r="R487" s="86"/>
      <c r="S487" s="86"/>
      <c r="T487" s="86"/>
      <c r="U487" s="86"/>
      <c r="V487" s="86"/>
      <c r="W487" s="86"/>
      <c r="X487" s="86"/>
      <c r="Y487" s="86"/>
      <c r="Z487" s="86"/>
      <c r="AA487" s="86"/>
      <c r="AB487" s="86"/>
      <c r="AC487" s="86"/>
      <c r="AD487" s="86"/>
      <c r="AE487" s="86"/>
    </row>
    <row r="488" spans="1:31" ht="15.75" customHeight="1">
      <c r="A488" s="86"/>
      <c r="B488" s="86"/>
      <c r="C488" s="95"/>
      <c r="D488" s="85"/>
      <c r="E488" s="86"/>
      <c r="F488" s="86"/>
      <c r="G488" s="86"/>
      <c r="H488" s="86"/>
      <c r="I488" s="86"/>
      <c r="J488" s="86"/>
      <c r="K488" s="86"/>
      <c r="L488" s="86"/>
      <c r="M488" s="86"/>
      <c r="N488" s="86"/>
      <c r="O488" s="86"/>
      <c r="P488" s="86"/>
      <c r="Q488" s="86"/>
      <c r="R488" s="86"/>
      <c r="S488" s="86"/>
      <c r="T488" s="86"/>
      <c r="U488" s="86"/>
      <c r="V488" s="86"/>
      <c r="W488" s="86"/>
      <c r="X488" s="86"/>
      <c r="Y488" s="86"/>
      <c r="Z488" s="86"/>
      <c r="AA488" s="86"/>
      <c r="AB488" s="86"/>
      <c r="AC488" s="86"/>
      <c r="AD488" s="86"/>
      <c r="AE488" s="86"/>
    </row>
    <row r="489" spans="1:31" ht="15.75" customHeight="1">
      <c r="A489" s="86"/>
      <c r="B489" s="86"/>
      <c r="C489" s="95"/>
      <c r="D489" s="85"/>
      <c r="E489" s="86"/>
      <c r="F489" s="86"/>
      <c r="G489" s="86"/>
      <c r="H489" s="86"/>
      <c r="I489" s="86"/>
      <c r="J489" s="86"/>
      <c r="K489" s="86"/>
      <c r="L489" s="86"/>
      <c r="M489" s="86"/>
      <c r="N489" s="86"/>
      <c r="O489" s="86"/>
      <c r="P489" s="86"/>
      <c r="Q489" s="86"/>
      <c r="R489" s="86"/>
      <c r="S489" s="86"/>
      <c r="T489" s="86"/>
      <c r="U489" s="86"/>
      <c r="V489" s="86"/>
      <c r="W489" s="86"/>
      <c r="X489" s="86"/>
      <c r="Y489" s="86"/>
      <c r="Z489" s="86"/>
      <c r="AA489" s="86"/>
      <c r="AB489" s="86"/>
      <c r="AC489" s="86"/>
      <c r="AD489" s="86"/>
      <c r="AE489" s="86"/>
    </row>
    <row r="490" spans="1:31" ht="15.75" customHeight="1">
      <c r="A490" s="86"/>
      <c r="B490" s="86"/>
      <c r="C490" s="95"/>
      <c r="D490" s="85"/>
      <c r="E490" s="86"/>
      <c r="F490" s="86"/>
      <c r="G490" s="86"/>
      <c r="H490" s="86"/>
      <c r="I490" s="86"/>
      <c r="J490" s="86"/>
      <c r="K490" s="86"/>
      <c r="L490" s="86"/>
      <c r="M490" s="86"/>
      <c r="N490" s="86"/>
      <c r="O490" s="86"/>
      <c r="P490" s="86"/>
      <c r="Q490" s="86"/>
      <c r="R490" s="86"/>
      <c r="S490" s="86"/>
      <c r="T490" s="86"/>
      <c r="U490" s="86"/>
      <c r="V490" s="86"/>
      <c r="W490" s="86"/>
      <c r="X490" s="86"/>
      <c r="Y490" s="86"/>
      <c r="Z490" s="86"/>
      <c r="AA490" s="86"/>
      <c r="AB490" s="86"/>
      <c r="AC490" s="86"/>
      <c r="AD490" s="86"/>
      <c r="AE490" s="86"/>
    </row>
    <row r="491" spans="1:31" ht="15.75" customHeight="1">
      <c r="A491" s="86"/>
      <c r="B491" s="86"/>
      <c r="C491" s="95"/>
      <c r="D491" s="85"/>
      <c r="E491" s="86"/>
      <c r="F491" s="86"/>
      <c r="G491" s="86"/>
      <c r="H491" s="86"/>
      <c r="I491" s="86"/>
      <c r="J491" s="86"/>
      <c r="K491" s="86"/>
      <c r="L491" s="86"/>
      <c r="M491" s="86"/>
      <c r="N491" s="86"/>
      <c r="O491" s="86"/>
      <c r="P491" s="86"/>
      <c r="Q491" s="86"/>
      <c r="R491" s="86"/>
      <c r="S491" s="86"/>
      <c r="T491" s="86"/>
      <c r="U491" s="86"/>
      <c r="V491" s="86"/>
      <c r="W491" s="86"/>
      <c r="X491" s="86"/>
      <c r="Y491" s="86"/>
      <c r="Z491" s="86"/>
      <c r="AA491" s="86"/>
      <c r="AB491" s="86"/>
      <c r="AC491" s="86"/>
      <c r="AD491" s="86"/>
      <c r="AE491" s="86"/>
    </row>
    <row r="492" spans="1:31" ht="15.75" customHeight="1">
      <c r="A492" s="86"/>
      <c r="B492" s="86"/>
      <c r="C492" s="95"/>
      <c r="D492" s="85"/>
      <c r="E492" s="86"/>
      <c r="F492" s="86"/>
      <c r="G492" s="86"/>
      <c r="H492" s="86"/>
      <c r="I492" s="86"/>
      <c r="J492" s="86"/>
      <c r="K492" s="86"/>
      <c r="L492" s="86"/>
      <c r="M492" s="86"/>
      <c r="N492" s="86"/>
      <c r="O492" s="86"/>
      <c r="P492" s="86"/>
      <c r="Q492" s="86"/>
      <c r="R492" s="86"/>
      <c r="S492" s="86"/>
      <c r="T492" s="86"/>
      <c r="U492" s="86"/>
      <c r="V492" s="86"/>
      <c r="W492" s="86"/>
      <c r="X492" s="86"/>
      <c r="Y492" s="86"/>
      <c r="Z492" s="86"/>
      <c r="AA492" s="86"/>
      <c r="AB492" s="86"/>
      <c r="AC492" s="86"/>
      <c r="AD492" s="86"/>
      <c r="AE492" s="86"/>
    </row>
    <row r="493" spans="1:31" ht="15.75" customHeight="1">
      <c r="A493" s="86"/>
      <c r="B493" s="86"/>
      <c r="C493" s="95"/>
      <c r="D493" s="85"/>
      <c r="E493" s="86"/>
      <c r="F493" s="86"/>
      <c r="G493" s="86"/>
      <c r="H493" s="86"/>
      <c r="I493" s="86"/>
      <c r="J493" s="86"/>
      <c r="K493" s="86"/>
      <c r="L493" s="86"/>
      <c r="M493" s="86"/>
      <c r="N493" s="86"/>
      <c r="O493" s="86"/>
      <c r="P493" s="86"/>
      <c r="Q493" s="86"/>
      <c r="R493" s="86"/>
      <c r="S493" s="86"/>
      <c r="T493" s="86"/>
      <c r="U493" s="86"/>
      <c r="V493" s="86"/>
      <c r="W493" s="86"/>
      <c r="X493" s="86"/>
      <c r="Y493" s="86"/>
      <c r="Z493" s="86"/>
      <c r="AA493" s="86"/>
      <c r="AB493" s="86"/>
      <c r="AC493" s="86"/>
      <c r="AD493" s="86"/>
      <c r="AE493" s="86"/>
    </row>
    <row r="494" spans="1:31" ht="15.75" customHeight="1">
      <c r="A494" s="86"/>
      <c r="B494" s="86"/>
      <c r="C494" s="95"/>
      <c r="D494" s="85"/>
      <c r="E494" s="86"/>
      <c r="F494" s="86"/>
      <c r="G494" s="86"/>
      <c r="H494" s="86"/>
      <c r="I494" s="86"/>
      <c r="J494" s="86"/>
      <c r="K494" s="86"/>
      <c r="L494" s="86"/>
      <c r="M494" s="86"/>
      <c r="N494" s="86"/>
      <c r="O494" s="86"/>
      <c r="P494" s="86"/>
      <c r="Q494" s="86"/>
      <c r="R494" s="86"/>
      <c r="S494" s="86"/>
      <c r="T494" s="86"/>
      <c r="U494" s="86"/>
      <c r="V494" s="86"/>
      <c r="W494" s="86"/>
      <c r="X494" s="86"/>
      <c r="Y494" s="86"/>
      <c r="Z494" s="86"/>
      <c r="AA494" s="86"/>
      <c r="AB494" s="86"/>
      <c r="AC494" s="86"/>
      <c r="AD494" s="86"/>
      <c r="AE494" s="86"/>
    </row>
    <row r="495" spans="1:31" ht="15.75" customHeight="1">
      <c r="A495" s="86"/>
      <c r="B495" s="86"/>
      <c r="C495" s="95"/>
      <c r="D495" s="85"/>
      <c r="E495" s="86"/>
      <c r="F495" s="86"/>
      <c r="G495" s="86"/>
      <c r="H495" s="86"/>
      <c r="I495" s="86"/>
      <c r="J495" s="86"/>
      <c r="K495" s="86"/>
      <c r="L495" s="86"/>
      <c r="M495" s="86"/>
      <c r="N495" s="86"/>
      <c r="O495" s="86"/>
      <c r="P495" s="86"/>
      <c r="Q495" s="86"/>
      <c r="R495" s="86"/>
      <c r="S495" s="86"/>
      <c r="T495" s="86"/>
      <c r="U495" s="86"/>
      <c r="V495" s="86"/>
      <c r="W495" s="86"/>
      <c r="X495" s="86"/>
      <c r="Y495" s="86"/>
      <c r="Z495" s="86"/>
      <c r="AA495" s="86"/>
      <c r="AB495" s="86"/>
      <c r="AC495" s="86"/>
      <c r="AD495" s="86"/>
      <c r="AE495" s="86"/>
    </row>
    <row r="496" spans="1:31" ht="15.75" customHeight="1">
      <c r="A496" s="86"/>
      <c r="B496" s="86"/>
      <c r="C496" s="95"/>
      <c r="D496" s="85"/>
      <c r="E496" s="86"/>
      <c r="F496" s="86"/>
      <c r="G496" s="86"/>
      <c r="H496" s="86"/>
      <c r="I496" s="86"/>
      <c r="J496" s="86"/>
      <c r="K496" s="86"/>
      <c r="L496" s="86"/>
      <c r="M496" s="86"/>
      <c r="N496" s="86"/>
      <c r="O496" s="86"/>
      <c r="P496" s="86"/>
      <c r="Q496" s="86"/>
      <c r="R496" s="86"/>
      <c r="S496" s="86"/>
      <c r="T496" s="86"/>
      <c r="U496" s="86"/>
      <c r="V496" s="86"/>
      <c r="W496" s="86"/>
      <c r="X496" s="86"/>
      <c r="Y496" s="86"/>
      <c r="Z496" s="86"/>
      <c r="AA496" s="86"/>
      <c r="AB496" s="86"/>
      <c r="AC496" s="86"/>
      <c r="AD496" s="86"/>
      <c r="AE496" s="86"/>
    </row>
    <row r="497" spans="1:31" ht="15.75" customHeight="1">
      <c r="A497" s="86"/>
      <c r="B497" s="86"/>
      <c r="C497" s="95"/>
      <c r="D497" s="85"/>
      <c r="E497" s="86"/>
      <c r="F497" s="86"/>
      <c r="G497" s="86"/>
      <c r="H497" s="86"/>
      <c r="I497" s="86"/>
      <c r="J497" s="86"/>
      <c r="K497" s="86"/>
      <c r="L497" s="86"/>
      <c r="M497" s="86"/>
      <c r="N497" s="86"/>
      <c r="O497" s="86"/>
      <c r="P497" s="86"/>
      <c r="Q497" s="86"/>
      <c r="R497" s="86"/>
      <c r="S497" s="86"/>
      <c r="T497" s="86"/>
      <c r="U497" s="86"/>
      <c r="V497" s="86"/>
      <c r="W497" s="86"/>
      <c r="X497" s="86"/>
      <c r="Y497" s="86"/>
      <c r="Z497" s="86"/>
      <c r="AA497" s="86"/>
      <c r="AB497" s="86"/>
      <c r="AC497" s="86"/>
      <c r="AD497" s="86"/>
      <c r="AE497" s="86"/>
    </row>
    <row r="498" spans="1:31" ht="15.75" customHeight="1">
      <c r="A498" s="86"/>
      <c r="B498" s="86"/>
      <c r="C498" s="95"/>
      <c r="D498" s="85"/>
      <c r="E498" s="86"/>
      <c r="F498" s="86"/>
      <c r="G498" s="86"/>
      <c r="H498" s="86"/>
      <c r="I498" s="86"/>
      <c r="J498" s="86"/>
      <c r="K498" s="86"/>
      <c r="L498" s="86"/>
      <c r="M498" s="86"/>
      <c r="N498" s="86"/>
      <c r="O498" s="86"/>
      <c r="P498" s="86"/>
      <c r="Q498" s="86"/>
      <c r="R498" s="86"/>
      <c r="S498" s="86"/>
      <c r="T498" s="86"/>
      <c r="U498" s="86"/>
      <c r="V498" s="86"/>
      <c r="W498" s="86"/>
      <c r="X498" s="86"/>
      <c r="Y498" s="86"/>
      <c r="Z498" s="86"/>
      <c r="AA498" s="86"/>
      <c r="AB498" s="86"/>
      <c r="AC498" s="86"/>
      <c r="AD498" s="86"/>
      <c r="AE498" s="86"/>
    </row>
    <row r="499" spans="1:31" ht="15.75" customHeight="1">
      <c r="A499" s="86"/>
      <c r="B499" s="86"/>
      <c r="C499" s="95"/>
      <c r="D499" s="85"/>
      <c r="E499" s="86"/>
      <c r="F499" s="86"/>
      <c r="G499" s="86"/>
      <c r="H499" s="86"/>
      <c r="I499" s="86"/>
      <c r="J499" s="86"/>
      <c r="K499" s="86"/>
      <c r="L499" s="86"/>
      <c r="M499" s="86"/>
      <c r="N499" s="86"/>
      <c r="O499" s="86"/>
      <c r="P499" s="86"/>
      <c r="Q499" s="86"/>
      <c r="R499" s="86"/>
      <c r="S499" s="86"/>
      <c r="T499" s="86"/>
      <c r="U499" s="86"/>
      <c r="V499" s="86"/>
      <c r="W499" s="86"/>
      <c r="X499" s="86"/>
      <c r="Y499" s="86"/>
      <c r="Z499" s="86"/>
      <c r="AA499" s="86"/>
      <c r="AB499" s="86"/>
      <c r="AC499" s="86"/>
      <c r="AD499" s="86"/>
      <c r="AE499" s="86"/>
    </row>
    <row r="500" spans="1:31" ht="15.75" customHeight="1">
      <c r="A500" s="86"/>
      <c r="B500" s="86"/>
      <c r="C500" s="95"/>
      <c r="D500" s="85"/>
      <c r="E500" s="86"/>
      <c r="F500" s="86"/>
      <c r="G500" s="86"/>
      <c r="H500" s="86"/>
      <c r="I500" s="86"/>
      <c r="J500" s="86"/>
      <c r="K500" s="86"/>
      <c r="L500" s="86"/>
      <c r="M500" s="86"/>
      <c r="N500" s="86"/>
      <c r="O500" s="86"/>
      <c r="P500" s="86"/>
      <c r="Q500" s="86"/>
      <c r="R500" s="86"/>
      <c r="S500" s="86"/>
      <c r="T500" s="86"/>
      <c r="U500" s="86"/>
      <c r="V500" s="86"/>
      <c r="W500" s="86"/>
      <c r="X500" s="86"/>
      <c r="Y500" s="86"/>
      <c r="Z500" s="86"/>
      <c r="AA500" s="86"/>
      <c r="AB500" s="86"/>
      <c r="AC500" s="86"/>
      <c r="AD500" s="86"/>
      <c r="AE500" s="86"/>
    </row>
    <row r="501" spans="1:31" ht="15.75" customHeight="1">
      <c r="A501" s="86"/>
      <c r="B501" s="86"/>
      <c r="C501" s="95"/>
      <c r="D501" s="85"/>
      <c r="E501" s="86"/>
      <c r="F501" s="86"/>
      <c r="G501" s="86"/>
      <c r="H501" s="86"/>
      <c r="I501" s="86"/>
      <c r="J501" s="86"/>
      <c r="K501" s="86"/>
      <c r="L501" s="86"/>
      <c r="M501" s="86"/>
      <c r="N501" s="86"/>
      <c r="O501" s="86"/>
      <c r="P501" s="86"/>
      <c r="Q501" s="86"/>
      <c r="R501" s="86"/>
      <c r="S501" s="86"/>
      <c r="T501" s="86"/>
      <c r="U501" s="86"/>
      <c r="V501" s="86"/>
      <c r="W501" s="86"/>
      <c r="X501" s="86"/>
      <c r="Y501" s="86"/>
      <c r="Z501" s="86"/>
      <c r="AA501" s="86"/>
      <c r="AB501" s="86"/>
      <c r="AC501" s="86"/>
      <c r="AD501" s="86"/>
      <c r="AE501" s="86"/>
    </row>
    <row r="502" spans="1:31" ht="15.75" customHeight="1">
      <c r="A502" s="86"/>
      <c r="B502" s="86"/>
      <c r="C502" s="95"/>
      <c r="D502" s="85"/>
      <c r="E502" s="86"/>
      <c r="F502" s="86"/>
      <c r="G502" s="86"/>
      <c r="H502" s="86"/>
      <c r="I502" s="86"/>
      <c r="J502" s="86"/>
      <c r="K502" s="86"/>
      <c r="L502" s="86"/>
      <c r="M502" s="86"/>
      <c r="N502" s="86"/>
      <c r="O502" s="86"/>
      <c r="P502" s="86"/>
      <c r="Q502" s="86"/>
      <c r="R502" s="86"/>
      <c r="S502" s="86"/>
      <c r="T502" s="86"/>
      <c r="U502" s="86"/>
      <c r="V502" s="86"/>
      <c r="W502" s="86"/>
      <c r="X502" s="86"/>
      <c r="Y502" s="86"/>
      <c r="Z502" s="86"/>
      <c r="AA502" s="86"/>
      <c r="AB502" s="86"/>
      <c r="AC502" s="86"/>
      <c r="AD502" s="86"/>
      <c r="AE502" s="86"/>
    </row>
    <row r="503" spans="1:31" ht="15.75" customHeight="1">
      <c r="A503" s="86"/>
      <c r="B503" s="86"/>
      <c r="C503" s="95"/>
      <c r="D503" s="85"/>
      <c r="E503" s="86"/>
      <c r="F503" s="86"/>
      <c r="G503" s="86"/>
      <c r="H503" s="86"/>
      <c r="I503" s="86"/>
      <c r="J503" s="86"/>
      <c r="K503" s="86"/>
      <c r="L503" s="86"/>
      <c r="M503" s="86"/>
      <c r="N503" s="86"/>
      <c r="O503" s="86"/>
      <c r="P503" s="86"/>
      <c r="Q503" s="86"/>
      <c r="R503" s="86"/>
      <c r="S503" s="86"/>
      <c r="T503" s="86"/>
      <c r="U503" s="86"/>
      <c r="V503" s="86"/>
      <c r="W503" s="86"/>
      <c r="X503" s="86"/>
      <c r="Y503" s="86"/>
      <c r="Z503" s="86"/>
      <c r="AA503" s="86"/>
      <c r="AB503" s="86"/>
      <c r="AC503" s="86"/>
      <c r="AD503" s="86"/>
      <c r="AE503" s="86"/>
    </row>
    <row r="504" spans="1:31" ht="15.75" customHeight="1">
      <c r="A504" s="86"/>
      <c r="B504" s="86"/>
      <c r="C504" s="95"/>
      <c r="D504" s="85"/>
      <c r="E504" s="86"/>
      <c r="F504" s="86"/>
      <c r="G504" s="86"/>
      <c r="H504" s="86"/>
      <c r="I504" s="86"/>
      <c r="J504" s="86"/>
      <c r="K504" s="86"/>
      <c r="L504" s="86"/>
      <c r="M504" s="86"/>
      <c r="N504" s="86"/>
      <c r="O504" s="86"/>
      <c r="P504" s="86"/>
      <c r="Q504" s="86"/>
      <c r="R504" s="86"/>
      <c r="S504" s="86"/>
      <c r="T504" s="86"/>
      <c r="U504" s="86"/>
      <c r="V504" s="86"/>
      <c r="W504" s="86"/>
      <c r="X504" s="86"/>
      <c r="Y504" s="86"/>
      <c r="Z504" s="86"/>
      <c r="AA504" s="86"/>
      <c r="AB504" s="86"/>
      <c r="AC504" s="86"/>
      <c r="AD504" s="86"/>
      <c r="AE504" s="86"/>
    </row>
    <row r="505" spans="1:31" ht="15.75" customHeight="1">
      <c r="A505" s="86"/>
      <c r="B505" s="86"/>
      <c r="C505" s="95"/>
      <c r="D505" s="85"/>
      <c r="E505" s="86"/>
      <c r="F505" s="86"/>
      <c r="G505" s="86"/>
      <c r="H505" s="86"/>
      <c r="I505" s="86"/>
      <c r="J505" s="86"/>
      <c r="K505" s="86"/>
      <c r="L505" s="86"/>
      <c r="M505" s="86"/>
      <c r="N505" s="86"/>
      <c r="O505" s="86"/>
      <c r="P505" s="86"/>
      <c r="Q505" s="86"/>
      <c r="R505" s="86"/>
      <c r="S505" s="86"/>
      <c r="T505" s="86"/>
      <c r="U505" s="86"/>
      <c r="V505" s="86"/>
      <c r="W505" s="86"/>
      <c r="X505" s="86"/>
      <c r="Y505" s="86"/>
      <c r="Z505" s="86"/>
      <c r="AA505" s="86"/>
      <c r="AB505" s="86"/>
      <c r="AC505" s="86"/>
      <c r="AD505" s="86"/>
      <c r="AE505" s="86"/>
    </row>
    <row r="506" spans="1:31" ht="15.75" customHeight="1">
      <c r="A506" s="86"/>
      <c r="B506" s="86"/>
      <c r="C506" s="95"/>
      <c r="D506" s="85"/>
      <c r="E506" s="86"/>
      <c r="F506" s="86"/>
      <c r="G506" s="86"/>
      <c r="H506" s="86"/>
      <c r="I506" s="86"/>
      <c r="J506" s="86"/>
      <c r="K506" s="86"/>
      <c r="L506" s="86"/>
      <c r="M506" s="86"/>
      <c r="N506" s="86"/>
      <c r="O506" s="86"/>
      <c r="P506" s="86"/>
      <c r="Q506" s="86"/>
      <c r="R506" s="86"/>
      <c r="S506" s="86"/>
      <c r="T506" s="86"/>
      <c r="U506" s="86"/>
      <c r="V506" s="86"/>
      <c r="W506" s="86"/>
      <c r="X506" s="86"/>
      <c r="Y506" s="86"/>
      <c r="Z506" s="86"/>
      <c r="AA506" s="86"/>
      <c r="AB506" s="86"/>
      <c r="AC506" s="86"/>
      <c r="AD506" s="86"/>
      <c r="AE506" s="86"/>
    </row>
    <row r="507" spans="1:31" ht="15.75" customHeight="1">
      <c r="A507" s="86"/>
      <c r="B507" s="86"/>
      <c r="C507" s="95"/>
      <c r="D507" s="85"/>
      <c r="E507" s="86"/>
      <c r="F507" s="86"/>
      <c r="G507" s="86"/>
      <c r="H507" s="86"/>
      <c r="I507" s="86"/>
      <c r="J507" s="86"/>
      <c r="K507" s="86"/>
      <c r="L507" s="86"/>
      <c r="M507" s="86"/>
      <c r="N507" s="86"/>
      <c r="O507" s="86"/>
      <c r="P507" s="86"/>
      <c r="Q507" s="86"/>
      <c r="R507" s="86"/>
      <c r="S507" s="86"/>
      <c r="T507" s="86"/>
      <c r="U507" s="86"/>
      <c r="V507" s="86"/>
      <c r="W507" s="86"/>
      <c r="X507" s="86"/>
      <c r="Y507" s="86"/>
      <c r="Z507" s="86"/>
      <c r="AA507" s="86"/>
      <c r="AB507" s="86"/>
      <c r="AC507" s="86"/>
      <c r="AD507" s="86"/>
      <c r="AE507" s="86"/>
    </row>
    <row r="508" spans="1:31" ht="15.75" customHeight="1">
      <c r="A508" s="86"/>
      <c r="B508" s="86"/>
      <c r="C508" s="95"/>
      <c r="D508" s="85"/>
      <c r="E508" s="86"/>
      <c r="F508" s="86"/>
      <c r="G508" s="86"/>
      <c r="H508" s="86"/>
      <c r="I508" s="86"/>
      <c r="J508" s="86"/>
      <c r="K508" s="86"/>
      <c r="L508" s="86"/>
      <c r="M508" s="86"/>
      <c r="N508" s="86"/>
      <c r="O508" s="86"/>
      <c r="P508" s="86"/>
      <c r="Q508" s="86"/>
      <c r="R508" s="86"/>
      <c r="S508" s="86"/>
      <c r="T508" s="86"/>
      <c r="U508" s="86"/>
      <c r="V508" s="86"/>
      <c r="W508" s="86"/>
      <c r="X508" s="86"/>
      <c r="Y508" s="86"/>
      <c r="Z508" s="86"/>
      <c r="AA508" s="86"/>
      <c r="AB508" s="86"/>
      <c r="AC508" s="86"/>
      <c r="AD508" s="86"/>
      <c r="AE508" s="86"/>
    </row>
    <row r="509" spans="1:31" ht="15.75" customHeight="1">
      <c r="A509" s="86"/>
      <c r="B509" s="86"/>
      <c r="C509" s="95"/>
      <c r="D509" s="85"/>
      <c r="E509" s="86"/>
      <c r="F509" s="86"/>
      <c r="G509" s="86"/>
      <c r="H509" s="86"/>
      <c r="I509" s="86"/>
      <c r="J509" s="86"/>
      <c r="K509" s="86"/>
      <c r="L509" s="86"/>
      <c r="M509" s="86"/>
      <c r="N509" s="86"/>
      <c r="O509" s="86"/>
      <c r="P509" s="86"/>
      <c r="Q509" s="86"/>
      <c r="R509" s="86"/>
      <c r="S509" s="86"/>
      <c r="T509" s="86"/>
      <c r="U509" s="86"/>
      <c r="V509" s="86"/>
      <c r="W509" s="86"/>
      <c r="X509" s="86"/>
      <c r="Y509" s="86"/>
      <c r="Z509" s="86"/>
      <c r="AA509" s="86"/>
      <c r="AB509" s="86"/>
      <c r="AC509" s="86"/>
      <c r="AD509" s="86"/>
      <c r="AE509" s="86"/>
    </row>
    <row r="510" spans="1:31" ht="15.75" customHeight="1">
      <c r="A510" s="86"/>
      <c r="B510" s="86"/>
      <c r="C510" s="95"/>
      <c r="D510" s="85"/>
      <c r="E510" s="86"/>
      <c r="F510" s="86"/>
      <c r="G510" s="86"/>
      <c r="H510" s="86"/>
      <c r="I510" s="86"/>
      <c r="J510" s="86"/>
      <c r="K510" s="86"/>
      <c r="L510" s="86"/>
      <c r="M510" s="86"/>
      <c r="N510" s="86"/>
      <c r="O510" s="86"/>
      <c r="P510" s="86"/>
      <c r="Q510" s="86"/>
      <c r="R510" s="86"/>
      <c r="S510" s="86"/>
      <c r="T510" s="86"/>
      <c r="U510" s="86"/>
      <c r="V510" s="86"/>
      <c r="W510" s="86"/>
      <c r="X510" s="86"/>
      <c r="Y510" s="86"/>
      <c r="Z510" s="86"/>
      <c r="AA510" s="86"/>
      <c r="AB510" s="86"/>
      <c r="AC510" s="86"/>
      <c r="AD510" s="86"/>
      <c r="AE510" s="86"/>
    </row>
    <row r="511" spans="1:31" ht="15.75" customHeight="1">
      <c r="A511" s="86"/>
      <c r="B511" s="86"/>
      <c r="C511" s="95"/>
      <c r="D511" s="85"/>
      <c r="E511" s="86"/>
      <c r="F511" s="86"/>
      <c r="G511" s="86"/>
      <c r="H511" s="86"/>
      <c r="I511" s="86"/>
      <c r="J511" s="86"/>
      <c r="K511" s="86"/>
      <c r="L511" s="86"/>
      <c r="M511" s="86"/>
      <c r="N511" s="86"/>
      <c r="O511" s="86"/>
      <c r="P511" s="86"/>
      <c r="Q511" s="86"/>
      <c r="R511" s="86"/>
      <c r="S511" s="86"/>
      <c r="T511" s="86"/>
      <c r="U511" s="86"/>
      <c r="V511" s="86"/>
      <c r="W511" s="86"/>
      <c r="X511" s="86"/>
      <c r="Y511" s="86"/>
      <c r="Z511" s="86"/>
      <c r="AA511" s="86"/>
      <c r="AB511" s="86"/>
      <c r="AC511" s="86"/>
      <c r="AD511" s="86"/>
      <c r="AE511" s="86"/>
    </row>
    <row r="512" spans="1:31" ht="15.75" customHeight="1">
      <c r="A512" s="86"/>
      <c r="B512" s="86"/>
      <c r="C512" s="95"/>
      <c r="D512" s="85"/>
      <c r="E512" s="86"/>
      <c r="F512" s="86"/>
      <c r="G512" s="86"/>
      <c r="H512" s="86"/>
      <c r="I512" s="86"/>
      <c r="J512" s="86"/>
      <c r="K512" s="86"/>
      <c r="L512" s="86"/>
      <c r="M512" s="86"/>
      <c r="N512" s="86"/>
      <c r="O512" s="86"/>
      <c r="P512" s="86"/>
      <c r="Q512" s="86"/>
      <c r="R512" s="86"/>
      <c r="S512" s="86"/>
      <c r="T512" s="86"/>
      <c r="U512" s="86"/>
      <c r="V512" s="86"/>
      <c r="W512" s="86"/>
      <c r="X512" s="86"/>
      <c r="Y512" s="86"/>
      <c r="Z512" s="86"/>
      <c r="AA512" s="86"/>
      <c r="AB512" s="86"/>
      <c r="AC512" s="86"/>
      <c r="AD512" s="86"/>
      <c r="AE512" s="86"/>
    </row>
    <row r="513" spans="1:31" ht="15.75" customHeight="1">
      <c r="A513" s="86"/>
      <c r="B513" s="86"/>
      <c r="C513" s="95"/>
      <c r="D513" s="85"/>
      <c r="E513" s="86"/>
      <c r="F513" s="86"/>
      <c r="G513" s="86"/>
      <c r="H513" s="86"/>
      <c r="I513" s="86"/>
      <c r="J513" s="86"/>
      <c r="K513" s="86"/>
      <c r="L513" s="86"/>
      <c r="M513" s="86"/>
      <c r="N513" s="86"/>
      <c r="O513" s="86"/>
      <c r="P513" s="86"/>
      <c r="Q513" s="86"/>
      <c r="R513" s="86"/>
      <c r="S513" s="86"/>
      <c r="T513" s="86"/>
      <c r="U513" s="86"/>
      <c r="V513" s="86"/>
      <c r="W513" s="86"/>
      <c r="X513" s="86"/>
      <c r="Y513" s="86"/>
      <c r="Z513" s="86"/>
      <c r="AA513" s="86"/>
      <c r="AB513" s="86"/>
      <c r="AC513" s="86"/>
      <c r="AD513" s="86"/>
      <c r="AE513" s="86"/>
    </row>
    <row r="514" spans="1:31" ht="15.75" customHeight="1">
      <c r="A514" s="109"/>
      <c r="B514" s="109"/>
      <c r="C514" s="95"/>
      <c r="D514" s="85"/>
      <c r="E514" s="86"/>
      <c r="F514" s="86"/>
      <c r="G514" s="86"/>
      <c r="H514" s="86"/>
      <c r="I514" s="86"/>
      <c r="J514" s="86"/>
      <c r="K514" s="86"/>
      <c r="L514" s="86"/>
      <c r="M514" s="86"/>
      <c r="N514" s="86"/>
      <c r="O514" s="86"/>
      <c r="P514" s="86"/>
      <c r="Q514" s="86"/>
      <c r="R514" s="86"/>
      <c r="S514" s="86"/>
      <c r="T514" s="86"/>
      <c r="U514" s="86"/>
      <c r="V514" s="86"/>
      <c r="W514" s="86"/>
      <c r="X514" s="86"/>
      <c r="Y514" s="86"/>
      <c r="Z514" s="86"/>
      <c r="AA514" s="86"/>
      <c r="AB514" s="86"/>
      <c r="AC514" s="86"/>
      <c r="AD514" s="86"/>
      <c r="AE514" s="86"/>
    </row>
    <row r="515" spans="1:31" ht="15.75" customHeight="1">
      <c r="A515" s="86"/>
      <c r="B515" s="86"/>
      <c r="C515" s="95"/>
      <c r="D515" s="85"/>
      <c r="E515" s="86"/>
      <c r="F515" s="86"/>
      <c r="G515" s="86"/>
      <c r="H515" s="86"/>
      <c r="I515" s="86"/>
      <c r="J515" s="86"/>
      <c r="K515" s="86"/>
      <c r="L515" s="86"/>
      <c r="M515" s="86"/>
      <c r="N515" s="86"/>
      <c r="O515" s="86"/>
      <c r="P515" s="86"/>
      <c r="Q515" s="86"/>
      <c r="R515" s="86"/>
      <c r="S515" s="86"/>
      <c r="T515" s="86"/>
      <c r="U515" s="86"/>
      <c r="V515" s="86"/>
      <c r="W515" s="86"/>
      <c r="X515" s="86"/>
      <c r="Y515" s="86"/>
      <c r="Z515" s="86"/>
      <c r="AA515" s="86"/>
      <c r="AB515" s="86"/>
      <c r="AC515" s="86"/>
      <c r="AD515" s="86"/>
      <c r="AE515" s="86"/>
    </row>
    <row r="516" spans="1:31" ht="15.75" customHeight="1">
      <c r="A516" s="86"/>
      <c r="B516" s="86"/>
      <c r="C516" s="95"/>
      <c r="D516" s="85"/>
      <c r="E516" s="86"/>
      <c r="F516" s="86"/>
      <c r="G516" s="86"/>
      <c r="H516" s="86"/>
      <c r="I516" s="86"/>
      <c r="J516" s="86"/>
      <c r="K516" s="86"/>
      <c r="L516" s="86"/>
      <c r="M516" s="86"/>
      <c r="N516" s="86"/>
      <c r="O516" s="86"/>
      <c r="P516" s="86"/>
      <c r="Q516" s="86"/>
      <c r="R516" s="86"/>
      <c r="S516" s="86"/>
      <c r="T516" s="86"/>
      <c r="U516" s="86"/>
      <c r="V516" s="86"/>
      <c r="W516" s="86"/>
      <c r="X516" s="86"/>
      <c r="Y516" s="86"/>
      <c r="Z516" s="86"/>
      <c r="AA516" s="86"/>
      <c r="AB516" s="86"/>
      <c r="AC516" s="86"/>
      <c r="AD516" s="86"/>
      <c r="AE516" s="86"/>
    </row>
    <row r="517" spans="1:31" ht="15.75" customHeight="1">
      <c r="A517" s="86"/>
      <c r="B517" s="86"/>
      <c r="C517" s="95"/>
      <c r="D517" s="85"/>
      <c r="E517" s="86"/>
      <c r="F517" s="86"/>
      <c r="G517" s="86"/>
      <c r="H517" s="86"/>
      <c r="I517" s="86"/>
      <c r="J517" s="86"/>
      <c r="K517" s="86"/>
      <c r="L517" s="86"/>
      <c r="M517" s="86"/>
      <c r="N517" s="86"/>
      <c r="O517" s="86"/>
      <c r="P517" s="86"/>
      <c r="Q517" s="86"/>
      <c r="R517" s="86"/>
      <c r="S517" s="86"/>
      <c r="T517" s="86"/>
      <c r="U517" s="86"/>
      <c r="V517" s="86"/>
      <c r="W517" s="86"/>
      <c r="X517" s="86"/>
      <c r="Y517" s="86"/>
      <c r="Z517" s="86"/>
      <c r="AA517" s="86"/>
      <c r="AB517" s="86"/>
      <c r="AC517" s="86"/>
      <c r="AD517" s="86"/>
      <c r="AE517" s="86"/>
    </row>
    <row r="518" spans="1:31" ht="15.75" customHeight="1">
      <c r="A518" s="86"/>
      <c r="B518" s="86"/>
      <c r="C518" s="95"/>
      <c r="D518" s="85"/>
      <c r="E518" s="86"/>
      <c r="F518" s="86"/>
      <c r="G518" s="86"/>
      <c r="H518" s="86"/>
      <c r="I518" s="86"/>
      <c r="J518" s="86"/>
      <c r="K518" s="86"/>
      <c r="L518" s="86"/>
      <c r="M518" s="86"/>
      <c r="N518" s="86"/>
      <c r="O518" s="86"/>
      <c r="P518" s="86"/>
      <c r="Q518" s="86"/>
      <c r="R518" s="86"/>
      <c r="S518" s="86"/>
      <c r="T518" s="86"/>
      <c r="U518" s="86"/>
      <c r="V518" s="86"/>
      <c r="W518" s="86"/>
      <c r="X518" s="86"/>
      <c r="Y518" s="86"/>
      <c r="Z518" s="86"/>
      <c r="AA518" s="86"/>
      <c r="AB518" s="86"/>
      <c r="AC518" s="86"/>
      <c r="AD518" s="86"/>
      <c r="AE518" s="86"/>
    </row>
    <row r="519" spans="1:31" ht="15.75" customHeight="1">
      <c r="A519" s="86"/>
      <c r="B519" s="86"/>
      <c r="C519" s="95"/>
      <c r="D519" s="85"/>
      <c r="E519" s="86"/>
      <c r="F519" s="86"/>
      <c r="G519" s="86"/>
      <c r="H519" s="86"/>
      <c r="I519" s="86"/>
      <c r="J519" s="86"/>
      <c r="K519" s="86"/>
      <c r="L519" s="86"/>
      <c r="M519" s="86"/>
      <c r="N519" s="86"/>
      <c r="O519" s="86"/>
      <c r="P519" s="86"/>
      <c r="Q519" s="86"/>
      <c r="R519" s="86"/>
      <c r="S519" s="86"/>
      <c r="T519" s="86"/>
      <c r="U519" s="86"/>
      <c r="V519" s="86"/>
      <c r="W519" s="86"/>
      <c r="X519" s="86"/>
      <c r="Y519" s="86"/>
      <c r="Z519" s="86"/>
      <c r="AA519" s="86"/>
      <c r="AB519" s="86"/>
      <c r="AC519" s="86"/>
      <c r="AD519" s="86"/>
      <c r="AE519" s="86"/>
    </row>
    <row r="520" spans="1:31" ht="15.75" customHeight="1">
      <c r="A520" s="86"/>
      <c r="B520" s="86"/>
      <c r="C520" s="95"/>
      <c r="D520" s="85"/>
      <c r="E520" s="86"/>
      <c r="F520" s="86"/>
      <c r="G520" s="86"/>
      <c r="H520" s="86"/>
      <c r="I520" s="86"/>
      <c r="J520" s="86"/>
      <c r="K520" s="86"/>
      <c r="L520" s="86"/>
      <c r="M520" s="86"/>
      <c r="N520" s="86"/>
      <c r="O520" s="86"/>
      <c r="P520" s="86"/>
      <c r="Q520" s="86"/>
      <c r="R520" s="86"/>
      <c r="S520" s="86"/>
      <c r="T520" s="86"/>
      <c r="U520" s="86"/>
      <c r="V520" s="86"/>
      <c r="W520" s="86"/>
      <c r="X520" s="86"/>
      <c r="Y520" s="86"/>
      <c r="Z520" s="86"/>
      <c r="AA520" s="86"/>
      <c r="AB520" s="86"/>
      <c r="AC520" s="86"/>
      <c r="AD520" s="86"/>
      <c r="AE520" s="86"/>
    </row>
    <row r="521" spans="1:31" ht="15.75" customHeight="1">
      <c r="A521" s="86"/>
      <c r="B521" s="86"/>
      <c r="C521" s="95"/>
      <c r="D521" s="85"/>
      <c r="E521" s="86"/>
      <c r="F521" s="86"/>
      <c r="G521" s="86"/>
      <c r="H521" s="86"/>
      <c r="I521" s="86"/>
      <c r="J521" s="86"/>
      <c r="K521" s="86"/>
      <c r="L521" s="86"/>
      <c r="M521" s="86"/>
      <c r="N521" s="86"/>
      <c r="O521" s="86"/>
      <c r="P521" s="86"/>
      <c r="Q521" s="86"/>
      <c r="R521" s="86"/>
      <c r="S521" s="86"/>
      <c r="T521" s="86"/>
      <c r="U521" s="86"/>
      <c r="V521" s="86"/>
      <c r="W521" s="86"/>
      <c r="X521" s="86"/>
      <c r="Y521" s="86"/>
      <c r="Z521" s="86"/>
      <c r="AA521" s="86"/>
      <c r="AB521" s="86"/>
      <c r="AC521" s="86"/>
      <c r="AD521" s="86"/>
      <c r="AE521" s="86"/>
    </row>
    <row r="522" spans="1:31" ht="15.75" customHeight="1">
      <c r="A522" s="86"/>
      <c r="B522" s="86"/>
      <c r="C522" s="95"/>
      <c r="D522" s="85"/>
      <c r="E522" s="86"/>
      <c r="F522" s="86"/>
      <c r="G522" s="86"/>
      <c r="H522" s="86"/>
      <c r="I522" s="86"/>
      <c r="J522" s="86"/>
      <c r="K522" s="86"/>
      <c r="L522" s="86"/>
      <c r="M522" s="86"/>
      <c r="N522" s="86"/>
      <c r="O522" s="86"/>
      <c r="P522" s="86"/>
      <c r="Q522" s="86"/>
      <c r="R522" s="86"/>
      <c r="S522" s="86"/>
      <c r="T522" s="86"/>
      <c r="U522" s="86"/>
      <c r="V522" s="86"/>
      <c r="W522" s="86"/>
      <c r="X522" s="86"/>
      <c r="Y522" s="86"/>
      <c r="Z522" s="86"/>
      <c r="AA522" s="86"/>
      <c r="AB522" s="86"/>
      <c r="AC522" s="86"/>
      <c r="AD522" s="86"/>
      <c r="AE522" s="86"/>
    </row>
    <row r="523" spans="1:31" ht="15.75" customHeight="1">
      <c r="A523" s="86"/>
      <c r="B523" s="86"/>
      <c r="C523" s="95"/>
      <c r="D523" s="85"/>
      <c r="E523" s="86"/>
      <c r="F523" s="86"/>
      <c r="G523" s="86"/>
      <c r="H523" s="86"/>
      <c r="I523" s="86"/>
      <c r="J523" s="86"/>
      <c r="K523" s="86"/>
      <c r="L523" s="86"/>
      <c r="M523" s="86"/>
      <c r="N523" s="86"/>
      <c r="O523" s="86"/>
      <c r="P523" s="86"/>
      <c r="Q523" s="86"/>
      <c r="R523" s="86"/>
      <c r="S523" s="86"/>
      <c r="T523" s="86"/>
      <c r="U523" s="86"/>
      <c r="V523" s="86"/>
      <c r="W523" s="86"/>
      <c r="X523" s="86"/>
      <c r="Y523" s="86"/>
      <c r="Z523" s="86"/>
      <c r="AA523" s="86"/>
      <c r="AB523" s="86"/>
      <c r="AC523" s="86"/>
      <c r="AD523" s="86"/>
      <c r="AE523" s="86"/>
    </row>
    <row r="524" spans="1:31" ht="15.75" customHeight="1">
      <c r="A524" s="109"/>
      <c r="B524" s="109"/>
      <c r="C524" s="95"/>
      <c r="D524" s="85"/>
      <c r="E524" s="86"/>
      <c r="F524" s="86"/>
      <c r="G524" s="86"/>
      <c r="H524" s="86"/>
      <c r="I524" s="86"/>
      <c r="J524" s="86"/>
      <c r="K524" s="86"/>
      <c r="L524" s="86"/>
      <c r="M524" s="86"/>
      <c r="N524" s="86"/>
      <c r="O524" s="86"/>
      <c r="P524" s="86"/>
      <c r="Q524" s="86"/>
      <c r="R524" s="86"/>
      <c r="S524" s="86"/>
      <c r="T524" s="86"/>
      <c r="U524" s="86"/>
      <c r="V524" s="86"/>
      <c r="W524" s="86"/>
      <c r="X524" s="86"/>
      <c r="Y524" s="86"/>
      <c r="Z524" s="86"/>
      <c r="AA524" s="86"/>
      <c r="AB524" s="86"/>
      <c r="AC524" s="86"/>
      <c r="AD524" s="86"/>
      <c r="AE524" s="86"/>
    </row>
    <row r="525" spans="1:31" ht="15.75" customHeight="1">
      <c r="A525" s="86"/>
      <c r="B525" s="86"/>
      <c r="C525" s="95"/>
      <c r="D525" s="85"/>
      <c r="E525" s="86"/>
      <c r="F525" s="86"/>
      <c r="G525" s="86"/>
      <c r="H525" s="86"/>
      <c r="I525" s="86"/>
      <c r="J525" s="86"/>
      <c r="K525" s="86"/>
      <c r="L525" s="86"/>
      <c r="M525" s="86"/>
      <c r="N525" s="86"/>
      <c r="O525" s="86"/>
      <c r="P525" s="86"/>
      <c r="Q525" s="86"/>
      <c r="R525" s="86"/>
      <c r="S525" s="86"/>
      <c r="T525" s="86"/>
      <c r="U525" s="86"/>
      <c r="V525" s="86"/>
      <c r="W525" s="86"/>
      <c r="X525" s="86"/>
      <c r="Y525" s="86"/>
      <c r="Z525" s="86"/>
      <c r="AA525" s="86"/>
      <c r="AB525" s="86"/>
      <c r="AC525" s="86"/>
      <c r="AD525" s="86"/>
      <c r="AE525" s="86"/>
    </row>
    <row r="526" spans="1:31" ht="15.75" customHeight="1">
      <c r="A526" s="86"/>
      <c r="B526" s="86"/>
      <c r="C526" s="95"/>
      <c r="D526" s="85"/>
      <c r="E526" s="86"/>
      <c r="F526" s="86"/>
      <c r="G526" s="86"/>
      <c r="H526" s="86"/>
      <c r="I526" s="86"/>
      <c r="J526" s="86"/>
      <c r="K526" s="86"/>
      <c r="L526" s="86"/>
      <c r="M526" s="86"/>
      <c r="N526" s="86"/>
      <c r="O526" s="86"/>
      <c r="P526" s="86"/>
      <c r="Q526" s="86"/>
      <c r="R526" s="86"/>
      <c r="S526" s="86"/>
      <c r="T526" s="86"/>
      <c r="U526" s="86"/>
      <c r="V526" s="86"/>
      <c r="W526" s="86"/>
      <c r="X526" s="86"/>
      <c r="Y526" s="86"/>
      <c r="Z526" s="86"/>
      <c r="AA526" s="86"/>
      <c r="AB526" s="86"/>
      <c r="AC526" s="86"/>
      <c r="AD526" s="86"/>
      <c r="AE526" s="86"/>
    </row>
    <row r="527" spans="1:31" ht="15.75" customHeight="1">
      <c r="A527" s="86"/>
      <c r="B527" s="86"/>
      <c r="C527" s="95"/>
      <c r="D527" s="85"/>
      <c r="E527" s="86"/>
      <c r="F527" s="86"/>
      <c r="G527" s="86"/>
      <c r="H527" s="86"/>
      <c r="I527" s="86"/>
      <c r="J527" s="86"/>
      <c r="K527" s="86"/>
      <c r="L527" s="86"/>
      <c r="M527" s="86"/>
      <c r="N527" s="86"/>
      <c r="O527" s="86"/>
      <c r="P527" s="86"/>
      <c r="Q527" s="86"/>
      <c r="R527" s="86"/>
      <c r="S527" s="86"/>
      <c r="T527" s="86"/>
      <c r="U527" s="86"/>
      <c r="V527" s="86"/>
      <c r="W527" s="86"/>
      <c r="X527" s="86"/>
      <c r="Y527" s="86"/>
      <c r="Z527" s="86"/>
      <c r="AA527" s="86"/>
      <c r="AB527" s="86"/>
      <c r="AC527" s="86"/>
      <c r="AD527" s="86"/>
      <c r="AE527" s="86"/>
    </row>
    <row r="528" spans="1:31" ht="15.75" customHeight="1">
      <c r="A528" s="86"/>
      <c r="B528" s="86"/>
      <c r="C528" s="95"/>
      <c r="D528" s="85"/>
      <c r="E528" s="86"/>
      <c r="F528" s="86"/>
      <c r="G528" s="86"/>
      <c r="H528" s="86"/>
      <c r="I528" s="86"/>
      <c r="J528" s="86"/>
      <c r="K528" s="86"/>
      <c r="L528" s="86"/>
      <c r="M528" s="86"/>
      <c r="N528" s="86"/>
      <c r="O528" s="86"/>
      <c r="P528" s="86"/>
      <c r="Q528" s="86"/>
      <c r="R528" s="86"/>
      <c r="S528" s="86"/>
      <c r="T528" s="86"/>
      <c r="U528" s="86"/>
      <c r="V528" s="86"/>
      <c r="W528" s="86"/>
      <c r="X528" s="86"/>
      <c r="Y528" s="86"/>
      <c r="Z528" s="86"/>
      <c r="AA528" s="86"/>
      <c r="AB528" s="86"/>
      <c r="AC528" s="86"/>
      <c r="AD528" s="86"/>
      <c r="AE528" s="86"/>
    </row>
    <row r="529" spans="1:31" ht="15.75" customHeight="1">
      <c r="A529" s="86"/>
      <c r="B529" s="86"/>
      <c r="C529" s="95"/>
      <c r="D529" s="85"/>
      <c r="E529" s="86"/>
      <c r="F529" s="86"/>
      <c r="G529" s="86"/>
      <c r="H529" s="86"/>
      <c r="I529" s="86"/>
      <c r="J529" s="86"/>
      <c r="K529" s="86"/>
      <c r="L529" s="86"/>
      <c r="M529" s="86"/>
      <c r="N529" s="86"/>
      <c r="O529" s="86"/>
      <c r="P529" s="86"/>
      <c r="Q529" s="86"/>
      <c r="R529" s="86"/>
      <c r="S529" s="86"/>
      <c r="T529" s="86"/>
      <c r="U529" s="86"/>
      <c r="V529" s="86"/>
      <c r="W529" s="86"/>
      <c r="X529" s="86"/>
      <c r="Y529" s="86"/>
      <c r="Z529" s="86"/>
      <c r="AA529" s="86"/>
      <c r="AB529" s="86"/>
      <c r="AC529" s="86"/>
      <c r="AD529" s="86"/>
      <c r="AE529" s="86"/>
    </row>
    <row r="530" spans="1:31" ht="15.75" customHeight="1">
      <c r="A530" s="86"/>
      <c r="B530" s="86"/>
      <c r="C530" s="95"/>
      <c r="D530" s="85"/>
      <c r="E530" s="86"/>
      <c r="F530" s="86"/>
      <c r="G530" s="86"/>
      <c r="H530" s="86"/>
      <c r="I530" s="86"/>
      <c r="J530" s="86"/>
      <c r="K530" s="86"/>
      <c r="L530" s="86"/>
      <c r="M530" s="86"/>
      <c r="N530" s="86"/>
      <c r="O530" s="86"/>
      <c r="P530" s="86"/>
      <c r="Q530" s="86"/>
      <c r="R530" s="86"/>
      <c r="S530" s="86"/>
      <c r="T530" s="86"/>
      <c r="U530" s="86"/>
      <c r="V530" s="86"/>
      <c r="W530" s="86"/>
      <c r="X530" s="86"/>
      <c r="Y530" s="86"/>
      <c r="Z530" s="86"/>
      <c r="AA530" s="86"/>
      <c r="AB530" s="86"/>
      <c r="AC530" s="86"/>
      <c r="AD530" s="86"/>
      <c r="AE530" s="86"/>
    </row>
    <row r="531" spans="1:31" ht="15.75" customHeight="1">
      <c r="A531" s="86"/>
      <c r="B531" s="86"/>
      <c r="C531" s="95"/>
      <c r="D531" s="85"/>
      <c r="E531" s="86"/>
      <c r="F531" s="86"/>
      <c r="G531" s="86"/>
      <c r="H531" s="86"/>
      <c r="I531" s="86"/>
      <c r="J531" s="86"/>
      <c r="K531" s="86"/>
      <c r="L531" s="86"/>
      <c r="M531" s="86"/>
      <c r="N531" s="86"/>
      <c r="O531" s="86"/>
      <c r="P531" s="86"/>
      <c r="Q531" s="86"/>
      <c r="R531" s="86"/>
      <c r="S531" s="86"/>
      <c r="T531" s="86"/>
      <c r="U531" s="86"/>
      <c r="V531" s="86"/>
      <c r="W531" s="86"/>
      <c r="X531" s="86"/>
      <c r="Y531" s="86"/>
      <c r="Z531" s="86"/>
      <c r="AA531" s="86"/>
      <c r="AB531" s="86"/>
      <c r="AC531" s="86"/>
      <c r="AD531" s="86"/>
      <c r="AE531" s="86"/>
    </row>
    <row r="532" spans="1:31" ht="15.75" customHeight="1">
      <c r="A532" s="86"/>
      <c r="B532" s="86"/>
      <c r="C532" s="95"/>
      <c r="D532" s="85"/>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row>
    <row r="533" spans="1:31" ht="15.75" customHeight="1">
      <c r="A533" s="86"/>
      <c r="B533" s="86"/>
      <c r="C533" s="95"/>
      <c r="D533" s="85"/>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row>
    <row r="534" spans="1:31" ht="15.75" customHeight="1">
      <c r="A534" s="86"/>
      <c r="B534" s="86"/>
      <c r="C534" s="95"/>
      <c r="D534" s="85"/>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row>
    <row r="535" spans="1:31" ht="15.75" customHeight="1">
      <c r="A535" s="86"/>
      <c r="B535" s="86"/>
      <c r="C535" s="95"/>
      <c r="D535" s="85"/>
      <c r="E535" s="86"/>
      <c r="F535" s="86"/>
      <c r="G535" s="86"/>
      <c r="H535" s="86"/>
      <c r="I535" s="86"/>
      <c r="J535" s="86"/>
      <c r="K535" s="86"/>
      <c r="L535" s="86"/>
      <c r="M535" s="86"/>
      <c r="N535" s="86"/>
      <c r="O535" s="86"/>
      <c r="P535" s="86"/>
      <c r="Q535" s="86"/>
      <c r="R535" s="86"/>
      <c r="S535" s="86"/>
      <c r="T535" s="86"/>
      <c r="U535" s="86"/>
      <c r="V535" s="86"/>
      <c r="W535" s="86"/>
      <c r="X535" s="86"/>
      <c r="Y535" s="86"/>
      <c r="Z535" s="86"/>
      <c r="AA535" s="86"/>
      <c r="AB535" s="86"/>
      <c r="AC535" s="86"/>
      <c r="AD535" s="86"/>
      <c r="AE535" s="86"/>
    </row>
    <row r="536" spans="1:31" ht="15.75" customHeight="1">
      <c r="A536" s="86"/>
      <c r="B536" s="86"/>
      <c r="C536" s="95"/>
      <c r="D536" s="85"/>
      <c r="E536" s="86"/>
      <c r="F536" s="86"/>
      <c r="G536" s="86"/>
      <c r="H536" s="86"/>
      <c r="I536" s="86"/>
      <c r="J536" s="86"/>
      <c r="K536" s="86"/>
      <c r="L536" s="86"/>
      <c r="M536" s="86"/>
      <c r="N536" s="86"/>
      <c r="O536" s="86"/>
      <c r="P536" s="86"/>
      <c r="Q536" s="86"/>
      <c r="R536" s="86"/>
      <c r="S536" s="86"/>
      <c r="T536" s="86"/>
      <c r="U536" s="86"/>
      <c r="V536" s="86"/>
      <c r="W536" s="86"/>
      <c r="X536" s="86"/>
      <c r="Y536" s="86"/>
      <c r="Z536" s="86"/>
      <c r="AA536" s="86"/>
      <c r="AB536" s="86"/>
      <c r="AC536" s="86"/>
      <c r="AD536" s="86"/>
      <c r="AE536" s="86"/>
    </row>
    <row r="537" spans="1:31" ht="15.75" customHeight="1">
      <c r="A537" s="86"/>
      <c r="B537" s="86"/>
      <c r="C537" s="95"/>
      <c r="D537" s="85"/>
      <c r="E537" s="86"/>
      <c r="F537" s="86"/>
      <c r="G537" s="86"/>
      <c r="H537" s="86"/>
      <c r="I537" s="86"/>
      <c r="J537" s="86"/>
      <c r="K537" s="86"/>
      <c r="L537" s="86"/>
      <c r="M537" s="86"/>
      <c r="N537" s="86"/>
      <c r="O537" s="86"/>
      <c r="P537" s="86"/>
      <c r="Q537" s="86"/>
      <c r="R537" s="86"/>
      <c r="S537" s="86"/>
      <c r="T537" s="86"/>
      <c r="U537" s="86"/>
      <c r="V537" s="86"/>
      <c r="W537" s="86"/>
      <c r="X537" s="86"/>
      <c r="Y537" s="86"/>
      <c r="Z537" s="86"/>
      <c r="AA537" s="86"/>
      <c r="AB537" s="86"/>
      <c r="AC537" s="86"/>
      <c r="AD537" s="86"/>
      <c r="AE537" s="86"/>
    </row>
    <row r="538" spans="1:31" ht="15.75" customHeight="1">
      <c r="A538" s="86"/>
      <c r="B538" s="86"/>
      <c r="C538" s="95"/>
      <c r="D538" s="85"/>
      <c r="E538" s="86"/>
      <c r="F538" s="86"/>
      <c r="G538" s="86"/>
      <c r="H538" s="86"/>
      <c r="I538" s="86"/>
      <c r="J538" s="86"/>
      <c r="K538" s="86"/>
      <c r="L538" s="86"/>
      <c r="M538" s="86"/>
      <c r="N538" s="86"/>
      <c r="O538" s="86"/>
      <c r="P538" s="86"/>
      <c r="Q538" s="86"/>
      <c r="R538" s="86"/>
      <c r="S538" s="86"/>
      <c r="T538" s="86"/>
      <c r="U538" s="86"/>
      <c r="V538" s="86"/>
      <c r="W538" s="86"/>
      <c r="X538" s="86"/>
      <c r="Y538" s="86"/>
      <c r="Z538" s="86"/>
      <c r="AA538" s="86"/>
      <c r="AB538" s="86"/>
      <c r="AC538" s="86"/>
      <c r="AD538" s="86"/>
      <c r="AE538" s="86"/>
    </row>
    <row r="539" spans="1:31" ht="15.75" customHeight="1">
      <c r="A539" s="86"/>
      <c r="B539" s="86"/>
      <c r="C539" s="95"/>
      <c r="D539" s="85"/>
      <c r="E539" s="86"/>
      <c r="F539" s="86"/>
      <c r="G539" s="86"/>
      <c r="H539" s="86"/>
      <c r="I539" s="86"/>
      <c r="J539" s="86"/>
      <c r="K539" s="86"/>
      <c r="L539" s="86"/>
      <c r="M539" s="86"/>
      <c r="N539" s="86"/>
      <c r="O539" s="86"/>
      <c r="P539" s="86"/>
      <c r="Q539" s="86"/>
      <c r="R539" s="86"/>
      <c r="S539" s="86"/>
      <c r="T539" s="86"/>
      <c r="U539" s="86"/>
      <c r="V539" s="86"/>
      <c r="W539" s="86"/>
      <c r="X539" s="86"/>
      <c r="Y539" s="86"/>
      <c r="Z539" s="86"/>
      <c r="AA539" s="86"/>
      <c r="AB539" s="86"/>
      <c r="AC539" s="86"/>
      <c r="AD539" s="86"/>
      <c r="AE539" s="86"/>
    </row>
    <row r="540" spans="1:31" ht="15.75" customHeight="1">
      <c r="A540" s="86"/>
      <c r="B540" s="86"/>
      <c r="C540" s="95"/>
      <c r="D540" s="85"/>
      <c r="E540" s="86"/>
      <c r="F540" s="86"/>
      <c r="G540" s="86"/>
      <c r="H540" s="86"/>
      <c r="I540" s="86"/>
      <c r="J540" s="86"/>
      <c r="K540" s="86"/>
      <c r="L540" s="86"/>
      <c r="M540" s="86"/>
      <c r="N540" s="86"/>
      <c r="O540" s="86"/>
      <c r="P540" s="86"/>
      <c r="Q540" s="86"/>
      <c r="R540" s="86"/>
      <c r="S540" s="86"/>
      <c r="T540" s="86"/>
      <c r="U540" s="86"/>
      <c r="V540" s="86"/>
      <c r="W540" s="86"/>
      <c r="X540" s="86"/>
      <c r="Y540" s="86"/>
      <c r="Z540" s="86"/>
      <c r="AA540" s="86"/>
      <c r="AB540" s="86"/>
      <c r="AC540" s="86"/>
      <c r="AD540" s="86"/>
      <c r="AE540" s="86"/>
    </row>
    <row r="541" spans="1:31" ht="15.75" customHeight="1">
      <c r="A541" s="86"/>
      <c r="B541" s="86"/>
      <c r="C541" s="95"/>
      <c r="D541" s="85"/>
      <c r="E541" s="86"/>
      <c r="F541" s="86"/>
      <c r="G541" s="86"/>
      <c r="H541" s="86"/>
      <c r="I541" s="86"/>
      <c r="J541" s="86"/>
      <c r="K541" s="86"/>
      <c r="L541" s="86"/>
      <c r="M541" s="86"/>
      <c r="N541" s="86"/>
      <c r="O541" s="86"/>
      <c r="P541" s="86"/>
      <c r="Q541" s="86"/>
      <c r="R541" s="86"/>
      <c r="S541" s="86"/>
      <c r="T541" s="86"/>
      <c r="U541" s="86"/>
      <c r="V541" s="86"/>
      <c r="W541" s="86"/>
      <c r="X541" s="86"/>
      <c r="Y541" s="86"/>
      <c r="Z541" s="86"/>
      <c r="AA541" s="86"/>
      <c r="AB541" s="86"/>
      <c r="AC541" s="86"/>
      <c r="AD541" s="86"/>
      <c r="AE541" s="86"/>
    </row>
    <row r="542" spans="1:31" ht="15.75" customHeight="1">
      <c r="A542" s="86"/>
      <c r="B542" s="86"/>
      <c r="C542" s="95"/>
      <c r="D542" s="85"/>
      <c r="E542" s="86"/>
      <c r="F542" s="86"/>
      <c r="G542" s="86"/>
      <c r="H542" s="86"/>
      <c r="I542" s="86"/>
      <c r="J542" s="86"/>
      <c r="K542" s="86"/>
      <c r="L542" s="86"/>
      <c r="M542" s="86"/>
      <c r="N542" s="86"/>
      <c r="O542" s="86"/>
      <c r="P542" s="86"/>
      <c r="Q542" s="86"/>
      <c r="R542" s="86"/>
      <c r="S542" s="86"/>
      <c r="T542" s="86"/>
      <c r="U542" s="86"/>
      <c r="V542" s="86"/>
      <c r="W542" s="86"/>
      <c r="X542" s="86"/>
      <c r="Y542" s="86"/>
      <c r="Z542" s="86"/>
      <c r="AA542" s="86"/>
      <c r="AB542" s="86"/>
      <c r="AC542" s="86"/>
      <c r="AD542" s="86"/>
      <c r="AE542" s="86"/>
    </row>
    <row r="543" spans="1:31" ht="15.75" customHeight="1">
      <c r="A543" s="86"/>
      <c r="B543" s="86"/>
      <c r="C543" s="95"/>
      <c r="D543" s="85"/>
      <c r="E543" s="86"/>
      <c r="F543" s="86"/>
      <c r="G543" s="86"/>
      <c r="H543" s="86"/>
      <c r="I543" s="86"/>
      <c r="J543" s="86"/>
      <c r="K543" s="86"/>
      <c r="L543" s="86"/>
      <c r="M543" s="86"/>
      <c r="N543" s="86"/>
      <c r="O543" s="86"/>
      <c r="P543" s="86"/>
      <c r="Q543" s="86"/>
      <c r="R543" s="86"/>
      <c r="S543" s="86"/>
      <c r="T543" s="86"/>
      <c r="U543" s="86"/>
      <c r="V543" s="86"/>
      <c r="W543" s="86"/>
      <c r="X543" s="86"/>
      <c r="Y543" s="86"/>
      <c r="Z543" s="86"/>
      <c r="AA543" s="86"/>
      <c r="AB543" s="86"/>
      <c r="AC543" s="86"/>
      <c r="AD543" s="86"/>
      <c r="AE543" s="86"/>
    </row>
    <row r="544" spans="1:31" ht="15.75" customHeight="1">
      <c r="A544" s="86"/>
      <c r="B544" s="86"/>
      <c r="C544" s="95"/>
      <c r="D544" s="85"/>
      <c r="E544" s="86"/>
      <c r="F544" s="86"/>
      <c r="G544" s="86"/>
      <c r="H544" s="86"/>
      <c r="I544" s="86"/>
      <c r="J544" s="86"/>
      <c r="K544" s="86"/>
      <c r="L544" s="86"/>
      <c r="M544" s="86"/>
      <c r="N544" s="86"/>
      <c r="O544" s="86"/>
      <c r="P544" s="86"/>
      <c r="Q544" s="86"/>
      <c r="R544" s="86"/>
      <c r="S544" s="86"/>
      <c r="T544" s="86"/>
      <c r="U544" s="86"/>
      <c r="V544" s="86"/>
      <c r="W544" s="86"/>
      <c r="X544" s="86"/>
      <c r="Y544" s="86"/>
      <c r="Z544" s="86"/>
      <c r="AA544" s="86"/>
      <c r="AB544" s="86"/>
      <c r="AC544" s="86"/>
      <c r="AD544" s="86"/>
      <c r="AE544" s="86"/>
    </row>
    <row r="545" spans="1:31" ht="15.75" customHeight="1">
      <c r="A545" s="86"/>
      <c r="B545" s="86"/>
      <c r="C545" s="95"/>
      <c r="D545" s="85"/>
      <c r="E545" s="86"/>
      <c r="F545" s="86"/>
      <c r="G545" s="86"/>
      <c r="H545" s="86"/>
      <c r="I545" s="86"/>
      <c r="J545" s="86"/>
      <c r="K545" s="86"/>
      <c r="L545" s="86"/>
      <c r="M545" s="86"/>
      <c r="N545" s="86"/>
      <c r="O545" s="86"/>
      <c r="P545" s="86"/>
      <c r="Q545" s="86"/>
      <c r="R545" s="86"/>
      <c r="S545" s="86"/>
      <c r="T545" s="86"/>
      <c r="U545" s="86"/>
      <c r="V545" s="86"/>
      <c r="W545" s="86"/>
      <c r="X545" s="86"/>
      <c r="Y545" s="86"/>
      <c r="Z545" s="86"/>
      <c r="AA545" s="86"/>
      <c r="AB545" s="86"/>
      <c r="AC545" s="86"/>
      <c r="AD545" s="86"/>
      <c r="AE545" s="86"/>
    </row>
    <row r="546" spans="1:31" ht="15.75" customHeight="1">
      <c r="A546" s="86"/>
      <c r="B546" s="86"/>
      <c r="C546" s="95"/>
      <c r="D546" s="85"/>
      <c r="E546" s="86"/>
      <c r="F546" s="86"/>
      <c r="G546" s="86"/>
      <c r="H546" s="86"/>
      <c r="I546" s="86"/>
      <c r="J546" s="86"/>
      <c r="K546" s="86"/>
      <c r="L546" s="86"/>
      <c r="M546" s="86"/>
      <c r="N546" s="86"/>
      <c r="O546" s="86"/>
      <c r="P546" s="86"/>
      <c r="Q546" s="86"/>
      <c r="R546" s="86"/>
      <c r="S546" s="86"/>
      <c r="T546" s="86"/>
      <c r="U546" s="86"/>
      <c r="V546" s="86"/>
      <c r="W546" s="86"/>
      <c r="X546" s="86"/>
      <c r="Y546" s="86"/>
      <c r="Z546" s="86"/>
      <c r="AA546" s="86"/>
      <c r="AB546" s="86"/>
      <c r="AC546" s="86"/>
      <c r="AD546" s="86"/>
      <c r="AE546" s="86"/>
    </row>
    <row r="547" spans="1:31" ht="15.75" customHeight="1">
      <c r="A547" s="86"/>
      <c r="B547" s="86"/>
      <c r="C547" s="95"/>
      <c r="D547" s="85"/>
      <c r="E547" s="86"/>
      <c r="F547" s="86"/>
      <c r="G547" s="86"/>
      <c r="H547" s="86"/>
      <c r="I547" s="86"/>
      <c r="J547" s="86"/>
      <c r="K547" s="86"/>
      <c r="L547" s="86"/>
      <c r="M547" s="86"/>
      <c r="N547" s="86"/>
      <c r="O547" s="86"/>
      <c r="P547" s="86"/>
      <c r="Q547" s="86"/>
      <c r="R547" s="86"/>
      <c r="S547" s="86"/>
      <c r="T547" s="86"/>
      <c r="U547" s="86"/>
      <c r="V547" s="86"/>
      <c r="W547" s="86"/>
      <c r="X547" s="86"/>
      <c r="Y547" s="86"/>
      <c r="Z547" s="86"/>
      <c r="AA547" s="86"/>
      <c r="AB547" s="86"/>
      <c r="AC547" s="86"/>
      <c r="AD547" s="86"/>
      <c r="AE547" s="86"/>
    </row>
    <row r="548" spans="1:31" ht="15.75" customHeight="1">
      <c r="A548" s="86"/>
      <c r="B548" s="86"/>
      <c r="C548" s="95"/>
      <c r="D548" s="85"/>
      <c r="E548" s="86"/>
      <c r="F548" s="86"/>
      <c r="G548" s="86"/>
      <c r="H548" s="86"/>
      <c r="I548" s="86"/>
      <c r="J548" s="86"/>
      <c r="K548" s="86"/>
      <c r="L548" s="86"/>
      <c r="M548" s="86"/>
      <c r="N548" s="86"/>
      <c r="O548" s="86"/>
      <c r="P548" s="86"/>
      <c r="Q548" s="86"/>
      <c r="R548" s="86"/>
      <c r="S548" s="86"/>
      <c r="T548" s="86"/>
      <c r="U548" s="86"/>
      <c r="V548" s="86"/>
      <c r="W548" s="86"/>
      <c r="X548" s="86"/>
      <c r="Y548" s="86"/>
      <c r="Z548" s="86"/>
      <c r="AA548" s="86"/>
      <c r="AB548" s="86"/>
      <c r="AC548" s="86"/>
      <c r="AD548" s="86"/>
      <c r="AE548" s="86"/>
    </row>
    <row r="549" spans="1:31" ht="15.75" customHeight="1">
      <c r="A549" s="86"/>
      <c r="B549" s="86"/>
      <c r="C549" s="95"/>
      <c r="D549" s="85"/>
      <c r="E549" s="86"/>
      <c r="F549" s="86"/>
      <c r="G549" s="86"/>
      <c r="H549" s="86"/>
      <c r="I549" s="86"/>
      <c r="J549" s="86"/>
      <c r="K549" s="86"/>
      <c r="L549" s="86"/>
      <c r="M549" s="86"/>
      <c r="N549" s="86"/>
      <c r="O549" s="86"/>
      <c r="P549" s="86"/>
      <c r="Q549" s="86"/>
      <c r="R549" s="86"/>
      <c r="S549" s="86"/>
      <c r="T549" s="86"/>
      <c r="U549" s="86"/>
      <c r="V549" s="86"/>
      <c r="W549" s="86"/>
      <c r="X549" s="86"/>
      <c r="Y549" s="86"/>
      <c r="Z549" s="86"/>
      <c r="AA549" s="86"/>
      <c r="AB549" s="86"/>
      <c r="AC549" s="86"/>
      <c r="AD549" s="86"/>
      <c r="AE549" s="86"/>
    </row>
    <row r="550" spans="1:31" ht="15.75" customHeight="1">
      <c r="A550" s="86"/>
      <c r="B550" s="86"/>
      <c r="C550" s="95"/>
      <c r="D550" s="85"/>
      <c r="E550" s="86"/>
      <c r="F550" s="86"/>
      <c r="G550" s="86"/>
      <c r="H550" s="86"/>
      <c r="I550" s="86"/>
      <c r="J550" s="86"/>
      <c r="K550" s="86"/>
      <c r="L550" s="86"/>
      <c r="M550" s="86"/>
      <c r="N550" s="86"/>
      <c r="O550" s="86"/>
      <c r="P550" s="86"/>
      <c r="Q550" s="86"/>
      <c r="R550" s="86"/>
      <c r="S550" s="86"/>
      <c r="T550" s="86"/>
      <c r="U550" s="86"/>
      <c r="V550" s="86"/>
      <c r="W550" s="86"/>
      <c r="X550" s="86"/>
      <c r="Y550" s="86"/>
      <c r="Z550" s="86"/>
      <c r="AA550" s="86"/>
      <c r="AB550" s="86"/>
      <c r="AC550" s="86"/>
      <c r="AD550" s="86"/>
      <c r="AE550" s="86"/>
    </row>
    <row r="551" spans="1:31" ht="15.75" customHeight="1">
      <c r="A551" s="86"/>
      <c r="B551" s="86"/>
      <c r="C551" s="95"/>
      <c r="D551" s="85"/>
      <c r="E551" s="86"/>
      <c r="F551" s="86"/>
      <c r="G551" s="86"/>
      <c r="H551" s="86"/>
      <c r="I551" s="86"/>
      <c r="J551" s="86"/>
      <c r="K551" s="86"/>
      <c r="L551" s="86"/>
      <c r="M551" s="86"/>
      <c r="N551" s="86"/>
      <c r="O551" s="86"/>
      <c r="P551" s="86"/>
      <c r="Q551" s="86"/>
      <c r="R551" s="86"/>
      <c r="S551" s="86"/>
      <c r="T551" s="86"/>
      <c r="U551" s="86"/>
      <c r="V551" s="86"/>
      <c r="W551" s="86"/>
      <c r="X551" s="86"/>
      <c r="Y551" s="86"/>
      <c r="Z551" s="86"/>
      <c r="AA551" s="86"/>
      <c r="AB551" s="86"/>
      <c r="AC551" s="86"/>
      <c r="AD551" s="86"/>
      <c r="AE551" s="86"/>
    </row>
    <row r="552" spans="1:31" ht="15.75" customHeight="1">
      <c r="A552" s="86"/>
      <c r="B552" s="86"/>
      <c r="C552" s="95"/>
      <c r="D552" s="85"/>
      <c r="E552" s="86"/>
      <c r="F552" s="86"/>
      <c r="G552" s="86"/>
      <c r="H552" s="86"/>
      <c r="I552" s="86"/>
      <c r="J552" s="86"/>
      <c r="K552" s="86"/>
      <c r="L552" s="86"/>
      <c r="M552" s="86"/>
      <c r="N552" s="86"/>
      <c r="O552" s="86"/>
      <c r="P552" s="86"/>
      <c r="Q552" s="86"/>
      <c r="R552" s="86"/>
      <c r="S552" s="86"/>
      <c r="T552" s="86"/>
      <c r="U552" s="86"/>
      <c r="V552" s="86"/>
      <c r="W552" s="86"/>
      <c r="X552" s="86"/>
      <c r="Y552" s="86"/>
      <c r="Z552" s="86"/>
      <c r="AA552" s="86"/>
      <c r="AB552" s="86"/>
      <c r="AC552" s="86"/>
      <c r="AD552" s="86"/>
      <c r="AE552" s="86"/>
    </row>
    <row r="553" spans="1:31" ht="15.75" customHeight="1">
      <c r="A553" s="86"/>
      <c r="B553" s="86"/>
      <c r="C553" s="95"/>
      <c r="D553" s="85"/>
      <c r="E553" s="86"/>
      <c r="F553" s="86"/>
      <c r="G553" s="86"/>
      <c r="H553" s="86"/>
      <c r="I553" s="86"/>
      <c r="J553" s="86"/>
      <c r="K553" s="86"/>
      <c r="L553" s="86"/>
      <c r="M553" s="86"/>
      <c r="N553" s="86"/>
      <c r="O553" s="86"/>
      <c r="P553" s="86"/>
      <c r="Q553" s="86"/>
      <c r="R553" s="86"/>
      <c r="S553" s="86"/>
      <c r="T553" s="86"/>
      <c r="U553" s="86"/>
      <c r="V553" s="86"/>
      <c r="W553" s="86"/>
      <c r="X553" s="86"/>
      <c r="Y553" s="86"/>
      <c r="Z553" s="86"/>
      <c r="AA553" s="86"/>
      <c r="AB553" s="86"/>
      <c r="AC553" s="86"/>
      <c r="AD553" s="86"/>
      <c r="AE553" s="86"/>
    </row>
    <row r="554" spans="1:31" ht="15.75" customHeight="1">
      <c r="A554" s="86"/>
      <c r="B554" s="86"/>
      <c r="C554" s="95"/>
      <c r="D554" s="85"/>
      <c r="E554" s="86"/>
      <c r="F554" s="86"/>
      <c r="G554" s="86"/>
      <c r="H554" s="86"/>
      <c r="I554" s="86"/>
      <c r="J554" s="86"/>
      <c r="K554" s="86"/>
      <c r="L554" s="86"/>
      <c r="M554" s="86"/>
      <c r="N554" s="86"/>
      <c r="O554" s="86"/>
      <c r="P554" s="86"/>
      <c r="Q554" s="86"/>
      <c r="R554" s="86"/>
      <c r="S554" s="86"/>
      <c r="T554" s="86"/>
      <c r="U554" s="86"/>
      <c r="V554" s="86"/>
      <c r="W554" s="86"/>
      <c r="X554" s="86"/>
      <c r="Y554" s="86"/>
      <c r="Z554" s="86"/>
      <c r="AA554" s="86"/>
      <c r="AB554" s="86"/>
      <c r="AC554" s="86"/>
      <c r="AD554" s="86"/>
      <c r="AE554" s="86"/>
    </row>
    <row r="555" spans="1:31" ht="15.75" customHeight="1">
      <c r="A555" s="86"/>
      <c r="B555" s="86"/>
      <c r="C555" s="95"/>
      <c r="D555" s="85"/>
      <c r="E555" s="86"/>
      <c r="F555" s="86"/>
      <c r="G555" s="86"/>
      <c r="H555" s="86"/>
      <c r="I555" s="86"/>
      <c r="J555" s="86"/>
      <c r="K555" s="86"/>
      <c r="L555" s="86"/>
      <c r="M555" s="86"/>
      <c r="N555" s="86"/>
      <c r="O555" s="86"/>
      <c r="P555" s="86"/>
      <c r="Q555" s="86"/>
      <c r="R555" s="86"/>
      <c r="S555" s="86"/>
      <c r="T555" s="86"/>
      <c r="U555" s="86"/>
      <c r="V555" s="86"/>
      <c r="W555" s="86"/>
      <c r="X555" s="86"/>
      <c r="Y555" s="86"/>
      <c r="Z555" s="86"/>
      <c r="AA555" s="86"/>
      <c r="AB555" s="86"/>
      <c r="AC555" s="86"/>
      <c r="AD555" s="86"/>
      <c r="AE555" s="86"/>
    </row>
    <row r="556" spans="1:31" ht="15.75" customHeight="1">
      <c r="A556" s="86"/>
      <c r="B556" s="86"/>
      <c r="C556" s="95"/>
      <c r="D556" s="85"/>
      <c r="E556" s="86"/>
      <c r="F556" s="86"/>
      <c r="G556" s="86"/>
      <c r="H556" s="86"/>
      <c r="I556" s="86"/>
      <c r="J556" s="86"/>
      <c r="K556" s="86"/>
      <c r="L556" s="86"/>
      <c r="M556" s="86"/>
      <c r="N556" s="86"/>
      <c r="O556" s="86"/>
      <c r="P556" s="86"/>
      <c r="Q556" s="86"/>
      <c r="R556" s="86"/>
      <c r="S556" s="86"/>
      <c r="T556" s="86"/>
      <c r="U556" s="86"/>
      <c r="V556" s="86"/>
      <c r="W556" s="86"/>
      <c r="X556" s="86"/>
      <c r="Y556" s="86"/>
      <c r="Z556" s="86"/>
      <c r="AA556" s="86"/>
      <c r="AB556" s="86"/>
      <c r="AC556" s="86"/>
      <c r="AD556" s="86"/>
      <c r="AE556" s="86"/>
    </row>
    <row r="557" spans="1:31" ht="15.75" customHeight="1">
      <c r="A557" s="86"/>
      <c r="B557" s="86"/>
      <c r="C557" s="95"/>
      <c r="D557" s="85"/>
      <c r="E557" s="86"/>
      <c r="F557" s="86"/>
      <c r="G557" s="86"/>
      <c r="H557" s="86"/>
      <c r="I557" s="86"/>
      <c r="J557" s="86"/>
      <c r="K557" s="86"/>
      <c r="L557" s="86"/>
      <c r="M557" s="86"/>
      <c r="N557" s="86"/>
      <c r="O557" s="86"/>
      <c r="P557" s="86"/>
      <c r="Q557" s="86"/>
      <c r="R557" s="86"/>
      <c r="S557" s="86"/>
      <c r="T557" s="86"/>
      <c r="U557" s="86"/>
      <c r="V557" s="86"/>
      <c r="W557" s="86"/>
      <c r="X557" s="86"/>
      <c r="Y557" s="86"/>
      <c r="Z557" s="86"/>
      <c r="AA557" s="86"/>
      <c r="AB557" s="86"/>
      <c r="AC557" s="86"/>
      <c r="AD557" s="86"/>
      <c r="AE557" s="86"/>
    </row>
    <row r="558" spans="1:31" ht="15.75" customHeight="1">
      <c r="A558" s="86"/>
      <c r="B558" s="86"/>
      <c r="C558" s="95"/>
      <c r="D558" s="85"/>
      <c r="E558" s="86"/>
      <c r="F558" s="86"/>
      <c r="G558" s="86"/>
      <c r="H558" s="86"/>
      <c r="I558" s="86"/>
      <c r="J558" s="86"/>
      <c r="K558" s="86"/>
      <c r="L558" s="86"/>
      <c r="M558" s="86"/>
      <c r="N558" s="86"/>
      <c r="O558" s="86"/>
      <c r="P558" s="86"/>
      <c r="Q558" s="86"/>
      <c r="R558" s="86"/>
      <c r="S558" s="86"/>
      <c r="T558" s="86"/>
      <c r="U558" s="86"/>
      <c r="V558" s="86"/>
      <c r="W558" s="86"/>
      <c r="X558" s="86"/>
      <c r="Y558" s="86"/>
      <c r="Z558" s="86"/>
      <c r="AA558" s="86"/>
      <c r="AB558" s="86"/>
      <c r="AC558" s="86"/>
      <c r="AD558" s="86"/>
      <c r="AE558" s="86"/>
    </row>
    <row r="559" spans="1:31" ht="15.75" customHeight="1">
      <c r="A559" s="86"/>
      <c r="B559" s="86"/>
      <c r="C559" s="95"/>
      <c r="D559" s="85"/>
      <c r="E559" s="86"/>
      <c r="F559" s="86"/>
      <c r="G559" s="86"/>
      <c r="H559" s="86"/>
      <c r="I559" s="86"/>
      <c r="J559" s="86"/>
      <c r="K559" s="86"/>
      <c r="L559" s="86"/>
      <c r="M559" s="86"/>
      <c r="N559" s="86"/>
      <c r="O559" s="86"/>
      <c r="P559" s="86"/>
      <c r="Q559" s="86"/>
      <c r="R559" s="86"/>
      <c r="S559" s="86"/>
      <c r="T559" s="86"/>
      <c r="U559" s="86"/>
      <c r="V559" s="86"/>
      <c r="W559" s="86"/>
      <c r="X559" s="86"/>
      <c r="Y559" s="86"/>
      <c r="Z559" s="86"/>
      <c r="AA559" s="86"/>
      <c r="AB559" s="86"/>
      <c r="AC559" s="86"/>
      <c r="AD559" s="86"/>
      <c r="AE559" s="86"/>
    </row>
    <row r="560" spans="1:31" ht="15.75" customHeight="1">
      <c r="A560" s="86"/>
      <c r="B560" s="86"/>
      <c r="C560" s="95"/>
      <c r="D560" s="85"/>
      <c r="E560" s="86"/>
      <c r="F560" s="86"/>
      <c r="G560" s="86"/>
      <c r="H560" s="86"/>
      <c r="I560" s="86"/>
      <c r="J560" s="86"/>
      <c r="K560" s="86"/>
      <c r="L560" s="86"/>
      <c r="M560" s="86"/>
      <c r="N560" s="86"/>
      <c r="O560" s="86"/>
      <c r="P560" s="86"/>
      <c r="Q560" s="86"/>
      <c r="R560" s="86"/>
      <c r="S560" s="86"/>
      <c r="T560" s="86"/>
      <c r="U560" s="86"/>
      <c r="V560" s="86"/>
      <c r="W560" s="86"/>
      <c r="X560" s="86"/>
      <c r="Y560" s="86"/>
      <c r="Z560" s="86"/>
      <c r="AA560" s="86"/>
      <c r="AB560" s="86"/>
      <c r="AC560" s="86"/>
      <c r="AD560" s="86"/>
      <c r="AE560" s="86"/>
    </row>
    <row r="561" spans="1:31" ht="15.75" customHeight="1">
      <c r="A561" s="86"/>
      <c r="B561" s="86"/>
      <c r="C561" s="95"/>
      <c r="D561" s="85"/>
      <c r="E561" s="86"/>
      <c r="F561" s="86"/>
      <c r="G561" s="86"/>
      <c r="H561" s="86"/>
      <c r="I561" s="86"/>
      <c r="J561" s="86"/>
      <c r="K561" s="86"/>
      <c r="L561" s="86"/>
      <c r="M561" s="86"/>
      <c r="N561" s="86"/>
      <c r="O561" s="86"/>
      <c r="P561" s="86"/>
      <c r="Q561" s="86"/>
      <c r="R561" s="86"/>
      <c r="S561" s="86"/>
      <c r="T561" s="86"/>
      <c r="U561" s="86"/>
      <c r="V561" s="86"/>
      <c r="W561" s="86"/>
      <c r="X561" s="86"/>
      <c r="Y561" s="86"/>
      <c r="Z561" s="86"/>
      <c r="AA561" s="86"/>
      <c r="AB561" s="86"/>
      <c r="AC561" s="86"/>
      <c r="AD561" s="86"/>
      <c r="AE561" s="86"/>
    </row>
    <row r="562" spans="1:31" ht="15.75" customHeight="1">
      <c r="A562" s="86"/>
      <c r="B562" s="86"/>
      <c r="C562" s="95"/>
      <c r="D562" s="85"/>
      <c r="E562" s="86"/>
      <c r="F562" s="86"/>
      <c r="G562" s="86"/>
      <c r="H562" s="86"/>
      <c r="I562" s="86"/>
      <c r="J562" s="86"/>
      <c r="K562" s="86"/>
      <c r="L562" s="86"/>
      <c r="M562" s="86"/>
      <c r="N562" s="86"/>
      <c r="O562" s="86"/>
      <c r="P562" s="86"/>
      <c r="Q562" s="86"/>
      <c r="R562" s="86"/>
      <c r="S562" s="86"/>
      <c r="T562" s="86"/>
      <c r="U562" s="86"/>
      <c r="V562" s="86"/>
      <c r="W562" s="86"/>
      <c r="X562" s="86"/>
      <c r="Y562" s="86"/>
      <c r="Z562" s="86"/>
      <c r="AA562" s="86"/>
      <c r="AB562" s="86"/>
      <c r="AC562" s="86"/>
      <c r="AD562" s="86"/>
      <c r="AE562" s="86"/>
    </row>
    <row r="563" spans="1:31" ht="15.75" customHeight="1">
      <c r="A563" s="86"/>
      <c r="B563" s="86"/>
      <c r="C563" s="95"/>
      <c r="D563" s="85"/>
      <c r="E563" s="86"/>
      <c r="F563" s="86"/>
      <c r="G563" s="86"/>
      <c r="H563" s="86"/>
      <c r="I563" s="86"/>
      <c r="J563" s="86"/>
      <c r="K563" s="86"/>
      <c r="L563" s="86"/>
      <c r="M563" s="86"/>
      <c r="N563" s="86"/>
      <c r="O563" s="86"/>
      <c r="P563" s="86"/>
      <c r="Q563" s="86"/>
      <c r="R563" s="86"/>
      <c r="S563" s="86"/>
      <c r="T563" s="86"/>
      <c r="U563" s="86"/>
      <c r="V563" s="86"/>
      <c r="W563" s="86"/>
      <c r="X563" s="86"/>
      <c r="Y563" s="86"/>
      <c r="Z563" s="86"/>
      <c r="AA563" s="86"/>
      <c r="AB563" s="86"/>
      <c r="AC563" s="86"/>
      <c r="AD563" s="86"/>
      <c r="AE563" s="86"/>
    </row>
    <row r="564" spans="1:31" ht="15.75" customHeight="1">
      <c r="A564" s="86"/>
      <c r="B564" s="86"/>
      <c r="C564" s="95"/>
      <c r="D564" s="85"/>
      <c r="E564" s="86"/>
      <c r="F564" s="86"/>
      <c r="G564" s="86"/>
      <c r="H564" s="86"/>
      <c r="I564" s="86"/>
      <c r="J564" s="86"/>
      <c r="K564" s="86"/>
      <c r="L564" s="86"/>
      <c r="M564" s="86"/>
      <c r="N564" s="86"/>
      <c r="O564" s="86"/>
      <c r="P564" s="86"/>
      <c r="Q564" s="86"/>
      <c r="R564" s="86"/>
      <c r="S564" s="86"/>
      <c r="T564" s="86"/>
      <c r="U564" s="86"/>
      <c r="V564" s="86"/>
      <c r="W564" s="86"/>
      <c r="X564" s="86"/>
      <c r="Y564" s="86"/>
      <c r="Z564" s="86"/>
      <c r="AA564" s="86"/>
      <c r="AB564" s="86"/>
      <c r="AC564" s="86"/>
      <c r="AD564" s="86"/>
      <c r="AE564" s="86"/>
    </row>
    <row r="565" spans="1:31" ht="15.75" customHeight="1">
      <c r="A565" s="86"/>
      <c r="B565" s="86"/>
      <c r="C565" s="95"/>
      <c r="D565" s="85"/>
      <c r="E565" s="86"/>
      <c r="F565" s="86"/>
      <c r="G565" s="86"/>
      <c r="H565" s="86"/>
      <c r="I565" s="86"/>
      <c r="J565" s="86"/>
      <c r="K565" s="86"/>
      <c r="L565" s="86"/>
      <c r="M565" s="86"/>
      <c r="N565" s="86"/>
      <c r="O565" s="86"/>
      <c r="P565" s="86"/>
      <c r="Q565" s="86"/>
      <c r="R565" s="86"/>
      <c r="S565" s="86"/>
      <c r="T565" s="86"/>
      <c r="U565" s="86"/>
      <c r="V565" s="86"/>
      <c r="W565" s="86"/>
      <c r="X565" s="86"/>
      <c r="Y565" s="86"/>
      <c r="Z565" s="86"/>
      <c r="AA565" s="86"/>
      <c r="AB565" s="86"/>
      <c r="AC565" s="86"/>
      <c r="AD565" s="86"/>
      <c r="AE565" s="86"/>
    </row>
    <row r="566" spans="1:31" ht="15.75" customHeight="1">
      <c r="A566" s="86"/>
      <c r="B566" s="86"/>
      <c r="C566" s="95"/>
      <c r="D566" s="85"/>
      <c r="E566" s="86"/>
      <c r="F566" s="86"/>
      <c r="G566" s="86"/>
      <c r="H566" s="86"/>
      <c r="I566" s="86"/>
      <c r="J566" s="86"/>
      <c r="K566" s="86"/>
      <c r="L566" s="86"/>
      <c r="M566" s="86"/>
      <c r="N566" s="86"/>
      <c r="O566" s="86"/>
      <c r="P566" s="86"/>
      <c r="Q566" s="86"/>
      <c r="R566" s="86"/>
      <c r="S566" s="86"/>
      <c r="T566" s="86"/>
      <c r="U566" s="86"/>
      <c r="V566" s="86"/>
      <c r="W566" s="86"/>
      <c r="X566" s="86"/>
      <c r="Y566" s="86"/>
      <c r="Z566" s="86"/>
      <c r="AA566" s="86"/>
      <c r="AB566" s="86"/>
      <c r="AC566" s="86"/>
      <c r="AD566" s="86"/>
      <c r="AE566" s="86"/>
    </row>
    <row r="567" spans="1:31" ht="15.75" customHeight="1">
      <c r="A567" s="86"/>
      <c r="B567" s="86"/>
      <c r="C567" s="95"/>
      <c r="D567" s="85"/>
      <c r="E567" s="86"/>
      <c r="F567" s="86"/>
      <c r="G567" s="86"/>
      <c r="H567" s="86"/>
      <c r="I567" s="86"/>
      <c r="J567" s="86"/>
      <c r="K567" s="86"/>
      <c r="L567" s="86"/>
      <c r="M567" s="86"/>
      <c r="N567" s="86"/>
      <c r="O567" s="86"/>
      <c r="P567" s="86"/>
      <c r="Q567" s="86"/>
      <c r="R567" s="86"/>
      <c r="S567" s="86"/>
      <c r="T567" s="86"/>
      <c r="U567" s="86"/>
      <c r="V567" s="86"/>
      <c r="W567" s="86"/>
      <c r="X567" s="86"/>
      <c r="Y567" s="86"/>
      <c r="Z567" s="86"/>
      <c r="AA567" s="86"/>
      <c r="AB567" s="86"/>
      <c r="AC567" s="86"/>
      <c r="AD567" s="86"/>
      <c r="AE567" s="86"/>
    </row>
    <row r="568" spans="1:31" ht="15.75" customHeight="1">
      <c r="A568" s="86"/>
      <c r="B568" s="86"/>
      <c r="C568" s="95"/>
      <c r="D568" s="85"/>
      <c r="E568" s="86"/>
      <c r="F568" s="86"/>
      <c r="G568" s="86"/>
      <c r="H568" s="86"/>
      <c r="I568" s="86"/>
      <c r="J568" s="86"/>
      <c r="K568" s="86"/>
      <c r="L568" s="86"/>
      <c r="M568" s="86"/>
      <c r="N568" s="86"/>
      <c r="O568" s="86"/>
      <c r="P568" s="86"/>
      <c r="Q568" s="86"/>
      <c r="R568" s="86"/>
      <c r="S568" s="86"/>
      <c r="T568" s="86"/>
      <c r="U568" s="86"/>
      <c r="V568" s="86"/>
      <c r="W568" s="86"/>
      <c r="X568" s="86"/>
      <c r="Y568" s="86"/>
      <c r="Z568" s="86"/>
      <c r="AA568" s="86"/>
      <c r="AB568" s="86"/>
      <c r="AC568" s="86"/>
      <c r="AD568" s="86"/>
      <c r="AE568" s="86"/>
    </row>
    <row r="569" spans="1:31" ht="15.75" customHeight="1">
      <c r="A569" s="86"/>
      <c r="B569" s="86"/>
      <c r="C569" s="95"/>
      <c r="D569" s="85"/>
      <c r="E569" s="86"/>
      <c r="F569" s="86"/>
      <c r="G569" s="86"/>
      <c r="H569" s="86"/>
      <c r="I569" s="86"/>
      <c r="J569" s="86"/>
      <c r="K569" s="86"/>
      <c r="L569" s="86"/>
      <c r="M569" s="86"/>
      <c r="N569" s="86"/>
      <c r="O569" s="86"/>
      <c r="P569" s="86"/>
      <c r="Q569" s="86"/>
      <c r="R569" s="86"/>
      <c r="S569" s="86"/>
      <c r="T569" s="86"/>
      <c r="U569" s="86"/>
      <c r="V569" s="86"/>
      <c r="W569" s="86"/>
      <c r="X569" s="86"/>
      <c r="Y569" s="86"/>
      <c r="Z569" s="86"/>
      <c r="AA569" s="86"/>
      <c r="AB569" s="86"/>
      <c r="AC569" s="86"/>
      <c r="AD569" s="86"/>
      <c r="AE569" s="86"/>
    </row>
    <row r="570" spans="1:31" ht="15.75" customHeight="1">
      <c r="A570" s="86"/>
      <c r="B570" s="86"/>
      <c r="C570" s="95"/>
      <c r="D570" s="85"/>
      <c r="E570" s="86"/>
      <c r="F570" s="86"/>
      <c r="G570" s="86"/>
      <c r="H570" s="86"/>
      <c r="I570" s="86"/>
      <c r="J570" s="86"/>
      <c r="K570" s="86"/>
      <c r="L570" s="86"/>
      <c r="M570" s="86"/>
      <c r="N570" s="86"/>
      <c r="O570" s="86"/>
      <c r="P570" s="86"/>
      <c r="Q570" s="86"/>
      <c r="R570" s="86"/>
      <c r="S570" s="86"/>
      <c r="T570" s="86"/>
      <c r="U570" s="86"/>
      <c r="V570" s="86"/>
      <c r="W570" s="86"/>
      <c r="X570" s="86"/>
      <c r="Y570" s="86"/>
      <c r="Z570" s="86"/>
      <c r="AA570" s="86"/>
      <c r="AB570" s="86"/>
      <c r="AC570" s="86"/>
      <c r="AD570" s="86"/>
      <c r="AE570" s="86"/>
    </row>
    <row r="571" spans="1:31" ht="15.75" customHeight="1">
      <c r="A571" s="86"/>
      <c r="B571" s="86"/>
      <c r="C571" s="95"/>
      <c r="D571" s="85"/>
      <c r="E571" s="86"/>
      <c r="F571" s="86"/>
      <c r="G571" s="86"/>
      <c r="H571" s="86"/>
      <c r="I571" s="86"/>
      <c r="J571" s="86"/>
      <c r="K571" s="86"/>
      <c r="L571" s="86"/>
      <c r="M571" s="86"/>
      <c r="N571" s="86"/>
      <c r="O571" s="86"/>
      <c r="P571" s="86"/>
      <c r="Q571" s="86"/>
      <c r="R571" s="86"/>
      <c r="S571" s="86"/>
      <c r="T571" s="86"/>
      <c r="U571" s="86"/>
      <c r="V571" s="86"/>
      <c r="W571" s="86"/>
      <c r="X571" s="86"/>
      <c r="Y571" s="86"/>
      <c r="Z571" s="86"/>
      <c r="AA571" s="86"/>
      <c r="AB571" s="86"/>
      <c r="AC571" s="86"/>
      <c r="AD571" s="86"/>
      <c r="AE571" s="86"/>
    </row>
    <row r="572" spans="1:31" ht="15.75" customHeight="1">
      <c r="A572" s="86"/>
      <c r="B572" s="86"/>
      <c r="C572" s="95"/>
      <c r="D572" s="85"/>
      <c r="E572" s="86"/>
      <c r="F572" s="86"/>
      <c r="G572" s="86"/>
      <c r="H572" s="86"/>
      <c r="I572" s="86"/>
      <c r="J572" s="86"/>
      <c r="K572" s="86"/>
      <c r="L572" s="86"/>
      <c r="M572" s="86"/>
      <c r="N572" s="86"/>
      <c r="O572" s="86"/>
      <c r="P572" s="86"/>
      <c r="Q572" s="86"/>
      <c r="R572" s="86"/>
      <c r="S572" s="86"/>
      <c r="T572" s="86"/>
      <c r="U572" s="86"/>
      <c r="V572" s="86"/>
      <c r="W572" s="86"/>
      <c r="X572" s="86"/>
      <c r="Y572" s="86"/>
      <c r="Z572" s="86"/>
      <c r="AA572" s="86"/>
      <c r="AB572" s="86"/>
      <c r="AC572" s="86"/>
      <c r="AD572" s="86"/>
      <c r="AE572" s="86"/>
    </row>
    <row r="573" spans="1:31" ht="15.75" customHeight="1">
      <c r="A573" s="86"/>
      <c r="B573" s="86"/>
      <c r="C573" s="95"/>
      <c r="D573" s="85"/>
      <c r="E573" s="86"/>
      <c r="F573" s="86"/>
      <c r="G573" s="86"/>
      <c r="H573" s="86"/>
      <c r="I573" s="86"/>
      <c r="J573" s="86"/>
      <c r="K573" s="86"/>
      <c r="L573" s="86"/>
      <c r="M573" s="86"/>
      <c r="N573" s="86"/>
      <c r="O573" s="86"/>
      <c r="P573" s="86"/>
      <c r="Q573" s="86"/>
      <c r="R573" s="86"/>
      <c r="S573" s="86"/>
      <c r="T573" s="86"/>
      <c r="U573" s="86"/>
      <c r="V573" s="86"/>
      <c r="W573" s="86"/>
      <c r="X573" s="86"/>
      <c r="Y573" s="86"/>
      <c r="Z573" s="86"/>
      <c r="AA573" s="86"/>
      <c r="AB573" s="86"/>
      <c r="AC573" s="86"/>
      <c r="AD573" s="86"/>
      <c r="AE573" s="86"/>
    </row>
    <row r="574" spans="1:31" ht="15.75" customHeight="1">
      <c r="A574" s="86"/>
      <c r="B574" s="86"/>
      <c r="C574" s="95"/>
      <c r="D574" s="85"/>
      <c r="E574" s="86"/>
      <c r="F574" s="86"/>
      <c r="G574" s="86"/>
      <c r="H574" s="86"/>
      <c r="I574" s="86"/>
      <c r="J574" s="86"/>
      <c r="K574" s="86"/>
      <c r="L574" s="86"/>
      <c r="M574" s="86"/>
      <c r="N574" s="86"/>
      <c r="O574" s="86"/>
      <c r="P574" s="86"/>
      <c r="Q574" s="86"/>
      <c r="R574" s="86"/>
      <c r="S574" s="86"/>
      <c r="T574" s="86"/>
      <c r="U574" s="86"/>
      <c r="V574" s="86"/>
      <c r="W574" s="86"/>
      <c r="X574" s="86"/>
      <c r="Y574" s="86"/>
      <c r="Z574" s="86"/>
      <c r="AA574" s="86"/>
      <c r="AB574" s="86"/>
      <c r="AC574" s="86"/>
      <c r="AD574" s="86"/>
      <c r="AE574" s="86"/>
    </row>
    <row r="575" spans="1:31" ht="15.75" customHeight="1">
      <c r="A575" s="86"/>
      <c r="B575" s="86"/>
      <c r="C575" s="95"/>
      <c r="D575" s="85"/>
      <c r="E575" s="86"/>
      <c r="F575" s="86"/>
      <c r="G575" s="86"/>
      <c r="H575" s="86"/>
      <c r="I575" s="86"/>
      <c r="J575" s="86"/>
      <c r="K575" s="86"/>
      <c r="L575" s="86"/>
      <c r="M575" s="86"/>
      <c r="N575" s="86"/>
      <c r="O575" s="86"/>
      <c r="P575" s="86"/>
      <c r="Q575" s="86"/>
      <c r="R575" s="86"/>
      <c r="S575" s="86"/>
      <c r="T575" s="86"/>
      <c r="U575" s="86"/>
      <c r="V575" s="86"/>
      <c r="W575" s="86"/>
      <c r="X575" s="86"/>
      <c r="Y575" s="86"/>
      <c r="Z575" s="86"/>
      <c r="AA575" s="86"/>
      <c r="AB575" s="86"/>
      <c r="AC575" s="86"/>
      <c r="AD575" s="86"/>
      <c r="AE575" s="86"/>
    </row>
    <row r="576" spans="1:31" ht="15.75" customHeight="1">
      <c r="A576" s="86"/>
      <c r="B576" s="86"/>
      <c r="C576" s="95"/>
      <c r="D576" s="85"/>
      <c r="E576" s="86"/>
      <c r="F576" s="86"/>
      <c r="G576" s="86"/>
      <c r="H576" s="86"/>
      <c r="I576" s="86"/>
      <c r="J576" s="86"/>
      <c r="K576" s="86"/>
      <c r="L576" s="86"/>
      <c r="M576" s="86"/>
      <c r="N576" s="86"/>
      <c r="O576" s="86"/>
      <c r="P576" s="86"/>
      <c r="Q576" s="86"/>
      <c r="R576" s="86"/>
      <c r="S576" s="86"/>
      <c r="T576" s="86"/>
      <c r="U576" s="86"/>
      <c r="V576" s="86"/>
      <c r="W576" s="86"/>
      <c r="X576" s="86"/>
      <c r="Y576" s="86"/>
      <c r="Z576" s="86"/>
      <c r="AA576" s="86"/>
      <c r="AB576" s="86"/>
      <c r="AC576" s="86"/>
      <c r="AD576" s="86"/>
      <c r="AE576" s="86"/>
    </row>
    <row r="577" spans="1:31" ht="15.75" customHeight="1">
      <c r="A577" s="86"/>
      <c r="B577" s="86"/>
      <c r="C577" s="95"/>
      <c r="D577" s="85"/>
      <c r="E577" s="86"/>
      <c r="F577" s="86"/>
      <c r="G577" s="86"/>
      <c r="H577" s="86"/>
      <c r="I577" s="86"/>
      <c r="J577" s="86"/>
      <c r="K577" s="86"/>
      <c r="L577" s="86"/>
      <c r="M577" s="86"/>
      <c r="N577" s="86"/>
      <c r="O577" s="86"/>
      <c r="P577" s="86"/>
      <c r="Q577" s="86"/>
      <c r="R577" s="86"/>
      <c r="S577" s="86"/>
      <c r="T577" s="86"/>
      <c r="U577" s="86"/>
      <c r="V577" s="86"/>
      <c r="W577" s="86"/>
      <c r="X577" s="86"/>
      <c r="Y577" s="86"/>
      <c r="Z577" s="86"/>
      <c r="AA577" s="86"/>
      <c r="AB577" s="86"/>
      <c r="AC577" s="86"/>
      <c r="AD577" s="86"/>
      <c r="AE577" s="86"/>
    </row>
    <row r="578" spans="1:31" ht="15.75" customHeight="1">
      <c r="A578" s="86"/>
      <c r="B578" s="86"/>
      <c r="C578" s="95"/>
      <c r="D578" s="85"/>
      <c r="E578" s="86"/>
      <c r="F578" s="86"/>
      <c r="G578" s="86"/>
      <c r="H578" s="86"/>
      <c r="I578" s="86"/>
      <c r="J578" s="86"/>
      <c r="K578" s="86"/>
      <c r="L578" s="86"/>
      <c r="M578" s="86"/>
      <c r="N578" s="86"/>
      <c r="O578" s="86"/>
      <c r="P578" s="86"/>
      <c r="Q578" s="86"/>
      <c r="R578" s="86"/>
      <c r="S578" s="86"/>
      <c r="T578" s="86"/>
      <c r="U578" s="86"/>
      <c r="V578" s="86"/>
      <c r="W578" s="86"/>
      <c r="X578" s="86"/>
      <c r="Y578" s="86"/>
      <c r="Z578" s="86"/>
      <c r="AA578" s="86"/>
      <c r="AB578" s="86"/>
      <c r="AC578" s="86"/>
      <c r="AD578" s="86"/>
      <c r="AE578" s="86"/>
    </row>
    <row r="579" spans="1:31" ht="15.75" customHeight="1">
      <c r="A579" s="86"/>
      <c r="B579" s="86"/>
      <c r="C579" s="95"/>
      <c r="D579" s="85"/>
      <c r="E579" s="86"/>
      <c r="F579" s="86"/>
      <c r="G579" s="86"/>
      <c r="H579" s="86"/>
      <c r="I579" s="86"/>
      <c r="J579" s="86"/>
      <c r="K579" s="86"/>
      <c r="L579" s="86"/>
      <c r="M579" s="86"/>
      <c r="N579" s="86"/>
      <c r="O579" s="86"/>
      <c r="P579" s="86"/>
      <c r="Q579" s="86"/>
      <c r="R579" s="86"/>
      <c r="S579" s="86"/>
      <c r="T579" s="86"/>
      <c r="U579" s="86"/>
      <c r="V579" s="86"/>
      <c r="W579" s="86"/>
      <c r="X579" s="86"/>
      <c r="Y579" s="86"/>
      <c r="Z579" s="86"/>
      <c r="AA579" s="86"/>
      <c r="AB579" s="86"/>
      <c r="AC579" s="86"/>
      <c r="AD579" s="86"/>
      <c r="AE579" s="86"/>
    </row>
    <row r="580" spans="1:31" ht="15.75" customHeight="1">
      <c r="A580" s="86"/>
      <c r="B580" s="86"/>
      <c r="C580" s="95"/>
      <c r="D580" s="85"/>
      <c r="E580" s="86"/>
      <c r="F580" s="86"/>
      <c r="G580" s="86"/>
      <c r="H580" s="86"/>
      <c r="I580" s="86"/>
      <c r="J580" s="86"/>
      <c r="K580" s="86"/>
      <c r="L580" s="86"/>
      <c r="M580" s="86"/>
      <c r="N580" s="86"/>
      <c r="O580" s="86"/>
      <c r="P580" s="86"/>
      <c r="Q580" s="86"/>
      <c r="R580" s="86"/>
      <c r="S580" s="86"/>
      <c r="T580" s="86"/>
      <c r="U580" s="86"/>
      <c r="V580" s="86"/>
      <c r="W580" s="86"/>
      <c r="X580" s="86"/>
      <c r="Y580" s="86"/>
      <c r="Z580" s="86"/>
      <c r="AA580" s="86"/>
      <c r="AB580" s="86"/>
      <c r="AC580" s="86"/>
      <c r="AD580" s="86"/>
      <c r="AE580" s="86"/>
    </row>
    <row r="581" spans="1:31" ht="15.75" customHeight="1">
      <c r="A581" s="86"/>
      <c r="B581" s="86"/>
      <c r="C581" s="95"/>
      <c r="D581" s="85"/>
      <c r="E581" s="86"/>
      <c r="F581" s="86"/>
      <c r="G581" s="86"/>
      <c r="H581" s="86"/>
      <c r="I581" s="86"/>
      <c r="J581" s="86"/>
      <c r="K581" s="86"/>
      <c r="L581" s="86"/>
      <c r="M581" s="86"/>
      <c r="N581" s="86"/>
      <c r="O581" s="86"/>
      <c r="P581" s="86"/>
      <c r="Q581" s="86"/>
      <c r="R581" s="86"/>
      <c r="S581" s="86"/>
      <c r="T581" s="86"/>
      <c r="U581" s="86"/>
      <c r="V581" s="86"/>
      <c r="W581" s="86"/>
      <c r="X581" s="86"/>
      <c r="Y581" s="86"/>
      <c r="Z581" s="86"/>
      <c r="AA581" s="86"/>
      <c r="AB581" s="86"/>
      <c r="AC581" s="86"/>
      <c r="AD581" s="86"/>
      <c r="AE581" s="86"/>
    </row>
    <row r="582" spans="1:31" ht="15.75" customHeight="1">
      <c r="A582" s="86"/>
      <c r="B582" s="86"/>
      <c r="C582" s="95"/>
      <c r="D582" s="85"/>
      <c r="E582" s="86"/>
      <c r="F582" s="86"/>
      <c r="G582" s="86"/>
      <c r="H582" s="86"/>
      <c r="I582" s="86"/>
      <c r="J582" s="86"/>
      <c r="K582" s="86"/>
      <c r="L582" s="86"/>
      <c r="M582" s="86"/>
      <c r="N582" s="86"/>
      <c r="O582" s="86"/>
      <c r="P582" s="86"/>
      <c r="Q582" s="86"/>
      <c r="R582" s="86"/>
      <c r="S582" s="86"/>
      <c r="T582" s="86"/>
      <c r="U582" s="86"/>
      <c r="V582" s="86"/>
      <c r="W582" s="86"/>
      <c r="X582" s="86"/>
      <c r="Y582" s="86"/>
      <c r="Z582" s="86"/>
      <c r="AA582" s="86"/>
      <c r="AB582" s="86"/>
      <c r="AC582" s="86"/>
      <c r="AD582" s="86"/>
      <c r="AE582" s="86"/>
    </row>
    <row r="583" spans="1:31" ht="15.75" customHeight="1">
      <c r="A583" s="86"/>
      <c r="B583" s="86"/>
      <c r="C583" s="95"/>
      <c r="D583" s="85"/>
      <c r="E583" s="86"/>
      <c r="F583" s="86"/>
      <c r="G583" s="86"/>
      <c r="H583" s="86"/>
      <c r="I583" s="86"/>
      <c r="J583" s="86"/>
      <c r="K583" s="86"/>
      <c r="L583" s="86"/>
      <c r="M583" s="86"/>
      <c r="N583" s="86"/>
      <c r="O583" s="86"/>
      <c r="P583" s="86"/>
      <c r="Q583" s="86"/>
      <c r="R583" s="86"/>
      <c r="S583" s="86"/>
      <c r="T583" s="86"/>
      <c r="U583" s="86"/>
      <c r="V583" s="86"/>
      <c r="W583" s="86"/>
      <c r="X583" s="86"/>
      <c r="Y583" s="86"/>
      <c r="Z583" s="86"/>
      <c r="AA583" s="86"/>
      <c r="AB583" s="86"/>
      <c r="AC583" s="86"/>
      <c r="AD583" s="86"/>
      <c r="AE583" s="86"/>
    </row>
    <row r="584" spans="1:31" ht="15.75" customHeight="1">
      <c r="A584" s="86"/>
      <c r="B584" s="86"/>
      <c r="C584" s="95"/>
      <c r="D584" s="85"/>
      <c r="E584" s="86"/>
      <c r="F584" s="86"/>
      <c r="G584" s="86"/>
      <c r="H584" s="86"/>
      <c r="I584" s="86"/>
      <c r="J584" s="86"/>
      <c r="K584" s="86"/>
      <c r="L584" s="86"/>
      <c r="M584" s="86"/>
      <c r="N584" s="86"/>
      <c r="O584" s="86"/>
      <c r="P584" s="86"/>
      <c r="Q584" s="86"/>
      <c r="R584" s="86"/>
      <c r="S584" s="86"/>
      <c r="T584" s="86"/>
      <c r="U584" s="86"/>
      <c r="V584" s="86"/>
      <c r="W584" s="86"/>
      <c r="X584" s="86"/>
      <c r="Y584" s="86"/>
      <c r="Z584" s="86"/>
      <c r="AA584" s="86"/>
      <c r="AB584" s="86"/>
      <c r="AC584" s="86"/>
      <c r="AD584" s="86"/>
      <c r="AE584" s="86"/>
    </row>
    <row r="585" spans="1:31" ht="15.75" customHeight="1">
      <c r="A585" s="86"/>
      <c r="B585" s="86"/>
      <c r="C585" s="95"/>
      <c r="D585" s="85"/>
      <c r="E585" s="86"/>
      <c r="F585" s="86"/>
      <c r="G585" s="86"/>
      <c r="H585" s="86"/>
      <c r="I585" s="86"/>
      <c r="J585" s="86"/>
      <c r="K585" s="86"/>
      <c r="L585" s="86"/>
      <c r="M585" s="86"/>
      <c r="N585" s="86"/>
      <c r="O585" s="86"/>
      <c r="P585" s="86"/>
      <c r="Q585" s="86"/>
      <c r="R585" s="86"/>
      <c r="S585" s="86"/>
      <c r="T585" s="86"/>
      <c r="U585" s="86"/>
      <c r="V585" s="86"/>
      <c r="W585" s="86"/>
      <c r="X585" s="86"/>
      <c r="Y585" s="86"/>
      <c r="Z585" s="86"/>
      <c r="AA585" s="86"/>
      <c r="AB585" s="86"/>
      <c r="AC585" s="86"/>
      <c r="AD585" s="86"/>
      <c r="AE585" s="86"/>
    </row>
    <row r="586" spans="1:31" ht="15.75" customHeight="1">
      <c r="A586" s="86"/>
      <c r="B586" s="86"/>
      <c r="C586" s="95"/>
      <c r="D586" s="85"/>
      <c r="E586" s="86"/>
      <c r="F586" s="86"/>
      <c r="G586" s="86"/>
      <c r="H586" s="86"/>
      <c r="I586" s="86"/>
      <c r="J586" s="86"/>
      <c r="K586" s="86"/>
      <c r="L586" s="86"/>
      <c r="M586" s="86"/>
      <c r="N586" s="86"/>
      <c r="O586" s="86"/>
      <c r="P586" s="86"/>
      <c r="Q586" s="86"/>
      <c r="R586" s="86"/>
      <c r="S586" s="86"/>
      <c r="T586" s="86"/>
      <c r="U586" s="86"/>
      <c r="V586" s="86"/>
      <c r="W586" s="86"/>
      <c r="X586" s="86"/>
      <c r="Y586" s="86"/>
      <c r="Z586" s="86"/>
      <c r="AA586" s="86"/>
      <c r="AB586" s="86"/>
      <c r="AC586" s="86"/>
      <c r="AD586" s="86"/>
      <c r="AE586" s="86"/>
    </row>
    <row r="587" spans="1:31" ht="15.75" customHeight="1">
      <c r="A587" s="86"/>
      <c r="B587" s="86"/>
      <c r="C587" s="95"/>
      <c r="D587" s="85"/>
      <c r="E587" s="86"/>
      <c r="F587" s="86"/>
      <c r="G587" s="86"/>
      <c r="H587" s="86"/>
      <c r="I587" s="86"/>
      <c r="J587" s="86"/>
      <c r="K587" s="86"/>
      <c r="L587" s="86"/>
      <c r="M587" s="86"/>
      <c r="N587" s="86"/>
      <c r="O587" s="86"/>
      <c r="P587" s="86"/>
      <c r="Q587" s="86"/>
      <c r="R587" s="86"/>
      <c r="S587" s="86"/>
      <c r="T587" s="86"/>
      <c r="U587" s="86"/>
      <c r="V587" s="86"/>
      <c r="W587" s="86"/>
      <c r="X587" s="86"/>
      <c r="Y587" s="86"/>
      <c r="Z587" s="86"/>
      <c r="AA587" s="86"/>
      <c r="AB587" s="86"/>
      <c r="AC587" s="86"/>
      <c r="AD587" s="86"/>
      <c r="AE587" s="86"/>
    </row>
    <row r="588" spans="1:31" ht="15.75" customHeight="1">
      <c r="A588" s="86"/>
      <c r="B588" s="86"/>
      <c r="C588" s="95"/>
      <c r="D588" s="85"/>
      <c r="E588" s="86"/>
      <c r="F588" s="86"/>
      <c r="G588" s="86"/>
      <c r="H588" s="86"/>
      <c r="I588" s="86"/>
      <c r="J588" s="86"/>
      <c r="K588" s="86"/>
      <c r="L588" s="86"/>
      <c r="M588" s="86"/>
      <c r="N588" s="86"/>
      <c r="O588" s="86"/>
      <c r="P588" s="86"/>
      <c r="Q588" s="86"/>
      <c r="R588" s="86"/>
      <c r="S588" s="86"/>
      <c r="T588" s="86"/>
      <c r="U588" s="86"/>
      <c r="V588" s="86"/>
      <c r="W588" s="86"/>
      <c r="X588" s="86"/>
      <c r="Y588" s="86"/>
      <c r="Z588" s="86"/>
      <c r="AA588" s="86"/>
      <c r="AB588" s="86"/>
      <c r="AC588" s="86"/>
      <c r="AD588" s="86"/>
      <c r="AE588" s="86"/>
    </row>
    <row r="589" spans="1:31" ht="15.75" customHeight="1">
      <c r="A589" s="86"/>
      <c r="B589" s="86"/>
      <c r="C589" s="95"/>
      <c r="D589" s="85"/>
      <c r="E589" s="86"/>
      <c r="F589" s="86"/>
      <c r="G589" s="86"/>
      <c r="H589" s="86"/>
      <c r="I589" s="86"/>
      <c r="J589" s="86"/>
      <c r="K589" s="86"/>
      <c r="L589" s="86"/>
      <c r="M589" s="86"/>
      <c r="N589" s="86"/>
      <c r="O589" s="86"/>
      <c r="P589" s="86"/>
      <c r="Q589" s="86"/>
      <c r="R589" s="86"/>
      <c r="S589" s="86"/>
      <c r="T589" s="86"/>
      <c r="U589" s="86"/>
      <c r="V589" s="86"/>
      <c r="W589" s="86"/>
      <c r="X589" s="86"/>
      <c r="Y589" s="86"/>
      <c r="Z589" s="86"/>
      <c r="AA589" s="86"/>
      <c r="AB589" s="86"/>
      <c r="AC589" s="86"/>
      <c r="AD589" s="86"/>
      <c r="AE589" s="86"/>
    </row>
    <row r="590" spans="1:31" ht="15.75" customHeight="1">
      <c r="A590" s="86"/>
      <c r="B590" s="86"/>
      <c r="C590" s="95"/>
      <c r="D590" s="85"/>
      <c r="E590" s="86"/>
      <c r="F590" s="86"/>
      <c r="G590" s="86"/>
      <c r="H590" s="86"/>
      <c r="I590" s="86"/>
      <c r="J590" s="86"/>
      <c r="K590" s="86"/>
      <c r="L590" s="86"/>
      <c r="M590" s="86"/>
      <c r="N590" s="86"/>
      <c r="O590" s="86"/>
      <c r="P590" s="86"/>
      <c r="Q590" s="86"/>
      <c r="R590" s="86"/>
      <c r="S590" s="86"/>
      <c r="T590" s="86"/>
      <c r="U590" s="86"/>
      <c r="V590" s="86"/>
      <c r="W590" s="86"/>
      <c r="X590" s="86"/>
      <c r="Y590" s="86"/>
      <c r="Z590" s="86"/>
      <c r="AA590" s="86"/>
      <c r="AB590" s="86"/>
      <c r="AC590" s="86"/>
      <c r="AD590" s="86"/>
      <c r="AE590" s="86"/>
    </row>
    <row r="591" spans="1:31" ht="15.75" customHeight="1">
      <c r="A591" s="86"/>
      <c r="B591" s="86"/>
      <c r="C591" s="95"/>
      <c r="D591" s="85"/>
      <c r="E591" s="86"/>
      <c r="F591" s="86"/>
      <c r="G591" s="86"/>
      <c r="H591" s="86"/>
      <c r="I591" s="86"/>
      <c r="J591" s="86"/>
      <c r="K591" s="86"/>
      <c r="L591" s="86"/>
      <c r="M591" s="86"/>
      <c r="N591" s="86"/>
      <c r="O591" s="86"/>
      <c r="P591" s="86"/>
      <c r="Q591" s="86"/>
      <c r="R591" s="86"/>
      <c r="S591" s="86"/>
      <c r="T591" s="86"/>
      <c r="U591" s="86"/>
      <c r="V591" s="86"/>
      <c r="W591" s="86"/>
      <c r="X591" s="86"/>
      <c r="Y591" s="86"/>
      <c r="Z591" s="86"/>
      <c r="AA591" s="86"/>
      <c r="AB591" s="86"/>
      <c r="AC591" s="86"/>
      <c r="AD591" s="86"/>
      <c r="AE591" s="86"/>
    </row>
    <row r="592" spans="1:31" ht="15.75" customHeight="1">
      <c r="A592" s="86"/>
      <c r="B592" s="86"/>
      <c r="C592" s="95"/>
      <c r="D592" s="85"/>
      <c r="E592" s="86"/>
      <c r="F592" s="86"/>
      <c r="G592" s="86"/>
      <c r="H592" s="86"/>
      <c r="I592" s="86"/>
      <c r="J592" s="86"/>
      <c r="K592" s="86"/>
      <c r="L592" s="86"/>
      <c r="M592" s="86"/>
      <c r="N592" s="86"/>
      <c r="O592" s="86"/>
      <c r="P592" s="86"/>
      <c r="Q592" s="86"/>
      <c r="R592" s="86"/>
      <c r="S592" s="86"/>
      <c r="T592" s="86"/>
      <c r="U592" s="86"/>
      <c r="V592" s="86"/>
      <c r="W592" s="86"/>
      <c r="X592" s="86"/>
      <c r="Y592" s="86"/>
      <c r="Z592" s="86"/>
      <c r="AA592" s="86"/>
      <c r="AB592" s="86"/>
      <c r="AC592" s="86"/>
      <c r="AD592" s="86"/>
      <c r="AE592" s="86"/>
    </row>
    <row r="593" spans="1:31" ht="15.75" customHeight="1">
      <c r="A593" s="86"/>
      <c r="B593" s="86"/>
      <c r="C593" s="95"/>
      <c r="D593" s="85"/>
      <c r="E593" s="86"/>
      <c r="F593" s="86"/>
      <c r="G593" s="86"/>
      <c r="H593" s="86"/>
      <c r="I593" s="86"/>
      <c r="J593" s="86"/>
      <c r="K593" s="86"/>
      <c r="L593" s="86"/>
      <c r="M593" s="86"/>
      <c r="N593" s="86"/>
      <c r="O593" s="86"/>
      <c r="P593" s="86"/>
      <c r="Q593" s="86"/>
      <c r="R593" s="86"/>
      <c r="S593" s="86"/>
      <c r="T593" s="86"/>
      <c r="U593" s="86"/>
      <c r="V593" s="86"/>
      <c r="W593" s="86"/>
      <c r="X593" s="86"/>
      <c r="Y593" s="86"/>
      <c r="Z593" s="86"/>
      <c r="AA593" s="86"/>
      <c r="AB593" s="86"/>
      <c r="AC593" s="86"/>
      <c r="AD593" s="86"/>
      <c r="AE593" s="86"/>
    </row>
    <row r="594" spans="1:31" ht="15.75" customHeight="1">
      <c r="A594" s="86"/>
      <c r="B594" s="86"/>
      <c r="C594" s="95"/>
      <c r="D594" s="85"/>
      <c r="E594" s="86"/>
      <c r="F594" s="86"/>
      <c r="G594" s="86"/>
      <c r="H594" s="86"/>
      <c r="I594" s="86"/>
      <c r="J594" s="86"/>
      <c r="K594" s="86"/>
      <c r="L594" s="86"/>
      <c r="M594" s="86"/>
      <c r="N594" s="86"/>
      <c r="O594" s="86"/>
      <c r="P594" s="86"/>
      <c r="Q594" s="86"/>
      <c r="R594" s="86"/>
      <c r="S594" s="86"/>
      <c r="T594" s="86"/>
      <c r="U594" s="86"/>
      <c r="V594" s="86"/>
      <c r="W594" s="86"/>
      <c r="X594" s="86"/>
      <c r="Y594" s="86"/>
      <c r="Z594" s="86"/>
      <c r="AA594" s="86"/>
      <c r="AB594" s="86"/>
      <c r="AC594" s="86"/>
      <c r="AD594" s="86"/>
      <c r="AE594" s="86"/>
    </row>
    <row r="595" spans="1:31" ht="15.75" customHeight="1">
      <c r="A595" s="86"/>
      <c r="B595" s="86"/>
      <c r="C595" s="95"/>
      <c r="D595" s="85"/>
      <c r="E595" s="86"/>
      <c r="F595" s="86"/>
      <c r="G595" s="86"/>
      <c r="H595" s="86"/>
      <c r="I595" s="86"/>
      <c r="J595" s="86"/>
      <c r="K595" s="86"/>
      <c r="L595" s="86"/>
      <c r="M595" s="86"/>
      <c r="N595" s="86"/>
      <c r="O595" s="86"/>
      <c r="P595" s="86"/>
      <c r="Q595" s="86"/>
      <c r="R595" s="86"/>
      <c r="S595" s="86"/>
      <c r="T595" s="86"/>
      <c r="U595" s="86"/>
      <c r="V595" s="86"/>
      <c r="W595" s="86"/>
      <c r="X595" s="86"/>
      <c r="Y595" s="86"/>
      <c r="Z595" s="86"/>
      <c r="AA595" s="86"/>
      <c r="AB595" s="86"/>
      <c r="AC595" s="86"/>
      <c r="AD595" s="86"/>
      <c r="AE595" s="86"/>
    </row>
    <row r="596" spans="1:31" ht="15.75" customHeight="1">
      <c r="A596" s="86"/>
      <c r="B596" s="86"/>
      <c r="C596" s="95"/>
      <c r="D596" s="85"/>
      <c r="E596" s="86"/>
      <c r="F596" s="86"/>
      <c r="G596" s="86"/>
      <c r="H596" s="86"/>
      <c r="I596" s="86"/>
      <c r="J596" s="86"/>
      <c r="K596" s="86"/>
      <c r="L596" s="86"/>
      <c r="M596" s="86"/>
      <c r="N596" s="86"/>
      <c r="O596" s="86"/>
      <c r="P596" s="86"/>
      <c r="Q596" s="86"/>
      <c r="R596" s="86"/>
      <c r="S596" s="86"/>
      <c r="T596" s="86"/>
      <c r="U596" s="86"/>
      <c r="V596" s="86"/>
      <c r="W596" s="86"/>
      <c r="X596" s="86"/>
      <c r="Y596" s="86"/>
      <c r="Z596" s="86"/>
      <c r="AA596" s="86"/>
      <c r="AB596" s="86"/>
      <c r="AC596" s="86"/>
      <c r="AD596" s="86"/>
      <c r="AE596" s="86"/>
    </row>
    <row r="597" spans="1:31" ht="15.75" customHeight="1">
      <c r="A597" s="86"/>
      <c r="B597" s="86"/>
      <c r="C597" s="95"/>
      <c r="D597" s="85"/>
      <c r="E597" s="86"/>
      <c r="F597" s="86"/>
      <c r="G597" s="86"/>
      <c r="H597" s="86"/>
      <c r="I597" s="86"/>
      <c r="J597" s="86"/>
      <c r="K597" s="86"/>
      <c r="L597" s="86"/>
      <c r="M597" s="86"/>
      <c r="N597" s="86"/>
      <c r="O597" s="86"/>
      <c r="P597" s="86"/>
      <c r="Q597" s="86"/>
      <c r="R597" s="86"/>
      <c r="S597" s="86"/>
      <c r="T597" s="86"/>
      <c r="U597" s="86"/>
      <c r="V597" s="86"/>
      <c r="W597" s="86"/>
      <c r="X597" s="86"/>
      <c r="Y597" s="86"/>
      <c r="Z597" s="86"/>
      <c r="AA597" s="86"/>
      <c r="AB597" s="86"/>
      <c r="AC597" s="86"/>
      <c r="AD597" s="86"/>
      <c r="AE597" s="86"/>
    </row>
    <row r="598" spans="1:31" ht="15.75" customHeight="1">
      <c r="A598" s="86"/>
      <c r="B598" s="86"/>
      <c r="C598" s="95"/>
      <c r="D598" s="85"/>
      <c r="E598" s="86"/>
      <c r="F598" s="86"/>
      <c r="G598" s="86"/>
      <c r="H598" s="86"/>
      <c r="I598" s="86"/>
      <c r="J598" s="86"/>
      <c r="K598" s="86"/>
      <c r="L598" s="86"/>
      <c r="M598" s="86"/>
      <c r="N598" s="86"/>
      <c r="O598" s="86"/>
      <c r="P598" s="86"/>
      <c r="Q598" s="86"/>
      <c r="R598" s="86"/>
      <c r="S598" s="86"/>
      <c r="T598" s="86"/>
      <c r="U598" s="86"/>
      <c r="V598" s="86"/>
      <c r="W598" s="86"/>
      <c r="X598" s="86"/>
      <c r="Y598" s="86"/>
      <c r="Z598" s="86"/>
      <c r="AA598" s="86"/>
      <c r="AB598" s="86"/>
      <c r="AC598" s="86"/>
      <c r="AD598" s="86"/>
      <c r="AE598" s="86"/>
    </row>
    <row r="599" spans="1:31" ht="15.75" customHeight="1">
      <c r="A599" s="86"/>
      <c r="B599" s="86"/>
      <c r="C599" s="95"/>
      <c r="D599" s="85"/>
      <c r="E599" s="86"/>
      <c r="F599" s="86"/>
      <c r="G599" s="86"/>
      <c r="H599" s="86"/>
      <c r="I599" s="86"/>
      <c r="J599" s="86"/>
      <c r="K599" s="86"/>
      <c r="L599" s="86"/>
      <c r="M599" s="86"/>
      <c r="N599" s="86"/>
      <c r="O599" s="86"/>
      <c r="P599" s="86"/>
      <c r="Q599" s="86"/>
      <c r="R599" s="86"/>
      <c r="S599" s="86"/>
      <c r="T599" s="86"/>
      <c r="U599" s="86"/>
      <c r="V599" s="86"/>
      <c r="W599" s="86"/>
      <c r="X599" s="86"/>
      <c r="Y599" s="86"/>
      <c r="Z599" s="86"/>
      <c r="AA599" s="86"/>
      <c r="AB599" s="86"/>
      <c r="AC599" s="86"/>
      <c r="AD599" s="86"/>
      <c r="AE599" s="86"/>
    </row>
    <row r="600" spans="1:31" ht="15.75" customHeight="1">
      <c r="A600" s="86"/>
      <c r="B600" s="86"/>
      <c r="C600" s="95"/>
      <c r="D600" s="85"/>
      <c r="E600" s="86"/>
      <c r="F600" s="86"/>
      <c r="G600" s="86"/>
      <c r="H600" s="86"/>
      <c r="I600" s="86"/>
      <c r="J600" s="86"/>
      <c r="K600" s="86"/>
      <c r="L600" s="86"/>
      <c r="M600" s="86"/>
      <c r="N600" s="86"/>
      <c r="O600" s="86"/>
      <c r="P600" s="86"/>
      <c r="Q600" s="86"/>
      <c r="R600" s="86"/>
      <c r="S600" s="86"/>
      <c r="T600" s="86"/>
      <c r="U600" s="86"/>
      <c r="V600" s="86"/>
      <c r="W600" s="86"/>
      <c r="X600" s="86"/>
      <c r="Y600" s="86"/>
      <c r="Z600" s="86"/>
      <c r="AA600" s="86"/>
      <c r="AB600" s="86"/>
      <c r="AC600" s="86"/>
      <c r="AD600" s="86"/>
      <c r="AE600" s="86"/>
    </row>
    <row r="601" spans="1:31" ht="15.75" customHeight="1">
      <c r="A601" s="86"/>
      <c r="B601" s="86"/>
      <c r="C601" s="95"/>
      <c r="D601" s="85"/>
      <c r="E601" s="86"/>
      <c r="F601" s="86"/>
      <c r="G601" s="86"/>
      <c r="H601" s="86"/>
      <c r="I601" s="86"/>
      <c r="J601" s="86"/>
      <c r="K601" s="86"/>
      <c r="L601" s="86"/>
      <c r="M601" s="86"/>
      <c r="N601" s="86"/>
      <c r="O601" s="86"/>
      <c r="P601" s="86"/>
      <c r="Q601" s="86"/>
      <c r="R601" s="86"/>
      <c r="S601" s="86"/>
      <c r="T601" s="86"/>
      <c r="U601" s="86"/>
      <c r="V601" s="86"/>
      <c r="W601" s="86"/>
      <c r="X601" s="86"/>
      <c r="Y601" s="86"/>
      <c r="Z601" s="86"/>
      <c r="AA601" s="86"/>
      <c r="AB601" s="86"/>
      <c r="AC601" s="86"/>
      <c r="AD601" s="86"/>
      <c r="AE601" s="86"/>
    </row>
    <row r="602" spans="1:31" ht="15.75" customHeight="1">
      <c r="A602" s="86"/>
      <c r="B602" s="86"/>
      <c r="C602" s="95"/>
      <c r="D602" s="85"/>
      <c r="E602" s="86"/>
      <c r="F602" s="86"/>
      <c r="G602" s="86"/>
      <c r="H602" s="86"/>
      <c r="I602" s="86"/>
      <c r="J602" s="86"/>
      <c r="K602" s="86"/>
      <c r="L602" s="86"/>
      <c r="M602" s="86"/>
      <c r="N602" s="86"/>
      <c r="O602" s="86"/>
      <c r="P602" s="86"/>
      <c r="Q602" s="86"/>
      <c r="R602" s="86"/>
      <c r="S602" s="86"/>
      <c r="T602" s="86"/>
      <c r="U602" s="86"/>
      <c r="V602" s="86"/>
      <c r="W602" s="86"/>
      <c r="X602" s="86"/>
      <c r="Y602" s="86"/>
      <c r="Z602" s="86"/>
      <c r="AA602" s="86"/>
      <c r="AB602" s="86"/>
      <c r="AC602" s="86"/>
      <c r="AD602" s="86"/>
      <c r="AE602" s="86"/>
    </row>
    <row r="603" spans="1:31" ht="15.75" customHeight="1">
      <c r="A603" s="86"/>
      <c r="B603" s="86"/>
      <c r="C603" s="95"/>
      <c r="D603" s="85"/>
      <c r="E603" s="86"/>
      <c r="F603" s="86"/>
      <c r="G603" s="86"/>
      <c r="H603" s="86"/>
      <c r="I603" s="86"/>
      <c r="J603" s="86"/>
      <c r="K603" s="86"/>
      <c r="L603" s="86"/>
      <c r="M603" s="86"/>
      <c r="N603" s="86"/>
      <c r="O603" s="86"/>
      <c r="P603" s="86"/>
      <c r="Q603" s="86"/>
      <c r="R603" s="86"/>
      <c r="S603" s="86"/>
      <c r="T603" s="86"/>
      <c r="U603" s="86"/>
      <c r="V603" s="86"/>
      <c r="W603" s="86"/>
      <c r="X603" s="86"/>
      <c r="Y603" s="86"/>
      <c r="Z603" s="86"/>
      <c r="AA603" s="86"/>
      <c r="AB603" s="86"/>
      <c r="AC603" s="86"/>
      <c r="AD603" s="86"/>
      <c r="AE603" s="86"/>
    </row>
    <row r="604" spans="1:31" ht="15.75" customHeight="1">
      <c r="A604" s="86"/>
      <c r="B604" s="86"/>
      <c r="C604" s="95"/>
      <c r="D604" s="85"/>
      <c r="E604" s="86"/>
      <c r="F604" s="86"/>
      <c r="G604" s="86"/>
      <c r="H604" s="86"/>
      <c r="I604" s="86"/>
      <c r="J604" s="86"/>
      <c r="K604" s="86"/>
      <c r="L604" s="86"/>
      <c r="M604" s="86"/>
      <c r="N604" s="86"/>
      <c r="O604" s="86"/>
      <c r="P604" s="86"/>
      <c r="Q604" s="86"/>
      <c r="R604" s="86"/>
      <c r="S604" s="86"/>
      <c r="T604" s="86"/>
      <c r="U604" s="86"/>
      <c r="V604" s="86"/>
      <c r="W604" s="86"/>
      <c r="X604" s="86"/>
      <c r="Y604" s="86"/>
      <c r="Z604" s="86"/>
      <c r="AA604" s="86"/>
      <c r="AB604" s="86"/>
      <c r="AC604" s="86"/>
      <c r="AD604" s="86"/>
      <c r="AE604" s="86"/>
    </row>
    <row r="605" spans="1:31" ht="15.75" customHeight="1">
      <c r="A605" s="86"/>
      <c r="B605" s="86"/>
      <c r="C605" s="95"/>
      <c r="D605" s="85"/>
      <c r="E605" s="86"/>
      <c r="F605" s="86"/>
      <c r="G605" s="86"/>
      <c r="H605" s="86"/>
      <c r="I605" s="86"/>
      <c r="J605" s="86"/>
      <c r="K605" s="86"/>
      <c r="L605" s="86"/>
      <c r="M605" s="86"/>
      <c r="N605" s="86"/>
      <c r="O605" s="86"/>
      <c r="P605" s="86"/>
      <c r="Q605" s="86"/>
      <c r="R605" s="86"/>
      <c r="S605" s="86"/>
      <c r="T605" s="86"/>
      <c r="U605" s="86"/>
      <c r="V605" s="86"/>
      <c r="W605" s="86"/>
      <c r="X605" s="86"/>
      <c r="Y605" s="86"/>
      <c r="Z605" s="86"/>
      <c r="AA605" s="86"/>
      <c r="AB605" s="86"/>
      <c r="AC605" s="86"/>
      <c r="AD605" s="86"/>
      <c r="AE605" s="86"/>
    </row>
    <row r="606" spans="1:31" ht="15.75" customHeight="1">
      <c r="A606" s="86"/>
      <c r="B606" s="86"/>
      <c r="C606" s="95"/>
      <c r="D606" s="85"/>
      <c r="E606" s="86"/>
      <c r="F606" s="86"/>
      <c r="G606" s="86"/>
      <c r="H606" s="86"/>
      <c r="I606" s="86"/>
      <c r="J606" s="86"/>
      <c r="K606" s="86"/>
      <c r="L606" s="86"/>
      <c r="M606" s="86"/>
      <c r="N606" s="86"/>
      <c r="O606" s="86"/>
      <c r="P606" s="86"/>
      <c r="Q606" s="86"/>
      <c r="R606" s="86"/>
      <c r="S606" s="86"/>
      <c r="T606" s="86"/>
      <c r="U606" s="86"/>
      <c r="V606" s="86"/>
      <c r="W606" s="86"/>
      <c r="X606" s="86"/>
      <c r="Y606" s="86"/>
      <c r="Z606" s="86"/>
      <c r="AA606" s="86"/>
      <c r="AB606" s="86"/>
      <c r="AC606" s="86"/>
      <c r="AD606" s="86"/>
      <c r="AE606" s="86"/>
    </row>
    <row r="607" spans="1:31" ht="15.75" customHeight="1">
      <c r="A607" s="86"/>
      <c r="B607" s="86"/>
      <c r="C607" s="95"/>
      <c r="D607" s="85"/>
      <c r="E607" s="86"/>
      <c r="F607" s="86"/>
      <c r="G607" s="86"/>
      <c r="H607" s="86"/>
      <c r="I607" s="86"/>
      <c r="J607" s="86"/>
      <c r="K607" s="86"/>
      <c r="L607" s="86"/>
      <c r="M607" s="86"/>
      <c r="N607" s="86"/>
      <c r="O607" s="86"/>
      <c r="P607" s="86"/>
      <c r="Q607" s="86"/>
      <c r="R607" s="86"/>
      <c r="S607" s="86"/>
      <c r="T607" s="86"/>
      <c r="U607" s="86"/>
      <c r="V607" s="86"/>
      <c r="W607" s="86"/>
      <c r="X607" s="86"/>
      <c r="Y607" s="86"/>
      <c r="Z607" s="86"/>
      <c r="AA607" s="86"/>
      <c r="AB607" s="86"/>
      <c r="AC607" s="86"/>
      <c r="AD607" s="86"/>
      <c r="AE607" s="86"/>
    </row>
    <row r="608" spans="1:31" ht="15.75" customHeight="1">
      <c r="A608" s="86"/>
      <c r="B608" s="86"/>
      <c r="C608" s="95"/>
      <c r="D608" s="85"/>
      <c r="E608" s="86"/>
      <c r="F608" s="86"/>
      <c r="G608" s="86"/>
      <c r="H608" s="86"/>
      <c r="I608" s="86"/>
      <c r="J608" s="86"/>
      <c r="K608" s="86"/>
      <c r="L608" s="86"/>
      <c r="M608" s="86"/>
      <c r="N608" s="86"/>
      <c r="O608" s="86"/>
      <c r="P608" s="86"/>
      <c r="Q608" s="86"/>
      <c r="R608" s="86"/>
      <c r="S608" s="86"/>
      <c r="T608" s="86"/>
      <c r="U608" s="86"/>
      <c r="V608" s="86"/>
      <c r="W608" s="86"/>
      <c r="X608" s="86"/>
      <c r="Y608" s="86"/>
      <c r="Z608" s="86"/>
      <c r="AA608" s="86"/>
      <c r="AB608" s="86"/>
      <c r="AC608" s="86"/>
      <c r="AD608" s="86"/>
      <c r="AE608" s="86"/>
    </row>
    <row r="609" spans="1:31" ht="15.75" customHeight="1">
      <c r="A609" s="86"/>
      <c r="B609" s="86"/>
      <c r="C609" s="95"/>
      <c r="D609" s="85"/>
      <c r="E609" s="86"/>
      <c r="F609" s="86"/>
      <c r="G609" s="86"/>
      <c r="H609" s="86"/>
      <c r="I609" s="86"/>
      <c r="J609" s="86"/>
      <c r="K609" s="86"/>
      <c r="L609" s="86"/>
      <c r="M609" s="86"/>
      <c r="N609" s="86"/>
      <c r="O609" s="86"/>
      <c r="P609" s="86"/>
      <c r="Q609" s="86"/>
      <c r="R609" s="86"/>
      <c r="S609" s="86"/>
      <c r="T609" s="86"/>
      <c r="U609" s="86"/>
      <c r="V609" s="86"/>
      <c r="W609" s="86"/>
      <c r="X609" s="86"/>
      <c r="Y609" s="86"/>
      <c r="Z609" s="86"/>
      <c r="AA609" s="86"/>
      <c r="AB609" s="86"/>
      <c r="AC609" s="86"/>
      <c r="AD609" s="86"/>
      <c r="AE609" s="86"/>
    </row>
    <row r="610" spans="1:31" ht="15.75" customHeight="1">
      <c r="A610" s="86"/>
      <c r="B610" s="86"/>
      <c r="C610" s="95"/>
      <c r="D610" s="85"/>
      <c r="E610" s="86"/>
      <c r="F610" s="86"/>
      <c r="G610" s="86"/>
      <c r="H610" s="86"/>
      <c r="I610" s="86"/>
      <c r="J610" s="86"/>
      <c r="K610" s="86"/>
      <c r="L610" s="86"/>
      <c r="M610" s="86"/>
      <c r="N610" s="86"/>
      <c r="O610" s="86"/>
      <c r="P610" s="86"/>
      <c r="Q610" s="86"/>
      <c r="R610" s="86"/>
      <c r="S610" s="86"/>
      <c r="T610" s="86"/>
      <c r="U610" s="86"/>
      <c r="V610" s="86"/>
      <c r="W610" s="86"/>
      <c r="X610" s="86"/>
      <c r="Y610" s="86"/>
      <c r="Z610" s="86"/>
      <c r="AA610" s="86"/>
      <c r="AB610" s="86"/>
      <c r="AC610" s="86"/>
      <c r="AD610" s="86"/>
      <c r="AE610" s="86"/>
    </row>
    <row r="611" spans="1:31" ht="15.75" customHeight="1">
      <c r="A611" s="86"/>
      <c r="B611" s="86"/>
      <c r="C611" s="95"/>
      <c r="D611" s="85"/>
      <c r="E611" s="86"/>
      <c r="F611" s="86"/>
      <c r="G611" s="86"/>
      <c r="H611" s="86"/>
      <c r="I611" s="86"/>
      <c r="J611" s="86"/>
      <c r="K611" s="86"/>
      <c r="L611" s="86"/>
      <c r="M611" s="86"/>
      <c r="N611" s="86"/>
      <c r="O611" s="86"/>
      <c r="P611" s="86"/>
      <c r="Q611" s="86"/>
      <c r="R611" s="86"/>
      <c r="S611" s="86"/>
      <c r="T611" s="86"/>
      <c r="U611" s="86"/>
      <c r="V611" s="86"/>
      <c r="W611" s="86"/>
      <c r="X611" s="86"/>
      <c r="Y611" s="86"/>
      <c r="Z611" s="86"/>
      <c r="AA611" s="86"/>
      <c r="AB611" s="86"/>
      <c r="AC611" s="86"/>
      <c r="AD611" s="86"/>
      <c r="AE611" s="86"/>
    </row>
    <row r="612" spans="1:31" ht="15.75" customHeight="1">
      <c r="A612" s="86"/>
      <c r="B612" s="86"/>
      <c r="C612" s="95"/>
      <c r="D612" s="85"/>
      <c r="E612" s="86"/>
      <c r="F612" s="86"/>
      <c r="G612" s="86"/>
      <c r="H612" s="86"/>
      <c r="I612" s="86"/>
      <c r="J612" s="86"/>
      <c r="K612" s="86"/>
      <c r="L612" s="86"/>
      <c r="M612" s="86"/>
      <c r="N612" s="86"/>
      <c r="O612" s="86"/>
      <c r="P612" s="86"/>
      <c r="Q612" s="86"/>
      <c r="R612" s="86"/>
      <c r="S612" s="86"/>
      <c r="T612" s="86"/>
      <c r="U612" s="86"/>
      <c r="V612" s="86"/>
      <c r="W612" s="86"/>
      <c r="X612" s="86"/>
      <c r="Y612" s="86"/>
      <c r="Z612" s="86"/>
      <c r="AA612" s="86"/>
      <c r="AB612" s="86"/>
      <c r="AC612" s="86"/>
      <c r="AD612" s="86"/>
      <c r="AE612" s="86"/>
    </row>
    <row r="613" spans="1:31" ht="15.75" customHeight="1">
      <c r="A613" s="86"/>
      <c r="B613" s="86"/>
      <c r="C613" s="95"/>
      <c r="D613" s="85"/>
      <c r="E613" s="86"/>
      <c r="F613" s="86"/>
      <c r="G613" s="86"/>
      <c r="H613" s="86"/>
      <c r="I613" s="86"/>
      <c r="J613" s="86"/>
      <c r="K613" s="86"/>
      <c r="L613" s="86"/>
      <c r="M613" s="86"/>
      <c r="N613" s="86"/>
      <c r="O613" s="86"/>
      <c r="P613" s="86"/>
      <c r="Q613" s="86"/>
      <c r="R613" s="86"/>
      <c r="S613" s="86"/>
      <c r="T613" s="86"/>
      <c r="U613" s="86"/>
      <c r="V613" s="86"/>
      <c r="W613" s="86"/>
      <c r="X613" s="86"/>
      <c r="Y613" s="86"/>
      <c r="Z613" s="86"/>
      <c r="AA613" s="86"/>
      <c r="AB613" s="86"/>
      <c r="AC613" s="86"/>
      <c r="AD613" s="86"/>
      <c r="AE613" s="86"/>
    </row>
    <row r="614" spans="1:31" ht="15.75" customHeight="1">
      <c r="A614" s="86"/>
      <c r="B614" s="86"/>
      <c r="C614" s="95"/>
      <c r="D614" s="85"/>
      <c r="E614" s="86"/>
      <c r="F614" s="86"/>
      <c r="G614" s="86"/>
      <c r="H614" s="86"/>
      <c r="I614" s="86"/>
      <c r="J614" s="86"/>
      <c r="K614" s="86"/>
      <c r="L614" s="86"/>
      <c r="M614" s="86"/>
      <c r="N614" s="86"/>
      <c r="O614" s="86"/>
      <c r="P614" s="86"/>
      <c r="Q614" s="86"/>
      <c r="R614" s="86"/>
      <c r="S614" s="86"/>
      <c r="T614" s="86"/>
      <c r="U614" s="86"/>
      <c r="V614" s="86"/>
      <c r="W614" s="86"/>
      <c r="X614" s="86"/>
      <c r="Y614" s="86"/>
      <c r="Z614" s="86"/>
      <c r="AA614" s="86"/>
      <c r="AB614" s="86"/>
      <c r="AC614" s="86"/>
      <c r="AD614" s="86"/>
      <c r="AE614" s="86"/>
    </row>
    <row r="615" spans="1:31" ht="15.75" customHeight="1">
      <c r="A615" s="86"/>
      <c r="B615" s="86"/>
      <c r="C615" s="95"/>
      <c r="D615" s="85"/>
      <c r="E615" s="86"/>
      <c r="F615" s="86"/>
      <c r="G615" s="86"/>
      <c r="H615" s="86"/>
      <c r="I615" s="86"/>
      <c r="J615" s="86"/>
      <c r="K615" s="86"/>
      <c r="L615" s="86"/>
      <c r="M615" s="86"/>
      <c r="N615" s="86"/>
      <c r="O615" s="86"/>
      <c r="P615" s="86"/>
      <c r="Q615" s="86"/>
      <c r="R615" s="86"/>
      <c r="S615" s="86"/>
      <c r="T615" s="86"/>
      <c r="U615" s="86"/>
      <c r="V615" s="86"/>
      <c r="W615" s="86"/>
      <c r="X615" s="86"/>
      <c r="Y615" s="86"/>
      <c r="Z615" s="86"/>
      <c r="AA615" s="86"/>
      <c r="AB615" s="86"/>
      <c r="AC615" s="86"/>
      <c r="AD615" s="86"/>
      <c r="AE615" s="86"/>
    </row>
    <row r="616" spans="1:31" ht="15.75" customHeight="1">
      <c r="A616" s="86"/>
      <c r="B616" s="86"/>
      <c r="C616" s="95"/>
      <c r="D616" s="85"/>
      <c r="E616" s="86"/>
      <c r="F616" s="86"/>
      <c r="G616" s="86"/>
      <c r="H616" s="86"/>
      <c r="I616" s="86"/>
      <c r="J616" s="86"/>
      <c r="K616" s="86"/>
      <c r="L616" s="86"/>
      <c r="M616" s="86"/>
      <c r="N616" s="86"/>
      <c r="O616" s="86"/>
      <c r="P616" s="86"/>
      <c r="Q616" s="86"/>
      <c r="R616" s="86"/>
      <c r="S616" s="86"/>
      <c r="T616" s="86"/>
      <c r="U616" s="86"/>
      <c r="V616" s="86"/>
      <c r="W616" s="86"/>
      <c r="X616" s="86"/>
      <c r="Y616" s="86"/>
      <c r="Z616" s="86"/>
      <c r="AA616" s="86"/>
      <c r="AB616" s="86"/>
      <c r="AC616" s="86"/>
      <c r="AD616" s="86"/>
      <c r="AE616" s="86"/>
    </row>
    <row r="617" spans="1:31" ht="15.75" customHeight="1">
      <c r="A617" s="86"/>
      <c r="B617" s="86"/>
      <c r="C617" s="95"/>
      <c r="D617" s="85"/>
      <c r="E617" s="86"/>
      <c r="F617" s="86"/>
      <c r="G617" s="86"/>
      <c r="H617" s="86"/>
      <c r="I617" s="86"/>
      <c r="J617" s="86"/>
      <c r="K617" s="86"/>
      <c r="L617" s="86"/>
      <c r="M617" s="86"/>
      <c r="N617" s="86"/>
      <c r="O617" s="86"/>
      <c r="P617" s="86"/>
      <c r="Q617" s="86"/>
      <c r="R617" s="86"/>
      <c r="S617" s="86"/>
      <c r="T617" s="86"/>
      <c r="U617" s="86"/>
      <c r="V617" s="86"/>
      <c r="W617" s="86"/>
      <c r="X617" s="86"/>
      <c r="Y617" s="86"/>
      <c r="Z617" s="86"/>
      <c r="AA617" s="86"/>
      <c r="AB617" s="86"/>
      <c r="AC617" s="86"/>
      <c r="AD617" s="86"/>
      <c r="AE617" s="86"/>
    </row>
    <row r="618" spans="1:31" ht="15.75" customHeight="1">
      <c r="A618" s="86"/>
      <c r="B618" s="86"/>
      <c r="C618" s="95"/>
      <c r="D618" s="85"/>
      <c r="E618" s="86"/>
      <c r="F618" s="86"/>
      <c r="G618" s="86"/>
      <c r="H618" s="86"/>
      <c r="I618" s="86"/>
      <c r="J618" s="86"/>
      <c r="K618" s="86"/>
      <c r="L618" s="86"/>
      <c r="M618" s="86"/>
      <c r="N618" s="86"/>
      <c r="O618" s="86"/>
      <c r="P618" s="86"/>
      <c r="Q618" s="86"/>
      <c r="R618" s="86"/>
      <c r="S618" s="86"/>
      <c r="T618" s="86"/>
      <c r="U618" s="86"/>
      <c r="V618" s="86"/>
      <c r="W618" s="86"/>
      <c r="X618" s="86"/>
      <c r="Y618" s="86"/>
      <c r="Z618" s="86"/>
      <c r="AA618" s="86"/>
      <c r="AB618" s="86"/>
      <c r="AC618" s="86"/>
      <c r="AD618" s="86"/>
      <c r="AE618" s="86"/>
    </row>
    <row r="619" spans="1:31" ht="15.75" customHeight="1">
      <c r="A619" s="86"/>
      <c r="B619" s="86"/>
      <c r="C619" s="95"/>
      <c r="D619" s="85"/>
      <c r="E619" s="86"/>
      <c r="F619" s="86"/>
      <c r="G619" s="86"/>
      <c r="H619" s="86"/>
      <c r="I619" s="86"/>
      <c r="J619" s="86"/>
      <c r="K619" s="86"/>
      <c r="L619" s="86"/>
      <c r="M619" s="86"/>
      <c r="N619" s="86"/>
      <c r="O619" s="86"/>
      <c r="P619" s="86"/>
      <c r="Q619" s="86"/>
      <c r="R619" s="86"/>
      <c r="S619" s="86"/>
      <c r="T619" s="86"/>
      <c r="U619" s="86"/>
      <c r="V619" s="86"/>
      <c r="W619" s="86"/>
      <c r="X619" s="86"/>
      <c r="Y619" s="86"/>
      <c r="Z619" s="86"/>
      <c r="AA619" s="86"/>
      <c r="AB619" s="86"/>
      <c r="AC619" s="86"/>
      <c r="AD619" s="86"/>
      <c r="AE619" s="86"/>
    </row>
    <row r="620" spans="1:31" ht="15.75" customHeight="1">
      <c r="A620" s="86"/>
      <c r="B620" s="86"/>
      <c r="C620" s="95"/>
      <c r="D620" s="85"/>
      <c r="E620" s="86"/>
      <c r="F620" s="86"/>
      <c r="G620" s="86"/>
      <c r="H620" s="86"/>
      <c r="I620" s="86"/>
      <c r="J620" s="86"/>
      <c r="K620" s="86"/>
      <c r="L620" s="86"/>
      <c r="M620" s="86"/>
      <c r="N620" s="86"/>
      <c r="O620" s="86"/>
      <c r="P620" s="86"/>
      <c r="Q620" s="86"/>
      <c r="R620" s="86"/>
      <c r="S620" s="86"/>
      <c r="T620" s="86"/>
      <c r="U620" s="86"/>
      <c r="V620" s="86"/>
      <c r="W620" s="86"/>
      <c r="X620" s="86"/>
      <c r="Y620" s="86"/>
      <c r="Z620" s="86"/>
      <c r="AA620" s="86"/>
      <c r="AB620" s="86"/>
      <c r="AC620" s="86"/>
      <c r="AD620" s="86"/>
      <c r="AE620" s="86"/>
    </row>
    <row r="621" spans="1:31" ht="15.75" customHeight="1">
      <c r="A621" s="86"/>
      <c r="B621" s="86"/>
      <c r="C621" s="95"/>
      <c r="D621" s="85"/>
      <c r="E621" s="86"/>
      <c r="F621" s="86"/>
      <c r="G621" s="86"/>
      <c r="H621" s="86"/>
      <c r="I621" s="86"/>
      <c r="J621" s="86"/>
      <c r="K621" s="86"/>
      <c r="L621" s="86"/>
      <c r="M621" s="86"/>
      <c r="N621" s="86"/>
      <c r="O621" s="86"/>
      <c r="P621" s="86"/>
      <c r="Q621" s="86"/>
      <c r="R621" s="86"/>
      <c r="S621" s="86"/>
      <c r="T621" s="86"/>
      <c r="U621" s="86"/>
      <c r="V621" s="86"/>
      <c r="W621" s="86"/>
      <c r="X621" s="86"/>
      <c r="Y621" s="86"/>
      <c r="Z621" s="86"/>
      <c r="AA621" s="86"/>
      <c r="AB621" s="86"/>
      <c r="AC621" s="86"/>
      <c r="AD621" s="86"/>
      <c r="AE621" s="86"/>
    </row>
    <row r="622" spans="1:31" ht="15.75" customHeight="1">
      <c r="A622" s="86"/>
      <c r="B622" s="86"/>
      <c r="C622" s="95"/>
      <c r="D622" s="85"/>
      <c r="E622" s="86"/>
      <c r="F622" s="86"/>
      <c r="G622" s="86"/>
      <c r="H622" s="86"/>
      <c r="I622" s="86"/>
      <c r="J622" s="86"/>
      <c r="K622" s="86"/>
      <c r="L622" s="86"/>
      <c r="M622" s="86"/>
      <c r="N622" s="86"/>
      <c r="O622" s="86"/>
      <c r="P622" s="86"/>
      <c r="Q622" s="86"/>
      <c r="R622" s="86"/>
      <c r="S622" s="86"/>
      <c r="T622" s="86"/>
      <c r="U622" s="86"/>
      <c r="V622" s="86"/>
      <c r="W622" s="86"/>
      <c r="X622" s="86"/>
      <c r="Y622" s="86"/>
      <c r="Z622" s="86"/>
      <c r="AA622" s="86"/>
      <c r="AB622" s="86"/>
      <c r="AC622" s="86"/>
      <c r="AD622" s="86"/>
      <c r="AE622" s="86"/>
    </row>
    <row r="623" spans="1:31" ht="15.75" customHeight="1">
      <c r="A623" s="86"/>
      <c r="B623" s="86"/>
      <c r="C623" s="95"/>
      <c r="D623" s="85"/>
      <c r="E623" s="86"/>
      <c r="F623" s="86"/>
      <c r="G623" s="86"/>
      <c r="H623" s="86"/>
      <c r="I623" s="86"/>
      <c r="J623" s="86"/>
      <c r="K623" s="86"/>
      <c r="L623" s="86"/>
      <c r="M623" s="86"/>
      <c r="N623" s="86"/>
      <c r="O623" s="86"/>
      <c r="P623" s="86"/>
      <c r="Q623" s="86"/>
      <c r="R623" s="86"/>
      <c r="S623" s="86"/>
      <c r="T623" s="86"/>
      <c r="U623" s="86"/>
      <c r="V623" s="86"/>
      <c r="W623" s="86"/>
      <c r="X623" s="86"/>
      <c r="Y623" s="86"/>
      <c r="Z623" s="86"/>
      <c r="AA623" s="86"/>
      <c r="AB623" s="86"/>
      <c r="AC623" s="86"/>
      <c r="AD623" s="86"/>
      <c r="AE623" s="86"/>
    </row>
    <row r="624" spans="1:31" ht="15.75" customHeight="1">
      <c r="A624" s="86"/>
      <c r="B624" s="86"/>
      <c r="C624" s="95"/>
      <c r="D624" s="85"/>
      <c r="E624" s="86"/>
      <c r="F624" s="86"/>
      <c r="G624" s="86"/>
      <c r="H624" s="86"/>
      <c r="I624" s="86"/>
      <c r="J624" s="86"/>
      <c r="K624" s="86"/>
      <c r="L624" s="86"/>
      <c r="M624" s="86"/>
      <c r="N624" s="86"/>
      <c r="O624" s="86"/>
      <c r="P624" s="86"/>
      <c r="Q624" s="86"/>
      <c r="R624" s="86"/>
      <c r="S624" s="86"/>
      <c r="T624" s="86"/>
      <c r="U624" s="86"/>
      <c r="V624" s="86"/>
      <c r="W624" s="86"/>
      <c r="X624" s="86"/>
      <c r="Y624" s="86"/>
      <c r="Z624" s="86"/>
      <c r="AA624" s="86"/>
      <c r="AB624" s="86"/>
      <c r="AC624" s="86"/>
      <c r="AD624" s="86"/>
      <c r="AE624" s="86"/>
    </row>
    <row r="625" spans="1:31" ht="15.75" customHeight="1">
      <c r="A625" s="86"/>
      <c r="B625" s="86"/>
      <c r="C625" s="95"/>
      <c r="D625" s="85"/>
      <c r="E625" s="86"/>
      <c r="F625" s="86"/>
      <c r="G625" s="86"/>
      <c r="H625" s="86"/>
      <c r="I625" s="86"/>
      <c r="J625" s="86"/>
      <c r="K625" s="86"/>
      <c r="L625" s="86"/>
      <c r="M625" s="86"/>
      <c r="N625" s="86"/>
      <c r="O625" s="86"/>
      <c r="P625" s="86"/>
      <c r="Q625" s="86"/>
      <c r="R625" s="86"/>
      <c r="S625" s="86"/>
      <c r="T625" s="86"/>
      <c r="U625" s="86"/>
      <c r="V625" s="86"/>
      <c r="W625" s="86"/>
      <c r="X625" s="86"/>
      <c r="Y625" s="86"/>
      <c r="Z625" s="86"/>
      <c r="AA625" s="86"/>
      <c r="AB625" s="86"/>
      <c r="AC625" s="86"/>
      <c r="AD625" s="86"/>
      <c r="AE625" s="86"/>
    </row>
    <row r="626" spans="1:31" ht="15.75" customHeight="1">
      <c r="A626" s="86"/>
      <c r="B626" s="86"/>
      <c r="C626" s="95"/>
      <c r="D626" s="85"/>
      <c r="E626" s="86"/>
      <c r="F626" s="86"/>
      <c r="G626" s="86"/>
      <c r="H626" s="86"/>
      <c r="I626" s="86"/>
      <c r="J626" s="86"/>
      <c r="K626" s="86"/>
      <c r="L626" s="86"/>
      <c r="M626" s="86"/>
      <c r="N626" s="86"/>
      <c r="O626" s="86"/>
      <c r="P626" s="86"/>
      <c r="Q626" s="86"/>
      <c r="R626" s="86"/>
      <c r="S626" s="86"/>
      <c r="T626" s="86"/>
      <c r="U626" s="86"/>
      <c r="V626" s="86"/>
      <c r="W626" s="86"/>
      <c r="X626" s="86"/>
      <c r="Y626" s="86"/>
      <c r="Z626" s="86"/>
      <c r="AA626" s="86"/>
      <c r="AB626" s="86"/>
      <c r="AC626" s="86"/>
      <c r="AD626" s="86"/>
      <c r="AE626" s="86"/>
    </row>
    <row r="627" spans="1:31" ht="15.75" customHeight="1">
      <c r="A627" s="86"/>
      <c r="B627" s="86"/>
      <c r="C627" s="95"/>
      <c r="D627" s="85"/>
      <c r="E627" s="86"/>
      <c r="F627" s="86"/>
      <c r="G627" s="86"/>
      <c r="H627" s="86"/>
      <c r="I627" s="86"/>
      <c r="J627" s="86"/>
      <c r="K627" s="86"/>
      <c r="L627" s="86"/>
      <c r="M627" s="86"/>
      <c r="N627" s="86"/>
      <c r="O627" s="86"/>
      <c r="P627" s="86"/>
      <c r="Q627" s="86"/>
      <c r="R627" s="86"/>
      <c r="S627" s="86"/>
      <c r="T627" s="86"/>
      <c r="U627" s="86"/>
      <c r="V627" s="86"/>
      <c r="W627" s="86"/>
      <c r="X627" s="86"/>
      <c r="Y627" s="86"/>
      <c r="Z627" s="86"/>
      <c r="AA627" s="86"/>
      <c r="AB627" s="86"/>
      <c r="AC627" s="86"/>
      <c r="AD627" s="86"/>
      <c r="AE627" s="86"/>
    </row>
    <row r="628" spans="1:31" ht="15.75" customHeight="1">
      <c r="A628" s="86"/>
      <c r="B628" s="86"/>
      <c r="C628" s="95"/>
      <c r="D628" s="85"/>
      <c r="E628" s="86"/>
      <c r="F628" s="86"/>
      <c r="G628" s="86"/>
      <c r="H628" s="86"/>
      <c r="I628" s="86"/>
      <c r="J628" s="86"/>
      <c r="K628" s="86"/>
      <c r="L628" s="86"/>
      <c r="M628" s="86"/>
      <c r="N628" s="86"/>
      <c r="O628" s="86"/>
      <c r="P628" s="86"/>
      <c r="Q628" s="86"/>
      <c r="R628" s="86"/>
      <c r="S628" s="86"/>
      <c r="T628" s="86"/>
      <c r="U628" s="86"/>
      <c r="V628" s="86"/>
      <c r="W628" s="86"/>
      <c r="X628" s="86"/>
      <c r="Y628" s="86"/>
      <c r="Z628" s="86"/>
      <c r="AA628" s="86"/>
      <c r="AB628" s="86"/>
      <c r="AC628" s="86"/>
      <c r="AD628" s="86"/>
      <c r="AE628" s="86"/>
    </row>
    <row r="629" spans="1:31" ht="15.75" customHeight="1">
      <c r="A629" s="86"/>
      <c r="B629" s="86"/>
      <c r="C629" s="95"/>
      <c r="D629" s="85"/>
      <c r="E629" s="86"/>
      <c r="F629" s="86"/>
      <c r="G629" s="86"/>
      <c r="H629" s="86"/>
      <c r="I629" s="86"/>
      <c r="J629" s="86"/>
      <c r="K629" s="86"/>
      <c r="L629" s="86"/>
      <c r="M629" s="86"/>
      <c r="N629" s="86"/>
      <c r="O629" s="86"/>
      <c r="P629" s="86"/>
      <c r="Q629" s="86"/>
      <c r="R629" s="86"/>
      <c r="S629" s="86"/>
      <c r="T629" s="86"/>
      <c r="U629" s="86"/>
      <c r="V629" s="86"/>
      <c r="W629" s="86"/>
      <c r="X629" s="86"/>
      <c r="Y629" s="86"/>
      <c r="Z629" s="86"/>
      <c r="AA629" s="86"/>
      <c r="AB629" s="86"/>
      <c r="AC629" s="86"/>
      <c r="AD629" s="86"/>
      <c r="AE629" s="86"/>
    </row>
    <row r="630" spans="1:31" ht="15.75" customHeight="1">
      <c r="A630" s="86"/>
      <c r="B630" s="86"/>
      <c r="C630" s="95"/>
      <c r="D630" s="85"/>
      <c r="E630" s="86"/>
      <c r="F630" s="86"/>
      <c r="G630" s="86"/>
      <c r="H630" s="86"/>
      <c r="I630" s="86"/>
      <c r="J630" s="86"/>
      <c r="K630" s="86"/>
      <c r="L630" s="86"/>
      <c r="M630" s="86"/>
      <c r="N630" s="86"/>
      <c r="O630" s="86"/>
      <c r="P630" s="86"/>
      <c r="Q630" s="86"/>
      <c r="R630" s="86"/>
      <c r="S630" s="86"/>
      <c r="T630" s="86"/>
      <c r="U630" s="86"/>
      <c r="V630" s="86"/>
      <c r="W630" s="86"/>
      <c r="X630" s="86"/>
      <c r="Y630" s="86"/>
      <c r="Z630" s="86"/>
      <c r="AA630" s="86"/>
      <c r="AB630" s="86"/>
      <c r="AC630" s="86"/>
      <c r="AD630" s="86"/>
      <c r="AE630" s="86"/>
    </row>
    <row r="631" spans="1:31" ht="15.75" customHeight="1">
      <c r="A631" s="86"/>
      <c r="B631" s="86"/>
      <c r="C631" s="95"/>
      <c r="D631" s="85"/>
      <c r="E631" s="86"/>
      <c r="F631" s="86"/>
      <c r="G631" s="86"/>
      <c r="H631" s="86"/>
      <c r="I631" s="86"/>
      <c r="J631" s="86"/>
      <c r="K631" s="86"/>
      <c r="L631" s="86"/>
      <c r="M631" s="86"/>
      <c r="N631" s="86"/>
      <c r="O631" s="86"/>
      <c r="P631" s="86"/>
      <c r="Q631" s="86"/>
      <c r="R631" s="86"/>
      <c r="S631" s="86"/>
      <c r="T631" s="86"/>
      <c r="U631" s="86"/>
      <c r="V631" s="86"/>
      <c r="W631" s="86"/>
      <c r="X631" s="86"/>
      <c r="Y631" s="86"/>
      <c r="Z631" s="86"/>
      <c r="AA631" s="86"/>
      <c r="AB631" s="86"/>
      <c r="AC631" s="86"/>
      <c r="AD631" s="86"/>
      <c r="AE631" s="86"/>
    </row>
    <row r="632" spans="1:31" ht="15.75" customHeight="1">
      <c r="A632" s="86"/>
      <c r="B632" s="86"/>
      <c r="C632" s="95"/>
      <c r="D632" s="85"/>
      <c r="E632" s="86"/>
      <c r="F632" s="86"/>
      <c r="G632" s="86"/>
      <c r="H632" s="86"/>
      <c r="I632" s="86"/>
      <c r="J632" s="86"/>
      <c r="K632" s="86"/>
      <c r="L632" s="86"/>
      <c r="M632" s="86"/>
      <c r="N632" s="86"/>
      <c r="O632" s="86"/>
      <c r="P632" s="86"/>
      <c r="Q632" s="86"/>
      <c r="R632" s="86"/>
      <c r="S632" s="86"/>
      <c r="T632" s="86"/>
      <c r="U632" s="86"/>
      <c r="V632" s="86"/>
      <c r="W632" s="86"/>
      <c r="X632" s="86"/>
      <c r="Y632" s="86"/>
      <c r="Z632" s="86"/>
      <c r="AA632" s="86"/>
      <c r="AB632" s="86"/>
      <c r="AC632" s="86"/>
      <c r="AD632" s="86"/>
      <c r="AE632" s="86"/>
    </row>
    <row r="633" spans="1:31" ht="15.75" customHeight="1">
      <c r="A633" s="86"/>
      <c r="B633" s="86"/>
      <c r="C633" s="95"/>
      <c r="D633" s="85"/>
      <c r="E633" s="86"/>
      <c r="F633" s="86"/>
      <c r="G633" s="86"/>
      <c r="H633" s="86"/>
      <c r="I633" s="86"/>
      <c r="J633" s="86"/>
      <c r="K633" s="86"/>
      <c r="L633" s="86"/>
      <c r="M633" s="86"/>
      <c r="N633" s="86"/>
      <c r="O633" s="86"/>
      <c r="P633" s="86"/>
      <c r="Q633" s="86"/>
      <c r="R633" s="86"/>
      <c r="S633" s="86"/>
      <c r="T633" s="86"/>
      <c r="U633" s="86"/>
      <c r="V633" s="86"/>
      <c r="W633" s="86"/>
      <c r="X633" s="86"/>
      <c r="Y633" s="86"/>
      <c r="Z633" s="86"/>
      <c r="AA633" s="86"/>
      <c r="AB633" s="86"/>
      <c r="AC633" s="86"/>
      <c r="AD633" s="86"/>
      <c r="AE633" s="86"/>
    </row>
    <row r="634" spans="1:31" ht="15.75" customHeight="1">
      <c r="A634" s="86"/>
      <c r="B634" s="86"/>
      <c r="C634" s="95"/>
      <c r="D634" s="85"/>
      <c r="E634" s="86"/>
      <c r="F634" s="86"/>
      <c r="G634" s="86"/>
      <c r="H634" s="86"/>
      <c r="I634" s="86"/>
      <c r="J634" s="86"/>
      <c r="K634" s="86"/>
      <c r="L634" s="86"/>
      <c r="M634" s="86"/>
      <c r="N634" s="86"/>
      <c r="O634" s="86"/>
      <c r="P634" s="86"/>
      <c r="Q634" s="86"/>
      <c r="R634" s="86"/>
      <c r="S634" s="86"/>
      <c r="T634" s="86"/>
      <c r="U634" s="86"/>
      <c r="V634" s="86"/>
      <c r="W634" s="86"/>
      <c r="X634" s="86"/>
      <c r="Y634" s="86"/>
      <c r="Z634" s="86"/>
      <c r="AA634" s="86"/>
      <c r="AB634" s="86"/>
      <c r="AC634" s="86"/>
      <c r="AD634" s="86"/>
      <c r="AE634" s="86"/>
    </row>
    <row r="635" spans="1:31" ht="15.75" customHeight="1">
      <c r="A635" s="86"/>
      <c r="B635" s="86"/>
      <c r="C635" s="95"/>
      <c r="D635" s="85"/>
      <c r="E635" s="86"/>
      <c r="F635" s="86"/>
      <c r="G635" s="86"/>
      <c r="H635" s="86"/>
      <c r="I635" s="86"/>
      <c r="J635" s="86"/>
      <c r="K635" s="86"/>
      <c r="L635" s="86"/>
      <c r="M635" s="86"/>
      <c r="N635" s="86"/>
      <c r="O635" s="86"/>
      <c r="P635" s="86"/>
      <c r="Q635" s="86"/>
      <c r="R635" s="86"/>
      <c r="S635" s="86"/>
      <c r="T635" s="86"/>
      <c r="U635" s="86"/>
      <c r="V635" s="86"/>
      <c r="W635" s="86"/>
      <c r="X635" s="86"/>
      <c r="Y635" s="86"/>
      <c r="Z635" s="86"/>
      <c r="AA635" s="86"/>
      <c r="AB635" s="86"/>
      <c r="AC635" s="86"/>
      <c r="AD635" s="86"/>
      <c r="AE635" s="86"/>
    </row>
    <row r="636" spans="1:31" ht="15.75" customHeight="1">
      <c r="A636" s="86"/>
      <c r="B636" s="86"/>
      <c r="C636" s="95"/>
      <c r="D636" s="85"/>
      <c r="E636" s="86"/>
      <c r="F636" s="86"/>
      <c r="G636" s="86"/>
      <c r="H636" s="86"/>
      <c r="I636" s="86"/>
      <c r="J636" s="86"/>
      <c r="K636" s="86"/>
      <c r="L636" s="86"/>
      <c r="M636" s="86"/>
      <c r="N636" s="86"/>
      <c r="O636" s="86"/>
      <c r="P636" s="86"/>
      <c r="Q636" s="86"/>
      <c r="R636" s="86"/>
      <c r="S636" s="86"/>
      <c r="T636" s="86"/>
      <c r="U636" s="86"/>
      <c r="V636" s="86"/>
      <c r="W636" s="86"/>
      <c r="X636" s="86"/>
      <c r="Y636" s="86"/>
      <c r="Z636" s="86"/>
      <c r="AA636" s="86"/>
      <c r="AB636" s="86"/>
      <c r="AC636" s="86"/>
      <c r="AD636" s="86"/>
      <c r="AE636" s="86"/>
    </row>
    <row r="637" spans="1:31" ht="15.75" customHeight="1">
      <c r="A637" s="86"/>
      <c r="B637" s="86"/>
      <c r="C637" s="95"/>
      <c r="D637" s="85"/>
      <c r="E637" s="86"/>
      <c r="F637" s="86"/>
      <c r="G637" s="86"/>
      <c r="H637" s="86"/>
      <c r="I637" s="86"/>
      <c r="J637" s="86"/>
      <c r="K637" s="86"/>
      <c r="L637" s="86"/>
      <c r="M637" s="86"/>
      <c r="N637" s="86"/>
      <c r="O637" s="86"/>
      <c r="P637" s="86"/>
      <c r="Q637" s="86"/>
      <c r="R637" s="86"/>
      <c r="S637" s="86"/>
      <c r="T637" s="86"/>
      <c r="U637" s="86"/>
      <c r="V637" s="86"/>
      <c r="W637" s="86"/>
      <c r="X637" s="86"/>
      <c r="Y637" s="86"/>
      <c r="Z637" s="86"/>
      <c r="AA637" s="86"/>
      <c r="AB637" s="86"/>
      <c r="AC637" s="86"/>
      <c r="AD637" s="86"/>
      <c r="AE637" s="86"/>
    </row>
    <row r="638" spans="1:31" ht="15.75" customHeight="1">
      <c r="A638" s="86"/>
      <c r="B638" s="86"/>
      <c r="C638" s="95"/>
      <c r="D638" s="85"/>
      <c r="E638" s="86"/>
      <c r="F638" s="86"/>
      <c r="G638" s="86"/>
      <c r="H638" s="86"/>
      <c r="I638" s="86"/>
      <c r="J638" s="86"/>
      <c r="K638" s="86"/>
      <c r="L638" s="86"/>
      <c r="M638" s="86"/>
      <c r="N638" s="86"/>
      <c r="O638" s="86"/>
      <c r="P638" s="86"/>
      <c r="Q638" s="86"/>
      <c r="R638" s="86"/>
      <c r="S638" s="86"/>
      <c r="T638" s="86"/>
      <c r="U638" s="86"/>
      <c r="V638" s="86"/>
      <c r="W638" s="86"/>
      <c r="X638" s="86"/>
      <c r="Y638" s="86"/>
      <c r="Z638" s="86"/>
      <c r="AA638" s="86"/>
      <c r="AB638" s="86"/>
      <c r="AC638" s="86"/>
      <c r="AD638" s="86"/>
      <c r="AE638" s="86"/>
    </row>
    <row r="639" spans="1:31" ht="15.75" customHeight="1">
      <c r="A639" s="86"/>
      <c r="B639" s="86"/>
      <c r="C639" s="95"/>
      <c r="D639" s="85"/>
      <c r="E639" s="86"/>
      <c r="F639" s="86"/>
      <c r="G639" s="86"/>
      <c r="H639" s="86"/>
      <c r="I639" s="86"/>
      <c r="J639" s="86"/>
      <c r="K639" s="86"/>
      <c r="L639" s="86"/>
      <c r="M639" s="86"/>
      <c r="N639" s="86"/>
      <c r="O639" s="86"/>
      <c r="P639" s="86"/>
      <c r="Q639" s="86"/>
      <c r="R639" s="86"/>
      <c r="S639" s="86"/>
      <c r="T639" s="86"/>
      <c r="U639" s="86"/>
      <c r="V639" s="86"/>
      <c r="W639" s="86"/>
      <c r="X639" s="86"/>
      <c r="Y639" s="86"/>
      <c r="Z639" s="86"/>
      <c r="AA639" s="86"/>
      <c r="AB639" s="86"/>
      <c r="AC639" s="86"/>
      <c r="AD639" s="86"/>
      <c r="AE639" s="86"/>
    </row>
    <row r="640" spans="1:31" ht="15.75" customHeight="1">
      <c r="A640" s="86"/>
      <c r="B640" s="86"/>
      <c r="C640" s="95"/>
      <c r="D640" s="85"/>
      <c r="E640" s="86"/>
      <c r="F640" s="86"/>
      <c r="G640" s="86"/>
      <c r="H640" s="86"/>
      <c r="I640" s="86"/>
      <c r="J640" s="86"/>
      <c r="K640" s="86"/>
      <c r="L640" s="86"/>
      <c r="M640" s="86"/>
      <c r="N640" s="86"/>
      <c r="O640" s="86"/>
      <c r="P640" s="86"/>
      <c r="Q640" s="86"/>
      <c r="R640" s="86"/>
      <c r="S640" s="86"/>
      <c r="T640" s="86"/>
      <c r="U640" s="86"/>
      <c r="V640" s="86"/>
      <c r="W640" s="86"/>
      <c r="X640" s="86"/>
      <c r="Y640" s="86"/>
      <c r="Z640" s="86"/>
      <c r="AA640" s="86"/>
      <c r="AB640" s="86"/>
      <c r="AC640" s="86"/>
      <c r="AD640" s="86"/>
      <c r="AE640" s="86"/>
    </row>
    <row r="641" spans="1:31" ht="15.75" customHeight="1">
      <c r="A641" s="86"/>
      <c r="B641" s="86"/>
      <c r="C641" s="95"/>
      <c r="D641" s="85"/>
      <c r="E641" s="86"/>
      <c r="F641" s="86"/>
      <c r="G641" s="86"/>
      <c r="H641" s="86"/>
      <c r="I641" s="86"/>
      <c r="J641" s="86"/>
      <c r="K641" s="86"/>
      <c r="L641" s="86"/>
      <c r="M641" s="86"/>
      <c r="N641" s="86"/>
      <c r="O641" s="86"/>
      <c r="P641" s="86"/>
      <c r="Q641" s="86"/>
      <c r="R641" s="86"/>
      <c r="S641" s="86"/>
      <c r="T641" s="86"/>
      <c r="U641" s="86"/>
      <c r="V641" s="86"/>
      <c r="W641" s="86"/>
      <c r="X641" s="86"/>
      <c r="Y641" s="86"/>
      <c r="Z641" s="86"/>
      <c r="AA641" s="86"/>
      <c r="AB641" s="86"/>
      <c r="AC641" s="86"/>
      <c r="AD641" s="86"/>
      <c r="AE641" s="86"/>
    </row>
    <row r="642" spans="1:31" ht="15.75" customHeight="1">
      <c r="A642" s="86"/>
      <c r="B642" s="86"/>
      <c r="C642" s="95"/>
      <c r="D642" s="85"/>
      <c r="E642" s="86"/>
      <c r="F642" s="86"/>
      <c r="G642" s="86"/>
      <c r="H642" s="86"/>
      <c r="I642" s="86"/>
      <c r="J642" s="86"/>
      <c r="K642" s="86"/>
      <c r="L642" s="86"/>
      <c r="M642" s="86"/>
      <c r="N642" s="86"/>
      <c r="O642" s="86"/>
      <c r="P642" s="86"/>
      <c r="Q642" s="86"/>
      <c r="R642" s="86"/>
      <c r="S642" s="86"/>
      <c r="T642" s="86"/>
      <c r="U642" s="86"/>
      <c r="V642" s="86"/>
      <c r="W642" s="86"/>
      <c r="X642" s="86"/>
      <c r="Y642" s="86"/>
      <c r="Z642" s="86"/>
      <c r="AA642" s="86"/>
      <c r="AB642" s="86"/>
      <c r="AC642" s="86"/>
      <c r="AD642" s="86"/>
      <c r="AE642" s="86"/>
    </row>
    <row r="643" spans="1:31" ht="15.75" customHeight="1">
      <c r="A643" s="86"/>
      <c r="B643" s="86"/>
      <c r="C643" s="95"/>
      <c r="D643" s="85"/>
      <c r="E643" s="86"/>
      <c r="F643" s="86"/>
      <c r="G643" s="86"/>
      <c r="H643" s="86"/>
      <c r="I643" s="86"/>
      <c r="J643" s="86"/>
      <c r="K643" s="86"/>
      <c r="L643" s="86"/>
      <c r="M643" s="86"/>
      <c r="N643" s="86"/>
      <c r="O643" s="86"/>
      <c r="P643" s="86"/>
      <c r="Q643" s="86"/>
      <c r="R643" s="86"/>
      <c r="S643" s="86"/>
      <c r="T643" s="86"/>
      <c r="U643" s="86"/>
      <c r="V643" s="86"/>
      <c r="W643" s="86"/>
      <c r="X643" s="86"/>
      <c r="Y643" s="86"/>
      <c r="Z643" s="86"/>
      <c r="AA643" s="86"/>
      <c r="AB643" s="86"/>
      <c r="AC643" s="86"/>
      <c r="AD643" s="86"/>
      <c r="AE643" s="86"/>
    </row>
    <row r="644" spans="1:31" ht="15.75" customHeight="1">
      <c r="A644" s="86"/>
      <c r="B644" s="86"/>
      <c r="C644" s="95"/>
      <c r="D644" s="85"/>
      <c r="E644" s="86"/>
      <c r="F644" s="86"/>
      <c r="G644" s="86"/>
      <c r="H644" s="86"/>
      <c r="I644" s="86"/>
      <c r="J644" s="86"/>
      <c r="K644" s="86"/>
      <c r="L644" s="86"/>
      <c r="M644" s="86"/>
      <c r="N644" s="86"/>
      <c r="O644" s="86"/>
      <c r="P644" s="86"/>
      <c r="Q644" s="86"/>
      <c r="R644" s="86"/>
      <c r="S644" s="86"/>
      <c r="T644" s="86"/>
      <c r="U644" s="86"/>
      <c r="V644" s="86"/>
      <c r="W644" s="86"/>
      <c r="X644" s="86"/>
      <c r="Y644" s="86"/>
      <c r="Z644" s="86"/>
      <c r="AA644" s="86"/>
      <c r="AB644" s="86"/>
      <c r="AC644" s="86"/>
      <c r="AD644" s="86"/>
      <c r="AE644" s="86"/>
    </row>
    <row r="645" spans="1:31" ht="15.75" customHeight="1">
      <c r="A645" s="86"/>
      <c r="B645" s="86"/>
      <c r="C645" s="95"/>
      <c r="D645" s="85"/>
      <c r="E645" s="86"/>
      <c r="F645" s="86"/>
      <c r="G645" s="86"/>
      <c r="H645" s="86"/>
      <c r="I645" s="86"/>
      <c r="J645" s="86"/>
      <c r="K645" s="86"/>
      <c r="L645" s="86"/>
      <c r="M645" s="86"/>
      <c r="N645" s="86"/>
      <c r="O645" s="86"/>
      <c r="P645" s="86"/>
      <c r="Q645" s="86"/>
      <c r="R645" s="86"/>
      <c r="S645" s="86"/>
      <c r="T645" s="86"/>
      <c r="U645" s="86"/>
      <c r="V645" s="86"/>
      <c r="W645" s="86"/>
      <c r="X645" s="86"/>
      <c r="Y645" s="86"/>
      <c r="Z645" s="86"/>
      <c r="AA645" s="86"/>
      <c r="AB645" s="86"/>
      <c r="AC645" s="86"/>
      <c r="AD645" s="86"/>
      <c r="AE645" s="86"/>
    </row>
    <row r="646" spans="1:31" ht="15.75" customHeight="1">
      <c r="A646" s="86"/>
      <c r="B646" s="86"/>
      <c r="C646" s="95"/>
      <c r="D646" s="85"/>
      <c r="E646" s="86"/>
      <c r="F646" s="86"/>
      <c r="G646" s="86"/>
      <c r="H646" s="86"/>
      <c r="I646" s="86"/>
      <c r="J646" s="86"/>
      <c r="K646" s="86"/>
      <c r="L646" s="86"/>
      <c r="M646" s="86"/>
      <c r="N646" s="86"/>
      <c r="O646" s="86"/>
      <c r="P646" s="86"/>
      <c r="Q646" s="86"/>
      <c r="R646" s="86"/>
      <c r="S646" s="86"/>
      <c r="T646" s="86"/>
      <c r="U646" s="86"/>
      <c r="V646" s="86"/>
      <c r="W646" s="86"/>
      <c r="X646" s="86"/>
      <c r="Y646" s="86"/>
      <c r="Z646" s="86"/>
      <c r="AA646" s="86"/>
      <c r="AB646" s="86"/>
      <c r="AC646" s="86"/>
      <c r="AD646" s="86"/>
      <c r="AE646" s="86"/>
    </row>
    <row r="647" spans="1:31" ht="15.75" customHeight="1">
      <c r="A647" s="86"/>
      <c r="B647" s="86"/>
      <c r="C647" s="95"/>
      <c r="D647" s="85"/>
      <c r="E647" s="86"/>
      <c r="F647" s="86"/>
      <c r="G647" s="86"/>
      <c r="H647" s="86"/>
      <c r="I647" s="86"/>
      <c r="J647" s="86"/>
      <c r="K647" s="86"/>
      <c r="L647" s="86"/>
      <c r="M647" s="86"/>
      <c r="N647" s="86"/>
      <c r="O647" s="86"/>
      <c r="P647" s="86"/>
      <c r="Q647" s="86"/>
      <c r="R647" s="86"/>
      <c r="S647" s="86"/>
      <c r="T647" s="86"/>
      <c r="U647" s="86"/>
      <c r="V647" s="86"/>
      <c r="W647" s="86"/>
      <c r="X647" s="86"/>
      <c r="Y647" s="86"/>
      <c r="Z647" s="86"/>
      <c r="AA647" s="86"/>
      <c r="AB647" s="86"/>
      <c r="AC647" s="86"/>
      <c r="AD647" s="86"/>
      <c r="AE647" s="86"/>
    </row>
    <row r="648" spans="1:31" ht="15.75" customHeight="1">
      <c r="A648" s="86"/>
      <c r="B648" s="86"/>
      <c r="C648" s="95"/>
      <c r="D648" s="85"/>
      <c r="E648" s="86"/>
      <c r="F648" s="86"/>
      <c r="G648" s="86"/>
      <c r="H648" s="86"/>
      <c r="I648" s="86"/>
      <c r="J648" s="86"/>
      <c r="K648" s="86"/>
      <c r="L648" s="86"/>
      <c r="M648" s="86"/>
      <c r="N648" s="86"/>
      <c r="O648" s="86"/>
      <c r="P648" s="86"/>
      <c r="Q648" s="86"/>
      <c r="R648" s="86"/>
      <c r="S648" s="86"/>
      <c r="T648" s="86"/>
      <c r="U648" s="86"/>
      <c r="V648" s="86"/>
      <c r="W648" s="86"/>
      <c r="X648" s="86"/>
      <c r="Y648" s="86"/>
      <c r="Z648" s="86"/>
      <c r="AA648" s="86"/>
      <c r="AB648" s="86"/>
      <c r="AC648" s="86"/>
      <c r="AD648" s="86"/>
      <c r="AE648" s="86"/>
    </row>
    <row r="649" spans="1:31" ht="15.75" customHeight="1">
      <c r="A649" s="86"/>
      <c r="B649" s="86"/>
      <c r="C649" s="95"/>
      <c r="D649" s="85"/>
      <c r="E649" s="86"/>
      <c r="F649" s="86"/>
      <c r="G649" s="86"/>
      <c r="H649" s="86"/>
      <c r="I649" s="86"/>
      <c r="J649" s="86"/>
      <c r="K649" s="86"/>
      <c r="L649" s="86"/>
      <c r="M649" s="86"/>
      <c r="N649" s="86"/>
      <c r="O649" s="86"/>
      <c r="P649" s="86"/>
      <c r="Q649" s="86"/>
      <c r="R649" s="86"/>
      <c r="S649" s="86"/>
      <c r="T649" s="86"/>
      <c r="U649" s="86"/>
      <c r="V649" s="86"/>
      <c r="W649" s="86"/>
      <c r="X649" s="86"/>
      <c r="Y649" s="86"/>
      <c r="Z649" s="86"/>
      <c r="AA649" s="86"/>
      <c r="AB649" s="86"/>
      <c r="AC649" s="86"/>
      <c r="AD649" s="86"/>
      <c r="AE649" s="86"/>
    </row>
    <row r="650" spans="1:31" ht="15.75" customHeight="1">
      <c r="A650" s="86"/>
      <c r="B650" s="86"/>
      <c r="C650" s="95"/>
      <c r="D650" s="85"/>
      <c r="E650" s="86"/>
      <c r="F650" s="86"/>
      <c r="G650" s="86"/>
      <c r="H650" s="86"/>
      <c r="I650" s="86"/>
      <c r="J650" s="86"/>
      <c r="K650" s="86"/>
      <c r="L650" s="86"/>
      <c r="M650" s="86"/>
      <c r="N650" s="86"/>
      <c r="O650" s="86"/>
      <c r="P650" s="86"/>
      <c r="Q650" s="86"/>
      <c r="R650" s="86"/>
      <c r="S650" s="86"/>
      <c r="T650" s="86"/>
      <c r="U650" s="86"/>
      <c r="V650" s="86"/>
      <c r="W650" s="86"/>
      <c r="X650" s="86"/>
      <c r="Y650" s="86"/>
      <c r="Z650" s="86"/>
      <c r="AA650" s="86"/>
      <c r="AB650" s="86"/>
      <c r="AC650" s="86"/>
      <c r="AD650" s="86"/>
      <c r="AE650" s="86"/>
    </row>
    <row r="651" spans="1:31" ht="15.75" customHeight="1">
      <c r="A651" s="86"/>
      <c r="B651" s="86"/>
      <c r="C651" s="95"/>
      <c r="D651" s="85"/>
      <c r="E651" s="86"/>
      <c r="F651" s="86"/>
      <c r="G651" s="86"/>
      <c r="H651" s="86"/>
      <c r="I651" s="86"/>
      <c r="J651" s="86"/>
      <c r="K651" s="86"/>
      <c r="L651" s="86"/>
      <c r="M651" s="86"/>
      <c r="N651" s="86"/>
      <c r="O651" s="86"/>
      <c r="P651" s="86"/>
      <c r="Q651" s="86"/>
      <c r="R651" s="86"/>
      <c r="S651" s="86"/>
      <c r="T651" s="86"/>
      <c r="U651" s="86"/>
      <c r="V651" s="86"/>
      <c r="W651" s="86"/>
      <c r="X651" s="86"/>
      <c r="Y651" s="86"/>
      <c r="Z651" s="86"/>
      <c r="AA651" s="86"/>
      <c r="AB651" s="86"/>
      <c r="AC651" s="86"/>
      <c r="AD651" s="86"/>
      <c r="AE651" s="86"/>
    </row>
    <row r="652" spans="1:31" ht="15.75" customHeight="1">
      <c r="A652" s="86"/>
      <c r="B652" s="86"/>
      <c r="C652" s="95"/>
      <c r="D652" s="85"/>
      <c r="E652" s="86"/>
      <c r="F652" s="86"/>
      <c r="G652" s="86"/>
      <c r="H652" s="86"/>
      <c r="I652" s="86"/>
      <c r="J652" s="86"/>
      <c r="K652" s="86"/>
      <c r="L652" s="86"/>
      <c r="M652" s="86"/>
      <c r="N652" s="86"/>
      <c r="O652" s="86"/>
      <c r="P652" s="86"/>
      <c r="Q652" s="86"/>
      <c r="R652" s="86"/>
      <c r="S652" s="86"/>
      <c r="T652" s="86"/>
      <c r="U652" s="86"/>
      <c r="V652" s="86"/>
      <c r="W652" s="86"/>
      <c r="X652" s="86"/>
      <c r="Y652" s="86"/>
      <c r="Z652" s="86"/>
      <c r="AA652" s="86"/>
      <c r="AB652" s="86"/>
      <c r="AC652" s="86"/>
      <c r="AD652" s="86"/>
      <c r="AE652" s="86"/>
    </row>
    <row r="653" spans="1:31" ht="15.75" customHeight="1">
      <c r="A653" s="86"/>
      <c r="B653" s="86"/>
      <c r="C653" s="95"/>
      <c r="D653" s="85"/>
      <c r="E653" s="86"/>
      <c r="F653" s="86"/>
      <c r="G653" s="86"/>
      <c r="H653" s="86"/>
      <c r="I653" s="86"/>
      <c r="J653" s="86"/>
      <c r="K653" s="86"/>
      <c r="L653" s="86"/>
      <c r="M653" s="86"/>
      <c r="N653" s="86"/>
      <c r="O653" s="86"/>
      <c r="P653" s="86"/>
      <c r="Q653" s="86"/>
      <c r="R653" s="86"/>
      <c r="S653" s="86"/>
      <c r="T653" s="86"/>
      <c r="U653" s="86"/>
      <c r="V653" s="86"/>
      <c r="W653" s="86"/>
      <c r="X653" s="86"/>
      <c r="Y653" s="86"/>
      <c r="Z653" s="86"/>
      <c r="AA653" s="86"/>
      <c r="AB653" s="86"/>
      <c r="AC653" s="86"/>
      <c r="AD653" s="86"/>
      <c r="AE653" s="86"/>
    </row>
    <row r="654" spans="1:31" ht="15.75" customHeight="1">
      <c r="A654" s="86"/>
      <c r="B654" s="86"/>
      <c r="C654" s="95"/>
      <c r="D654" s="85"/>
      <c r="E654" s="86"/>
      <c r="F654" s="86"/>
      <c r="G654" s="86"/>
      <c r="H654" s="86"/>
      <c r="I654" s="86"/>
      <c r="J654" s="86"/>
      <c r="K654" s="86"/>
      <c r="L654" s="86"/>
      <c r="M654" s="86"/>
      <c r="N654" s="86"/>
      <c r="O654" s="86"/>
      <c r="P654" s="86"/>
      <c r="Q654" s="86"/>
      <c r="R654" s="86"/>
      <c r="S654" s="86"/>
      <c r="T654" s="86"/>
      <c r="U654" s="86"/>
      <c r="V654" s="86"/>
      <c r="W654" s="86"/>
      <c r="X654" s="86"/>
      <c r="Y654" s="86"/>
      <c r="Z654" s="86"/>
      <c r="AA654" s="86"/>
      <c r="AB654" s="86"/>
      <c r="AC654" s="86"/>
      <c r="AD654" s="86"/>
      <c r="AE654" s="86"/>
    </row>
    <row r="655" spans="1:31" ht="15.75" customHeight="1">
      <c r="A655" s="86"/>
      <c r="B655" s="86"/>
      <c r="C655" s="95"/>
      <c r="D655" s="85"/>
      <c r="E655" s="86"/>
      <c r="F655" s="86"/>
      <c r="G655" s="86"/>
      <c r="H655" s="86"/>
      <c r="I655" s="86"/>
      <c r="J655" s="86"/>
      <c r="K655" s="86"/>
      <c r="L655" s="86"/>
      <c r="M655" s="86"/>
      <c r="N655" s="86"/>
      <c r="O655" s="86"/>
      <c r="P655" s="86"/>
      <c r="Q655" s="86"/>
      <c r="R655" s="86"/>
      <c r="S655" s="86"/>
      <c r="T655" s="86"/>
      <c r="U655" s="86"/>
      <c r="V655" s="86"/>
      <c r="W655" s="86"/>
      <c r="X655" s="86"/>
      <c r="Y655" s="86"/>
      <c r="Z655" s="86"/>
      <c r="AA655" s="86"/>
      <c r="AB655" s="86"/>
      <c r="AC655" s="86"/>
      <c r="AD655" s="86"/>
      <c r="AE655" s="86"/>
    </row>
    <row r="656" spans="1:31" ht="15.75" customHeight="1">
      <c r="A656" s="86"/>
      <c r="B656" s="86"/>
      <c r="C656" s="95"/>
      <c r="D656" s="85"/>
      <c r="E656" s="86"/>
      <c r="F656" s="86"/>
      <c r="G656" s="86"/>
      <c r="H656" s="86"/>
      <c r="I656" s="86"/>
      <c r="J656" s="86"/>
      <c r="K656" s="86"/>
      <c r="L656" s="86"/>
      <c r="M656" s="86"/>
      <c r="N656" s="86"/>
      <c r="O656" s="86"/>
      <c r="P656" s="86"/>
      <c r="Q656" s="86"/>
      <c r="R656" s="86"/>
      <c r="S656" s="86"/>
      <c r="T656" s="86"/>
      <c r="U656" s="86"/>
      <c r="V656" s="86"/>
      <c r="W656" s="86"/>
      <c r="X656" s="86"/>
      <c r="Y656" s="86"/>
      <c r="Z656" s="86"/>
      <c r="AA656" s="86"/>
      <c r="AB656" s="86"/>
      <c r="AC656" s="86"/>
      <c r="AD656" s="86"/>
      <c r="AE656" s="86"/>
    </row>
    <row r="657" spans="1:31" ht="15.75" customHeight="1">
      <c r="A657" s="86"/>
      <c r="B657" s="86"/>
      <c r="C657" s="95"/>
      <c r="D657" s="85"/>
      <c r="E657" s="86"/>
      <c r="F657" s="86"/>
      <c r="G657" s="86"/>
      <c r="H657" s="86"/>
      <c r="I657" s="86"/>
      <c r="J657" s="86"/>
      <c r="K657" s="86"/>
      <c r="L657" s="86"/>
      <c r="M657" s="86"/>
      <c r="N657" s="86"/>
      <c r="O657" s="86"/>
      <c r="P657" s="86"/>
      <c r="Q657" s="86"/>
      <c r="R657" s="86"/>
      <c r="S657" s="86"/>
      <c r="T657" s="86"/>
      <c r="U657" s="86"/>
      <c r="V657" s="86"/>
      <c r="W657" s="86"/>
      <c r="X657" s="86"/>
      <c r="Y657" s="86"/>
      <c r="Z657" s="86"/>
      <c r="AA657" s="86"/>
      <c r="AB657" s="86"/>
      <c r="AC657" s="86"/>
      <c r="AD657" s="86"/>
      <c r="AE657" s="86"/>
    </row>
    <row r="658" spans="1:31" ht="15.75" customHeight="1">
      <c r="A658" s="86"/>
      <c r="B658" s="86"/>
      <c r="C658" s="95"/>
      <c r="D658" s="85"/>
      <c r="E658" s="86"/>
      <c r="F658" s="86"/>
      <c r="G658" s="86"/>
      <c r="H658" s="86"/>
      <c r="I658" s="86"/>
      <c r="J658" s="86"/>
      <c r="K658" s="86"/>
      <c r="L658" s="86"/>
      <c r="M658" s="86"/>
      <c r="N658" s="86"/>
      <c r="O658" s="86"/>
      <c r="P658" s="86"/>
      <c r="Q658" s="86"/>
      <c r="R658" s="86"/>
      <c r="S658" s="86"/>
      <c r="T658" s="86"/>
      <c r="U658" s="86"/>
      <c r="V658" s="86"/>
      <c r="W658" s="86"/>
      <c r="X658" s="86"/>
      <c r="Y658" s="86"/>
      <c r="Z658" s="86"/>
      <c r="AA658" s="86"/>
      <c r="AB658" s="86"/>
      <c r="AC658" s="86"/>
      <c r="AD658" s="86"/>
      <c r="AE658" s="86"/>
    </row>
    <row r="659" spans="1:31" ht="15.75" customHeight="1">
      <c r="A659" s="86"/>
      <c r="B659" s="86"/>
      <c r="C659" s="95"/>
      <c r="D659" s="85"/>
      <c r="E659" s="86"/>
      <c r="F659" s="86"/>
      <c r="G659" s="86"/>
      <c r="H659" s="86"/>
      <c r="I659" s="86"/>
      <c r="J659" s="86"/>
      <c r="K659" s="86"/>
      <c r="L659" s="86"/>
      <c r="M659" s="86"/>
      <c r="N659" s="86"/>
      <c r="O659" s="86"/>
      <c r="P659" s="86"/>
      <c r="Q659" s="86"/>
      <c r="R659" s="86"/>
      <c r="S659" s="86"/>
      <c r="T659" s="86"/>
      <c r="U659" s="86"/>
      <c r="V659" s="86"/>
      <c r="W659" s="86"/>
      <c r="X659" s="86"/>
      <c r="Y659" s="86"/>
      <c r="Z659" s="86"/>
      <c r="AA659" s="86"/>
      <c r="AB659" s="86"/>
      <c r="AC659" s="86"/>
      <c r="AD659" s="86"/>
      <c r="AE659" s="86"/>
    </row>
    <row r="660" spans="1:31" ht="15.75" customHeight="1">
      <c r="A660" s="86"/>
      <c r="B660" s="86"/>
      <c r="C660" s="95"/>
      <c r="D660" s="85"/>
      <c r="E660" s="86"/>
      <c r="F660" s="86"/>
      <c r="G660" s="86"/>
      <c r="H660" s="86"/>
      <c r="I660" s="86"/>
      <c r="J660" s="86"/>
      <c r="K660" s="86"/>
      <c r="L660" s="86"/>
      <c r="M660" s="86"/>
      <c r="N660" s="86"/>
      <c r="O660" s="86"/>
      <c r="P660" s="86"/>
      <c r="Q660" s="86"/>
      <c r="R660" s="86"/>
      <c r="S660" s="86"/>
      <c r="T660" s="86"/>
      <c r="U660" s="86"/>
      <c r="V660" s="86"/>
      <c r="W660" s="86"/>
      <c r="X660" s="86"/>
      <c r="Y660" s="86"/>
      <c r="Z660" s="86"/>
      <c r="AA660" s="86"/>
      <c r="AB660" s="86"/>
      <c r="AC660" s="86"/>
      <c r="AD660" s="86"/>
      <c r="AE660" s="86"/>
    </row>
    <row r="661" spans="1:31" ht="15.75" customHeight="1">
      <c r="A661" s="86"/>
      <c r="B661" s="86"/>
      <c r="C661" s="95"/>
      <c r="D661" s="85"/>
      <c r="E661" s="86"/>
      <c r="F661" s="86"/>
      <c r="G661" s="86"/>
      <c r="H661" s="86"/>
      <c r="I661" s="86"/>
      <c r="J661" s="86"/>
      <c r="K661" s="86"/>
      <c r="L661" s="86"/>
      <c r="M661" s="86"/>
      <c r="N661" s="86"/>
      <c r="O661" s="86"/>
      <c r="P661" s="86"/>
      <c r="Q661" s="86"/>
      <c r="R661" s="86"/>
      <c r="S661" s="86"/>
      <c r="T661" s="86"/>
      <c r="U661" s="86"/>
      <c r="V661" s="86"/>
      <c r="W661" s="86"/>
      <c r="X661" s="86"/>
      <c r="Y661" s="86"/>
      <c r="Z661" s="86"/>
      <c r="AA661" s="86"/>
      <c r="AB661" s="86"/>
      <c r="AC661" s="86"/>
      <c r="AD661" s="86"/>
      <c r="AE661" s="86"/>
    </row>
    <row r="662" spans="1:31" ht="15.75" customHeight="1">
      <c r="A662" s="86"/>
      <c r="B662" s="86"/>
      <c r="C662" s="95"/>
      <c r="D662" s="85"/>
      <c r="E662" s="86"/>
      <c r="F662" s="86"/>
      <c r="G662" s="86"/>
      <c r="H662" s="86"/>
      <c r="I662" s="86"/>
      <c r="J662" s="86"/>
      <c r="K662" s="86"/>
      <c r="L662" s="86"/>
      <c r="M662" s="86"/>
      <c r="N662" s="86"/>
      <c r="O662" s="86"/>
      <c r="P662" s="86"/>
      <c r="Q662" s="86"/>
      <c r="R662" s="86"/>
      <c r="S662" s="86"/>
      <c r="T662" s="86"/>
      <c r="U662" s="86"/>
      <c r="V662" s="86"/>
      <c r="W662" s="86"/>
      <c r="X662" s="86"/>
      <c r="Y662" s="86"/>
      <c r="Z662" s="86"/>
      <c r="AA662" s="86"/>
      <c r="AB662" s="86"/>
      <c r="AC662" s="86"/>
      <c r="AD662" s="86"/>
      <c r="AE662" s="86"/>
    </row>
    <row r="663" spans="1:31" ht="15.75" customHeight="1">
      <c r="A663" s="86"/>
      <c r="B663" s="86"/>
      <c r="C663" s="95"/>
      <c r="D663" s="85"/>
      <c r="E663" s="86"/>
      <c r="F663" s="86"/>
      <c r="G663" s="86"/>
      <c r="H663" s="86"/>
      <c r="I663" s="86"/>
      <c r="J663" s="86"/>
      <c r="K663" s="86"/>
      <c r="L663" s="86"/>
      <c r="M663" s="86"/>
      <c r="N663" s="86"/>
      <c r="O663" s="86"/>
      <c r="P663" s="86"/>
      <c r="Q663" s="86"/>
      <c r="R663" s="86"/>
      <c r="S663" s="86"/>
      <c r="T663" s="86"/>
      <c r="U663" s="86"/>
      <c r="V663" s="86"/>
      <c r="W663" s="86"/>
      <c r="X663" s="86"/>
      <c r="Y663" s="86"/>
      <c r="Z663" s="86"/>
      <c r="AA663" s="86"/>
      <c r="AB663" s="86"/>
      <c r="AC663" s="86"/>
      <c r="AD663" s="86"/>
      <c r="AE663" s="86"/>
    </row>
    <row r="664" spans="1:31" ht="15.75" customHeight="1">
      <c r="A664" s="86"/>
      <c r="B664" s="86"/>
      <c r="C664" s="95"/>
      <c r="D664" s="85"/>
      <c r="E664" s="86"/>
      <c r="F664" s="86"/>
      <c r="G664" s="86"/>
      <c r="H664" s="86"/>
      <c r="I664" s="86"/>
      <c r="J664" s="86"/>
      <c r="K664" s="86"/>
      <c r="L664" s="86"/>
      <c r="M664" s="86"/>
      <c r="N664" s="86"/>
      <c r="O664" s="86"/>
      <c r="P664" s="86"/>
      <c r="Q664" s="86"/>
      <c r="R664" s="86"/>
      <c r="S664" s="86"/>
      <c r="T664" s="86"/>
      <c r="U664" s="86"/>
      <c r="V664" s="86"/>
      <c r="W664" s="86"/>
      <c r="X664" s="86"/>
      <c r="Y664" s="86"/>
      <c r="Z664" s="86"/>
      <c r="AA664" s="86"/>
      <c r="AB664" s="86"/>
      <c r="AC664" s="86"/>
      <c r="AD664" s="86"/>
      <c r="AE664" s="86"/>
    </row>
    <row r="665" spans="1:31" ht="15.75" customHeight="1">
      <c r="A665" s="86"/>
      <c r="B665" s="86"/>
      <c r="C665" s="95"/>
      <c r="D665" s="85"/>
      <c r="E665" s="86"/>
      <c r="F665" s="86"/>
      <c r="G665" s="86"/>
      <c r="H665" s="86"/>
      <c r="I665" s="86"/>
      <c r="J665" s="86"/>
      <c r="K665" s="86"/>
      <c r="L665" s="86"/>
      <c r="M665" s="86"/>
      <c r="N665" s="86"/>
      <c r="O665" s="86"/>
      <c r="P665" s="86"/>
      <c r="Q665" s="86"/>
      <c r="R665" s="86"/>
      <c r="S665" s="86"/>
      <c r="T665" s="86"/>
      <c r="U665" s="86"/>
      <c r="V665" s="86"/>
      <c r="W665" s="86"/>
      <c r="X665" s="86"/>
      <c r="Y665" s="86"/>
      <c r="Z665" s="86"/>
      <c r="AA665" s="86"/>
      <c r="AB665" s="86"/>
      <c r="AC665" s="86"/>
      <c r="AD665" s="86"/>
      <c r="AE665" s="86"/>
    </row>
    <row r="666" spans="1:31" ht="15.75" customHeight="1">
      <c r="A666" s="86"/>
      <c r="B666" s="86"/>
      <c r="C666" s="95"/>
      <c r="D666" s="85"/>
      <c r="E666" s="86"/>
      <c r="F666" s="86"/>
      <c r="G666" s="86"/>
      <c r="H666" s="86"/>
      <c r="I666" s="86"/>
      <c r="J666" s="86"/>
      <c r="K666" s="86"/>
      <c r="L666" s="86"/>
      <c r="M666" s="86"/>
      <c r="N666" s="86"/>
      <c r="O666" s="86"/>
      <c r="P666" s="86"/>
      <c r="Q666" s="86"/>
      <c r="R666" s="86"/>
      <c r="S666" s="86"/>
      <c r="T666" s="86"/>
      <c r="U666" s="86"/>
      <c r="V666" s="86"/>
      <c r="W666" s="86"/>
      <c r="X666" s="86"/>
      <c r="Y666" s="86"/>
      <c r="Z666" s="86"/>
      <c r="AA666" s="86"/>
      <c r="AB666" s="86"/>
      <c r="AC666" s="86"/>
      <c r="AD666" s="86"/>
      <c r="AE666" s="86"/>
    </row>
    <row r="667" spans="1:31" ht="15.75" customHeight="1">
      <c r="A667" s="86"/>
      <c r="B667" s="86"/>
      <c r="C667" s="95"/>
      <c r="D667" s="85"/>
      <c r="E667" s="86"/>
      <c r="F667" s="86"/>
      <c r="G667" s="86"/>
      <c r="H667" s="86"/>
      <c r="I667" s="86"/>
      <c r="J667" s="86"/>
      <c r="K667" s="86"/>
      <c r="L667" s="86"/>
      <c r="M667" s="86"/>
      <c r="N667" s="86"/>
      <c r="O667" s="86"/>
      <c r="P667" s="86"/>
      <c r="Q667" s="86"/>
      <c r="R667" s="86"/>
      <c r="S667" s="86"/>
      <c r="T667" s="86"/>
      <c r="U667" s="86"/>
      <c r="V667" s="86"/>
      <c r="W667" s="86"/>
      <c r="X667" s="86"/>
      <c r="Y667" s="86"/>
      <c r="Z667" s="86"/>
      <c r="AA667" s="86"/>
      <c r="AB667" s="86"/>
      <c r="AC667" s="86"/>
      <c r="AD667" s="86"/>
      <c r="AE667" s="86"/>
    </row>
    <row r="668" spans="1:31" ht="15.75" customHeight="1">
      <c r="A668" s="86"/>
      <c r="B668" s="86"/>
      <c r="C668" s="95"/>
      <c r="D668" s="85"/>
      <c r="E668" s="86"/>
      <c r="F668" s="86"/>
      <c r="G668" s="86"/>
      <c r="H668" s="86"/>
      <c r="I668" s="86"/>
      <c r="J668" s="86"/>
      <c r="K668" s="86"/>
      <c r="L668" s="86"/>
      <c r="M668" s="86"/>
      <c r="N668" s="86"/>
      <c r="O668" s="86"/>
      <c r="P668" s="86"/>
      <c r="Q668" s="86"/>
      <c r="R668" s="86"/>
      <c r="S668" s="86"/>
      <c r="T668" s="86"/>
      <c r="U668" s="86"/>
      <c r="V668" s="86"/>
      <c r="W668" s="86"/>
      <c r="X668" s="86"/>
      <c r="Y668" s="86"/>
      <c r="Z668" s="86"/>
      <c r="AA668" s="86"/>
      <c r="AB668" s="86"/>
      <c r="AC668" s="86"/>
      <c r="AD668" s="86"/>
      <c r="AE668" s="86"/>
    </row>
    <row r="669" spans="1:31" ht="15.75" customHeight="1">
      <c r="A669" s="86"/>
      <c r="B669" s="86"/>
      <c r="C669" s="95"/>
      <c r="D669" s="85"/>
      <c r="E669" s="86"/>
      <c r="F669" s="86"/>
      <c r="G669" s="86"/>
      <c r="H669" s="86"/>
      <c r="I669" s="86"/>
      <c r="J669" s="86"/>
      <c r="K669" s="86"/>
      <c r="L669" s="86"/>
      <c r="M669" s="86"/>
      <c r="N669" s="86"/>
      <c r="O669" s="86"/>
      <c r="P669" s="86"/>
      <c r="Q669" s="86"/>
      <c r="R669" s="86"/>
      <c r="S669" s="86"/>
      <c r="T669" s="86"/>
      <c r="U669" s="86"/>
      <c r="V669" s="86"/>
      <c r="W669" s="86"/>
      <c r="X669" s="86"/>
      <c r="Y669" s="86"/>
      <c r="Z669" s="86"/>
      <c r="AA669" s="86"/>
      <c r="AB669" s="86"/>
      <c r="AC669" s="86"/>
      <c r="AD669" s="86"/>
      <c r="AE669" s="86"/>
    </row>
    <row r="670" spans="1:31" ht="15.75" customHeight="1">
      <c r="A670" s="86"/>
      <c r="B670" s="86"/>
      <c r="C670" s="95"/>
      <c r="D670" s="85"/>
      <c r="E670" s="86"/>
      <c r="F670" s="86"/>
      <c r="G670" s="86"/>
      <c r="H670" s="86"/>
      <c r="I670" s="86"/>
      <c r="J670" s="86"/>
      <c r="K670" s="86"/>
      <c r="L670" s="86"/>
      <c r="M670" s="86"/>
      <c r="N670" s="86"/>
      <c r="O670" s="86"/>
      <c r="P670" s="86"/>
      <c r="Q670" s="86"/>
      <c r="R670" s="86"/>
      <c r="S670" s="86"/>
      <c r="T670" s="86"/>
      <c r="U670" s="86"/>
      <c r="V670" s="86"/>
      <c r="W670" s="86"/>
      <c r="X670" s="86"/>
      <c r="Y670" s="86"/>
      <c r="Z670" s="86"/>
      <c r="AA670" s="86"/>
      <c r="AB670" s="86"/>
      <c r="AC670" s="86"/>
      <c r="AD670" s="86"/>
      <c r="AE670" s="86"/>
    </row>
    <row r="671" spans="1:31" ht="15.75" customHeight="1">
      <c r="A671" s="86"/>
      <c r="B671" s="86"/>
      <c r="C671" s="95"/>
      <c r="D671" s="85"/>
      <c r="E671" s="86"/>
      <c r="F671" s="86"/>
      <c r="G671" s="86"/>
      <c r="H671" s="86"/>
      <c r="I671" s="86"/>
      <c r="J671" s="86"/>
      <c r="K671" s="86"/>
      <c r="L671" s="86"/>
      <c r="M671" s="86"/>
      <c r="N671" s="86"/>
      <c r="O671" s="86"/>
      <c r="P671" s="86"/>
      <c r="Q671" s="86"/>
      <c r="R671" s="86"/>
      <c r="S671" s="86"/>
      <c r="T671" s="86"/>
      <c r="U671" s="86"/>
      <c r="V671" s="86"/>
      <c r="W671" s="86"/>
      <c r="X671" s="86"/>
      <c r="Y671" s="86"/>
      <c r="Z671" s="86"/>
      <c r="AA671" s="86"/>
      <c r="AB671" s="86"/>
      <c r="AC671" s="86"/>
      <c r="AD671" s="86"/>
      <c r="AE671" s="86"/>
    </row>
    <row r="672" spans="1:31" ht="15.75" customHeight="1">
      <c r="A672" s="86"/>
      <c r="B672" s="86"/>
      <c r="C672" s="95"/>
      <c r="D672" s="85"/>
      <c r="E672" s="86"/>
      <c r="F672" s="86"/>
      <c r="G672" s="86"/>
      <c r="H672" s="86"/>
      <c r="I672" s="86"/>
      <c r="J672" s="86"/>
      <c r="K672" s="86"/>
      <c r="L672" s="86"/>
      <c r="M672" s="86"/>
      <c r="N672" s="86"/>
      <c r="O672" s="86"/>
      <c r="P672" s="86"/>
      <c r="Q672" s="86"/>
      <c r="R672" s="86"/>
      <c r="S672" s="86"/>
      <c r="T672" s="86"/>
      <c r="U672" s="86"/>
      <c r="V672" s="86"/>
      <c r="W672" s="86"/>
      <c r="X672" s="86"/>
      <c r="Y672" s="86"/>
      <c r="Z672" s="86"/>
      <c r="AA672" s="86"/>
      <c r="AB672" s="86"/>
      <c r="AC672" s="86"/>
      <c r="AD672" s="86"/>
      <c r="AE672" s="86"/>
    </row>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E471" xr:uid="{00000000-0009-0000-0000-000002000000}"/>
  <customSheetViews>
    <customSheetView guid="{B582C9F8-F5BA-4ACF-941C-3668E94168B3}" filter="1" showAutoFilter="1">
      <pageMargins left="0.7" right="0.7" top="0.75" bottom="0.75" header="0.3" footer="0.3"/>
      <autoFilter ref="A1:G672" xr:uid="{97B06459-76C6-1841-AB82-5AE66C3F7A28}"/>
      <extLst>
        <ext uri="GoogleSheetsCustomDataVersion1">
          <go:sheetsCustomData xmlns:go="http://customooxmlschemas.google.com/" filterViewId="339911860"/>
        </ext>
      </extLst>
    </customSheetView>
  </customSheetViews>
  <hyperlinks>
    <hyperlink ref="C2" r:id="rId1" xr:uid="{00000000-0004-0000-0200-000000000000}"/>
    <hyperlink ref="C3" r:id="rId2" xr:uid="{00000000-0004-0000-0200-000001000000}"/>
    <hyperlink ref="C4" r:id="rId3" xr:uid="{00000000-0004-0000-0200-000002000000}"/>
    <hyperlink ref="C5" r:id="rId4" xr:uid="{00000000-0004-0000-0200-000003000000}"/>
    <hyperlink ref="C6" r:id="rId5" xr:uid="{00000000-0004-0000-0200-000004000000}"/>
    <hyperlink ref="C7" r:id="rId6" xr:uid="{00000000-0004-0000-0200-000005000000}"/>
    <hyperlink ref="C8" r:id="rId7" xr:uid="{00000000-0004-0000-0200-000006000000}"/>
    <hyperlink ref="C10" r:id="rId8" xr:uid="{00000000-0004-0000-0200-000007000000}"/>
    <hyperlink ref="C11" r:id="rId9" xr:uid="{00000000-0004-0000-0200-000008000000}"/>
    <hyperlink ref="C12" r:id="rId10" xr:uid="{00000000-0004-0000-0200-000009000000}"/>
    <hyperlink ref="C13" r:id="rId11" xr:uid="{00000000-0004-0000-0200-00000A000000}"/>
    <hyperlink ref="C14" r:id="rId12" location="metadata_info_tab_contents" xr:uid="{00000000-0004-0000-0200-00000B000000}"/>
    <hyperlink ref="C15" r:id="rId13" xr:uid="{00000000-0004-0000-0200-00000C000000}"/>
    <hyperlink ref="C17" r:id="rId14" xr:uid="{00000000-0004-0000-0200-00000D000000}"/>
    <hyperlink ref="C18" r:id="rId15" xr:uid="{00000000-0004-0000-0200-00000E000000}"/>
    <hyperlink ref="C19" r:id="rId16" xr:uid="{00000000-0004-0000-0200-00000F000000}"/>
    <hyperlink ref="C20" r:id="rId17" location="metadata_info_tab_contents" xr:uid="{00000000-0004-0000-0200-000010000000}"/>
    <hyperlink ref="C21" r:id="rId18" xr:uid="{00000000-0004-0000-0200-000011000000}"/>
    <hyperlink ref="C22" r:id="rId19" xr:uid="{00000000-0004-0000-0200-000012000000}"/>
    <hyperlink ref="C23" r:id="rId20" xr:uid="{00000000-0004-0000-0200-000013000000}"/>
    <hyperlink ref="C24" r:id="rId21" xr:uid="{00000000-0004-0000-0200-000014000000}"/>
    <hyperlink ref="C25" r:id="rId22" xr:uid="{00000000-0004-0000-0200-000015000000}"/>
    <hyperlink ref="C27" r:id="rId23" xr:uid="{00000000-0004-0000-0200-000016000000}"/>
    <hyperlink ref="C28" r:id="rId24" xr:uid="{00000000-0004-0000-0200-000017000000}"/>
    <hyperlink ref="C29" r:id="rId25" xr:uid="{00000000-0004-0000-0200-000018000000}"/>
    <hyperlink ref="C30" r:id="rId26" xr:uid="{00000000-0004-0000-0200-000019000000}"/>
    <hyperlink ref="C31" r:id="rId27" xr:uid="{00000000-0004-0000-0200-00001A000000}"/>
    <hyperlink ref="C32" r:id="rId28" xr:uid="{00000000-0004-0000-0200-00001B000000}"/>
    <hyperlink ref="C33" r:id="rId29" xr:uid="{00000000-0004-0000-0200-00001C000000}"/>
    <hyperlink ref="C34" r:id="rId30" xr:uid="{00000000-0004-0000-0200-00001D000000}"/>
    <hyperlink ref="C35" r:id="rId31" xr:uid="{00000000-0004-0000-0200-00001E000000}"/>
    <hyperlink ref="C36" r:id="rId32" xr:uid="{00000000-0004-0000-0200-00001F000000}"/>
    <hyperlink ref="C37" r:id="rId33" xr:uid="{00000000-0004-0000-0200-000020000000}"/>
    <hyperlink ref="C38" r:id="rId34" xr:uid="{00000000-0004-0000-0200-000021000000}"/>
    <hyperlink ref="C39" r:id="rId35" xr:uid="{00000000-0004-0000-0200-000022000000}"/>
    <hyperlink ref="C40" r:id="rId36" xr:uid="{00000000-0004-0000-0200-000023000000}"/>
    <hyperlink ref="C41" r:id="rId37" xr:uid="{00000000-0004-0000-0200-000024000000}"/>
    <hyperlink ref="C42" r:id="rId38" xr:uid="{00000000-0004-0000-0200-000025000000}"/>
    <hyperlink ref="C43" r:id="rId39" xr:uid="{00000000-0004-0000-0200-000026000000}"/>
    <hyperlink ref="C45" r:id="rId40" xr:uid="{00000000-0004-0000-0200-000027000000}"/>
    <hyperlink ref="C46" r:id="rId41" xr:uid="{00000000-0004-0000-0200-000028000000}"/>
    <hyperlink ref="C47" r:id="rId42" xr:uid="{00000000-0004-0000-0200-000029000000}"/>
    <hyperlink ref="C48" r:id="rId43" xr:uid="{00000000-0004-0000-0200-00002A000000}"/>
    <hyperlink ref="C50" r:id="rId44" xr:uid="{00000000-0004-0000-0200-00002B000000}"/>
    <hyperlink ref="C54" r:id="rId45" xr:uid="{00000000-0004-0000-0200-00002C000000}"/>
    <hyperlink ref="C55" r:id="rId46" xr:uid="{00000000-0004-0000-0200-00002D000000}"/>
    <hyperlink ref="C57" r:id="rId47" xr:uid="{00000000-0004-0000-0200-00002E000000}"/>
    <hyperlink ref="C60" r:id="rId48" xr:uid="{00000000-0004-0000-0200-00002F000000}"/>
    <hyperlink ref="C61" r:id="rId49" xr:uid="{00000000-0004-0000-0200-000030000000}"/>
    <hyperlink ref="C62" r:id="rId50" xr:uid="{00000000-0004-0000-0200-000031000000}"/>
    <hyperlink ref="C63" r:id="rId51" xr:uid="{00000000-0004-0000-0200-000032000000}"/>
    <hyperlink ref="C64" r:id="rId52" xr:uid="{00000000-0004-0000-0200-000033000000}"/>
    <hyperlink ref="C65" r:id="rId53" xr:uid="{00000000-0004-0000-0200-000034000000}"/>
    <hyperlink ref="C66" r:id="rId54" xr:uid="{00000000-0004-0000-0200-000035000000}"/>
    <hyperlink ref="C67" r:id="rId55" xr:uid="{00000000-0004-0000-0200-000036000000}"/>
    <hyperlink ref="C68" r:id="rId56" xr:uid="{00000000-0004-0000-0200-000037000000}"/>
    <hyperlink ref="C69" r:id="rId57" xr:uid="{00000000-0004-0000-0200-000038000000}"/>
    <hyperlink ref="C70" r:id="rId58" xr:uid="{00000000-0004-0000-0200-000039000000}"/>
    <hyperlink ref="C71" r:id="rId59" xr:uid="{00000000-0004-0000-0200-00003A000000}"/>
    <hyperlink ref="C72" r:id="rId60" xr:uid="{00000000-0004-0000-0200-00003B000000}"/>
    <hyperlink ref="C73" r:id="rId61" xr:uid="{00000000-0004-0000-0200-00003C000000}"/>
    <hyperlink ref="C74" r:id="rId62" xr:uid="{00000000-0004-0000-0200-00003D000000}"/>
    <hyperlink ref="C75" r:id="rId63" xr:uid="{00000000-0004-0000-0200-00003E000000}"/>
    <hyperlink ref="C77" r:id="rId64" xr:uid="{00000000-0004-0000-0200-00003F000000}"/>
    <hyperlink ref="C78" r:id="rId65" xr:uid="{00000000-0004-0000-0200-000040000000}"/>
    <hyperlink ref="C79" r:id="rId66" xr:uid="{00000000-0004-0000-0200-000041000000}"/>
    <hyperlink ref="C80" r:id="rId67" xr:uid="{00000000-0004-0000-0200-000042000000}"/>
    <hyperlink ref="C81" r:id="rId68" xr:uid="{00000000-0004-0000-0200-000043000000}"/>
    <hyperlink ref="C82" r:id="rId69" xr:uid="{00000000-0004-0000-0200-000044000000}"/>
    <hyperlink ref="C83" r:id="rId70" xr:uid="{00000000-0004-0000-0200-000045000000}"/>
    <hyperlink ref="C84" r:id="rId71" xr:uid="{00000000-0004-0000-0200-000046000000}"/>
    <hyperlink ref="C85" r:id="rId72" xr:uid="{00000000-0004-0000-0200-000047000000}"/>
    <hyperlink ref="C88" r:id="rId73" xr:uid="{00000000-0004-0000-0200-000048000000}"/>
    <hyperlink ref="C89" r:id="rId74" xr:uid="{00000000-0004-0000-0200-000049000000}"/>
    <hyperlink ref="C90" r:id="rId75" xr:uid="{00000000-0004-0000-0200-00004A000000}"/>
    <hyperlink ref="C91" r:id="rId76" xr:uid="{00000000-0004-0000-0200-00004B000000}"/>
    <hyperlink ref="C92" r:id="rId77" xr:uid="{00000000-0004-0000-0200-00004C000000}"/>
    <hyperlink ref="C93" r:id="rId78" xr:uid="{00000000-0004-0000-0200-00004D000000}"/>
    <hyperlink ref="C94" r:id="rId79" xr:uid="{00000000-0004-0000-0200-00004E000000}"/>
    <hyperlink ref="C95" r:id="rId80" xr:uid="{00000000-0004-0000-0200-00004F000000}"/>
    <hyperlink ref="C96" r:id="rId81" xr:uid="{00000000-0004-0000-0200-000050000000}"/>
    <hyperlink ref="C97" r:id="rId82" xr:uid="{00000000-0004-0000-0200-000051000000}"/>
    <hyperlink ref="C98" r:id="rId83" xr:uid="{00000000-0004-0000-0200-000052000000}"/>
    <hyperlink ref="C99" r:id="rId84" xr:uid="{00000000-0004-0000-0200-000053000000}"/>
    <hyperlink ref="C100" r:id="rId85" xr:uid="{00000000-0004-0000-0200-000054000000}"/>
    <hyperlink ref="C102" r:id="rId86" xr:uid="{00000000-0004-0000-0200-000055000000}"/>
    <hyperlink ref="C103" r:id="rId87" xr:uid="{00000000-0004-0000-0200-000056000000}"/>
    <hyperlink ref="C104" r:id="rId88" xr:uid="{00000000-0004-0000-0200-000057000000}"/>
    <hyperlink ref="C105" r:id="rId89" xr:uid="{00000000-0004-0000-0200-000058000000}"/>
    <hyperlink ref="B106" r:id="rId90" location="v=onepage&amp;q=%20Mercurialis&amp;f=false" xr:uid="{00000000-0004-0000-0200-000059000000}"/>
    <hyperlink ref="C106" r:id="rId91" xr:uid="{00000000-0004-0000-0200-00005A000000}"/>
    <hyperlink ref="C107" r:id="rId92" xr:uid="{00000000-0004-0000-0200-00005B000000}"/>
    <hyperlink ref="C108" r:id="rId93" xr:uid="{00000000-0004-0000-0200-00005C000000}"/>
    <hyperlink ref="C109" r:id="rId94" xr:uid="{00000000-0004-0000-0200-00005D000000}"/>
    <hyperlink ref="C110" r:id="rId95" xr:uid="{00000000-0004-0000-0200-00005E000000}"/>
    <hyperlink ref="C111" r:id="rId96" xr:uid="{00000000-0004-0000-0200-00005F000000}"/>
    <hyperlink ref="C112" r:id="rId97" xr:uid="{00000000-0004-0000-0200-000060000000}"/>
    <hyperlink ref="C113" r:id="rId98" xr:uid="{00000000-0004-0000-0200-000061000000}"/>
    <hyperlink ref="C114" r:id="rId99" xr:uid="{00000000-0004-0000-0200-000062000000}"/>
    <hyperlink ref="C115" r:id="rId100" xr:uid="{00000000-0004-0000-0200-000063000000}"/>
    <hyperlink ref="C116" r:id="rId101" xr:uid="{00000000-0004-0000-0200-000064000000}"/>
    <hyperlink ref="C117" r:id="rId102" xr:uid="{00000000-0004-0000-0200-000065000000}"/>
    <hyperlink ref="C118" r:id="rId103" xr:uid="{00000000-0004-0000-0200-000066000000}"/>
    <hyperlink ref="C119" r:id="rId104" xr:uid="{00000000-0004-0000-0200-000067000000}"/>
    <hyperlink ref="C120" r:id="rId105" xr:uid="{00000000-0004-0000-0200-000068000000}"/>
    <hyperlink ref="C121" r:id="rId106" xr:uid="{00000000-0004-0000-0200-000069000000}"/>
    <hyperlink ref="C122" r:id="rId107" xr:uid="{00000000-0004-0000-0200-00006A000000}"/>
    <hyperlink ref="C123" r:id="rId108" xr:uid="{00000000-0004-0000-0200-00006B000000}"/>
    <hyperlink ref="C124" r:id="rId109" xr:uid="{00000000-0004-0000-0200-00006C000000}"/>
    <hyperlink ref="C125" r:id="rId110" xr:uid="{00000000-0004-0000-0200-00006D000000}"/>
    <hyperlink ref="C126" r:id="rId111" xr:uid="{00000000-0004-0000-0200-00006E000000}"/>
    <hyperlink ref="C127" r:id="rId112" xr:uid="{00000000-0004-0000-0200-00006F000000}"/>
    <hyperlink ref="C128" r:id="rId113" xr:uid="{00000000-0004-0000-0200-000070000000}"/>
    <hyperlink ref="C129" r:id="rId114" xr:uid="{00000000-0004-0000-0200-000071000000}"/>
    <hyperlink ref="C130" r:id="rId115" xr:uid="{00000000-0004-0000-0200-000072000000}"/>
    <hyperlink ref="C131" r:id="rId116" xr:uid="{00000000-0004-0000-0200-000073000000}"/>
    <hyperlink ref="C132" r:id="rId117" xr:uid="{00000000-0004-0000-0200-000074000000}"/>
    <hyperlink ref="C133" r:id="rId118" xr:uid="{00000000-0004-0000-0200-000075000000}"/>
    <hyperlink ref="C134" r:id="rId119" xr:uid="{00000000-0004-0000-0200-000076000000}"/>
    <hyperlink ref="C135" r:id="rId120" xr:uid="{00000000-0004-0000-0200-000077000000}"/>
    <hyperlink ref="C136" r:id="rId121" xr:uid="{00000000-0004-0000-0200-000078000000}"/>
    <hyperlink ref="C137" r:id="rId122" xr:uid="{00000000-0004-0000-0200-000079000000}"/>
    <hyperlink ref="C138" r:id="rId123" xr:uid="{00000000-0004-0000-0200-00007A000000}"/>
    <hyperlink ref="C139" r:id="rId124" xr:uid="{00000000-0004-0000-0200-00007B000000}"/>
    <hyperlink ref="C140" r:id="rId125" xr:uid="{00000000-0004-0000-0200-00007C000000}"/>
    <hyperlink ref="C141" r:id="rId126" xr:uid="{00000000-0004-0000-0200-00007D000000}"/>
    <hyperlink ref="C142" r:id="rId127" xr:uid="{00000000-0004-0000-0200-00007E000000}"/>
    <hyperlink ref="C143" r:id="rId128" xr:uid="{00000000-0004-0000-0200-00007F000000}"/>
    <hyperlink ref="C144" r:id="rId129" xr:uid="{00000000-0004-0000-0200-000080000000}"/>
    <hyperlink ref="C145" r:id="rId130" xr:uid="{00000000-0004-0000-0200-000081000000}"/>
    <hyperlink ref="C146" r:id="rId131" xr:uid="{00000000-0004-0000-0200-000082000000}"/>
    <hyperlink ref="C147" r:id="rId132" xr:uid="{00000000-0004-0000-0200-000083000000}"/>
    <hyperlink ref="C148" r:id="rId133" xr:uid="{00000000-0004-0000-0200-000084000000}"/>
    <hyperlink ref="C149" r:id="rId134" xr:uid="{00000000-0004-0000-0200-000085000000}"/>
    <hyperlink ref="C150" r:id="rId135" xr:uid="{00000000-0004-0000-0200-000086000000}"/>
    <hyperlink ref="C151" r:id="rId136" xr:uid="{00000000-0004-0000-0200-000087000000}"/>
    <hyperlink ref="C152" r:id="rId137" xr:uid="{00000000-0004-0000-0200-000088000000}"/>
    <hyperlink ref="C153" r:id="rId138" xr:uid="{00000000-0004-0000-0200-000089000000}"/>
    <hyperlink ref="C154" r:id="rId139" xr:uid="{00000000-0004-0000-0200-00008A000000}"/>
    <hyperlink ref="C155" r:id="rId140" xr:uid="{00000000-0004-0000-0200-00008B000000}"/>
    <hyperlink ref="C156" r:id="rId141" xr:uid="{00000000-0004-0000-0200-00008C000000}"/>
    <hyperlink ref="C157" r:id="rId142" xr:uid="{00000000-0004-0000-0200-00008D000000}"/>
    <hyperlink ref="C158" r:id="rId143" xr:uid="{00000000-0004-0000-0200-00008E000000}"/>
    <hyperlink ref="C159" r:id="rId144" xr:uid="{00000000-0004-0000-0200-00008F000000}"/>
    <hyperlink ref="C160" r:id="rId145" xr:uid="{00000000-0004-0000-0200-000090000000}"/>
    <hyperlink ref="C161" r:id="rId146" xr:uid="{00000000-0004-0000-0200-000091000000}"/>
    <hyperlink ref="C162" r:id="rId147" xr:uid="{00000000-0004-0000-0200-000092000000}"/>
    <hyperlink ref="C163" r:id="rId148" xr:uid="{00000000-0004-0000-0200-000093000000}"/>
    <hyperlink ref="C164" r:id="rId149" xr:uid="{00000000-0004-0000-0200-000094000000}"/>
    <hyperlink ref="C165" r:id="rId150" xr:uid="{00000000-0004-0000-0200-000095000000}"/>
    <hyperlink ref="C166" r:id="rId151" xr:uid="{00000000-0004-0000-0200-000096000000}"/>
    <hyperlink ref="C167" r:id="rId152" xr:uid="{00000000-0004-0000-0200-000097000000}"/>
    <hyperlink ref="C168" r:id="rId153" xr:uid="{00000000-0004-0000-0200-000098000000}"/>
    <hyperlink ref="C169" r:id="rId154" xr:uid="{00000000-0004-0000-0200-000099000000}"/>
    <hyperlink ref="C170" r:id="rId155" xr:uid="{00000000-0004-0000-0200-00009A000000}"/>
    <hyperlink ref="C171" r:id="rId156" xr:uid="{00000000-0004-0000-0200-00009B000000}"/>
    <hyperlink ref="C172" r:id="rId157" xr:uid="{00000000-0004-0000-0200-00009C000000}"/>
    <hyperlink ref="C173" r:id="rId158" xr:uid="{00000000-0004-0000-0200-00009D000000}"/>
    <hyperlink ref="C174" r:id="rId159" xr:uid="{00000000-0004-0000-0200-00009E000000}"/>
    <hyperlink ref="C175" r:id="rId160" xr:uid="{00000000-0004-0000-0200-00009F000000}"/>
    <hyperlink ref="C176" r:id="rId161" xr:uid="{00000000-0004-0000-0200-0000A0000000}"/>
    <hyperlink ref="C177" r:id="rId162" xr:uid="{00000000-0004-0000-0200-0000A1000000}"/>
    <hyperlink ref="C178" r:id="rId163" xr:uid="{00000000-0004-0000-0200-0000A2000000}"/>
    <hyperlink ref="C179" r:id="rId164" xr:uid="{00000000-0004-0000-0200-0000A3000000}"/>
    <hyperlink ref="C180" r:id="rId165" xr:uid="{00000000-0004-0000-0200-0000A4000000}"/>
    <hyperlink ref="C181" r:id="rId166" xr:uid="{00000000-0004-0000-0200-0000A5000000}"/>
    <hyperlink ref="C182" r:id="rId167" xr:uid="{00000000-0004-0000-0200-0000A6000000}"/>
    <hyperlink ref="C183" r:id="rId168" xr:uid="{00000000-0004-0000-0200-0000A7000000}"/>
    <hyperlink ref="C184" r:id="rId169" xr:uid="{00000000-0004-0000-0200-0000A8000000}"/>
    <hyperlink ref="C185" r:id="rId170" xr:uid="{00000000-0004-0000-0200-0000A9000000}"/>
    <hyperlink ref="C186" r:id="rId171" xr:uid="{00000000-0004-0000-0200-0000AA000000}"/>
    <hyperlink ref="C187" r:id="rId172" xr:uid="{00000000-0004-0000-0200-0000AB000000}"/>
    <hyperlink ref="C188" r:id="rId173" xr:uid="{00000000-0004-0000-0200-0000AC000000}"/>
    <hyperlink ref="C189" r:id="rId174" xr:uid="{00000000-0004-0000-0200-0000AD000000}"/>
    <hyperlink ref="C190" r:id="rId175" xr:uid="{00000000-0004-0000-0200-0000AE000000}"/>
    <hyperlink ref="C191" r:id="rId176" xr:uid="{00000000-0004-0000-0200-0000AF000000}"/>
    <hyperlink ref="C192" r:id="rId177" xr:uid="{00000000-0004-0000-0200-0000B0000000}"/>
    <hyperlink ref="C193" r:id="rId178" xr:uid="{00000000-0004-0000-0200-0000B1000000}"/>
    <hyperlink ref="C194" r:id="rId179" xr:uid="{00000000-0004-0000-0200-0000B2000000}"/>
    <hyperlink ref="B195" r:id="rId180" xr:uid="{00000000-0004-0000-0200-0000B3000000}"/>
    <hyperlink ref="C195" r:id="rId181" xr:uid="{00000000-0004-0000-0200-0000B4000000}"/>
    <hyperlink ref="C196" r:id="rId182" xr:uid="{00000000-0004-0000-0200-0000B5000000}"/>
    <hyperlink ref="C197" r:id="rId183" xr:uid="{00000000-0004-0000-0200-0000B6000000}"/>
    <hyperlink ref="C198" r:id="rId184" xr:uid="{00000000-0004-0000-0200-0000B7000000}"/>
    <hyperlink ref="C199" r:id="rId185" xr:uid="{00000000-0004-0000-0200-0000B8000000}"/>
    <hyperlink ref="C200" r:id="rId186" xr:uid="{00000000-0004-0000-0200-0000B9000000}"/>
    <hyperlink ref="C201" r:id="rId187" xr:uid="{00000000-0004-0000-0200-0000BA000000}"/>
    <hyperlink ref="C202" r:id="rId188" xr:uid="{00000000-0004-0000-0200-0000BB000000}"/>
    <hyperlink ref="C203" r:id="rId189" xr:uid="{00000000-0004-0000-0200-0000BC000000}"/>
    <hyperlink ref="C204" r:id="rId190" xr:uid="{00000000-0004-0000-0200-0000BD000000}"/>
    <hyperlink ref="C205" r:id="rId191" xr:uid="{00000000-0004-0000-0200-0000BE000000}"/>
    <hyperlink ref="C206" r:id="rId192" xr:uid="{00000000-0004-0000-0200-0000BF000000}"/>
    <hyperlink ref="C207" r:id="rId193" xr:uid="{00000000-0004-0000-0200-0000C0000000}"/>
    <hyperlink ref="C208" r:id="rId194" xr:uid="{00000000-0004-0000-0200-0000C1000000}"/>
    <hyperlink ref="C209" r:id="rId195" xr:uid="{00000000-0004-0000-0200-0000C2000000}"/>
    <hyperlink ref="C210" r:id="rId196" xr:uid="{00000000-0004-0000-0200-0000C3000000}"/>
    <hyperlink ref="C211" r:id="rId197" xr:uid="{00000000-0004-0000-0200-0000C4000000}"/>
    <hyperlink ref="C212" r:id="rId198" xr:uid="{00000000-0004-0000-0200-0000C5000000}"/>
    <hyperlink ref="C213" r:id="rId199" xr:uid="{00000000-0004-0000-0200-0000C6000000}"/>
    <hyperlink ref="C214" r:id="rId200" xr:uid="{00000000-0004-0000-0200-0000C7000000}"/>
    <hyperlink ref="C215" r:id="rId201" xr:uid="{00000000-0004-0000-0200-0000C8000000}"/>
    <hyperlink ref="C216" r:id="rId202" xr:uid="{00000000-0004-0000-0200-0000C9000000}"/>
    <hyperlink ref="C217" r:id="rId203" xr:uid="{00000000-0004-0000-0200-0000CA000000}"/>
    <hyperlink ref="C218" r:id="rId204" xr:uid="{00000000-0004-0000-0200-0000CB000000}"/>
    <hyperlink ref="C219" r:id="rId205" xr:uid="{00000000-0004-0000-0200-0000CC000000}"/>
    <hyperlink ref="C220" r:id="rId206" xr:uid="{00000000-0004-0000-0200-0000CD000000}"/>
    <hyperlink ref="C221" r:id="rId207" xr:uid="{00000000-0004-0000-0200-0000CE000000}"/>
    <hyperlink ref="C222" r:id="rId208" xr:uid="{00000000-0004-0000-0200-0000CF000000}"/>
    <hyperlink ref="C223" r:id="rId209" xr:uid="{00000000-0004-0000-0200-0000D0000000}"/>
    <hyperlink ref="C224" r:id="rId210" xr:uid="{00000000-0004-0000-0200-0000D1000000}"/>
    <hyperlink ref="C225" r:id="rId211" xr:uid="{00000000-0004-0000-0200-0000D2000000}"/>
    <hyperlink ref="C226" r:id="rId212" xr:uid="{00000000-0004-0000-0200-0000D3000000}"/>
    <hyperlink ref="C227" r:id="rId213" xr:uid="{00000000-0004-0000-0200-0000D4000000}"/>
    <hyperlink ref="C228" r:id="rId214" xr:uid="{00000000-0004-0000-0200-0000D5000000}"/>
    <hyperlink ref="C229" r:id="rId215" xr:uid="{00000000-0004-0000-0200-0000D6000000}"/>
    <hyperlink ref="C230" r:id="rId216" xr:uid="{00000000-0004-0000-0200-0000D7000000}"/>
    <hyperlink ref="C231" r:id="rId217" xr:uid="{00000000-0004-0000-0200-0000D8000000}"/>
    <hyperlink ref="C232" r:id="rId218" xr:uid="{00000000-0004-0000-0200-0000D9000000}"/>
    <hyperlink ref="C233" r:id="rId219" xr:uid="{00000000-0004-0000-0200-0000DA000000}"/>
    <hyperlink ref="C234" r:id="rId220" xr:uid="{00000000-0004-0000-0200-0000DB000000}"/>
    <hyperlink ref="C235" r:id="rId221" xr:uid="{00000000-0004-0000-0200-0000DC000000}"/>
    <hyperlink ref="C236" r:id="rId222" xr:uid="{00000000-0004-0000-0200-0000DD000000}"/>
    <hyperlink ref="C237" r:id="rId223" xr:uid="{00000000-0004-0000-0200-0000DE000000}"/>
    <hyperlink ref="C238" r:id="rId224" xr:uid="{00000000-0004-0000-0200-0000DF000000}"/>
    <hyperlink ref="C239" r:id="rId225" xr:uid="{00000000-0004-0000-0200-0000E0000000}"/>
    <hyperlink ref="C240" r:id="rId226" xr:uid="{00000000-0004-0000-0200-0000E1000000}"/>
    <hyperlink ref="C241" r:id="rId227" xr:uid="{00000000-0004-0000-0200-0000E2000000}"/>
    <hyperlink ref="C242" r:id="rId228" xr:uid="{00000000-0004-0000-0200-0000E3000000}"/>
    <hyperlink ref="C243" r:id="rId229" xr:uid="{00000000-0004-0000-0200-0000E4000000}"/>
    <hyperlink ref="C244" r:id="rId230" xr:uid="{00000000-0004-0000-0200-0000E5000000}"/>
    <hyperlink ref="C245" r:id="rId231" xr:uid="{00000000-0004-0000-0200-0000E6000000}"/>
    <hyperlink ref="C246" r:id="rId232" xr:uid="{00000000-0004-0000-0200-0000E7000000}"/>
    <hyperlink ref="C247" r:id="rId233" xr:uid="{00000000-0004-0000-0200-0000E8000000}"/>
    <hyperlink ref="C248" r:id="rId234" xr:uid="{00000000-0004-0000-0200-0000E9000000}"/>
    <hyperlink ref="C249" r:id="rId235" xr:uid="{00000000-0004-0000-0200-0000EA000000}"/>
    <hyperlink ref="C250" r:id="rId236" xr:uid="{00000000-0004-0000-0200-0000EB000000}"/>
    <hyperlink ref="C251" r:id="rId237" xr:uid="{00000000-0004-0000-0200-0000EC000000}"/>
    <hyperlink ref="C252" r:id="rId238" xr:uid="{00000000-0004-0000-0200-0000ED000000}"/>
    <hyperlink ref="C253" r:id="rId239" xr:uid="{00000000-0004-0000-0200-0000EE000000}"/>
    <hyperlink ref="C254" r:id="rId240" xr:uid="{00000000-0004-0000-0200-0000EF000000}"/>
    <hyperlink ref="C255" r:id="rId241" xr:uid="{00000000-0004-0000-0200-0000F0000000}"/>
    <hyperlink ref="C256" r:id="rId242" xr:uid="{00000000-0004-0000-0200-0000F1000000}"/>
    <hyperlink ref="C257" r:id="rId243" xr:uid="{00000000-0004-0000-0200-0000F2000000}"/>
    <hyperlink ref="C258" r:id="rId244" xr:uid="{00000000-0004-0000-0200-0000F3000000}"/>
    <hyperlink ref="C259" r:id="rId245" xr:uid="{00000000-0004-0000-0200-0000F4000000}"/>
    <hyperlink ref="C260" r:id="rId246" xr:uid="{00000000-0004-0000-0200-0000F5000000}"/>
    <hyperlink ref="C261" r:id="rId247" xr:uid="{00000000-0004-0000-0200-0000F6000000}"/>
    <hyperlink ref="C262" r:id="rId248" xr:uid="{00000000-0004-0000-0200-0000F7000000}"/>
    <hyperlink ref="C263" r:id="rId249" xr:uid="{00000000-0004-0000-0200-0000F8000000}"/>
    <hyperlink ref="C264" r:id="rId250" xr:uid="{00000000-0004-0000-0200-0000F9000000}"/>
    <hyperlink ref="C265" r:id="rId251" xr:uid="{00000000-0004-0000-0200-0000FA000000}"/>
    <hyperlink ref="C266" r:id="rId252" xr:uid="{00000000-0004-0000-0200-0000FB000000}"/>
    <hyperlink ref="C267" r:id="rId253" xr:uid="{00000000-0004-0000-0200-0000FC000000}"/>
    <hyperlink ref="C268" r:id="rId254" xr:uid="{00000000-0004-0000-0200-0000FD000000}"/>
    <hyperlink ref="C269" r:id="rId255" xr:uid="{00000000-0004-0000-0200-0000FE000000}"/>
    <hyperlink ref="C270" r:id="rId256" xr:uid="{00000000-0004-0000-0200-0000FF000000}"/>
    <hyperlink ref="C271" r:id="rId257" xr:uid="{00000000-0004-0000-0200-000000010000}"/>
    <hyperlink ref="C272" r:id="rId258" xr:uid="{00000000-0004-0000-0200-000001010000}"/>
    <hyperlink ref="C273" r:id="rId259" xr:uid="{00000000-0004-0000-0200-000002010000}"/>
    <hyperlink ref="C274" r:id="rId260" xr:uid="{00000000-0004-0000-0200-000003010000}"/>
    <hyperlink ref="C275" r:id="rId261" xr:uid="{00000000-0004-0000-0200-000004010000}"/>
    <hyperlink ref="C276" r:id="rId262" xr:uid="{00000000-0004-0000-0200-000005010000}"/>
    <hyperlink ref="C277" r:id="rId263" xr:uid="{00000000-0004-0000-0200-000006010000}"/>
    <hyperlink ref="C278" r:id="rId264" xr:uid="{00000000-0004-0000-0200-000007010000}"/>
    <hyperlink ref="C279" r:id="rId265" xr:uid="{00000000-0004-0000-0200-000008010000}"/>
    <hyperlink ref="C280" r:id="rId266" xr:uid="{00000000-0004-0000-0200-000009010000}"/>
    <hyperlink ref="C281" r:id="rId267" xr:uid="{00000000-0004-0000-0200-00000A010000}"/>
    <hyperlink ref="C282" r:id="rId268" xr:uid="{00000000-0004-0000-0200-00000B010000}"/>
    <hyperlink ref="C283" r:id="rId269" xr:uid="{00000000-0004-0000-0200-00000C010000}"/>
    <hyperlink ref="C284" r:id="rId270" xr:uid="{00000000-0004-0000-0200-00000D010000}"/>
    <hyperlink ref="C285" r:id="rId271" xr:uid="{00000000-0004-0000-0200-00000E010000}"/>
    <hyperlink ref="C286" r:id="rId272" xr:uid="{00000000-0004-0000-0200-00000F010000}"/>
    <hyperlink ref="C287" r:id="rId273" xr:uid="{00000000-0004-0000-0200-000010010000}"/>
    <hyperlink ref="C288" r:id="rId274" xr:uid="{00000000-0004-0000-0200-000011010000}"/>
    <hyperlink ref="C289" r:id="rId275" xr:uid="{00000000-0004-0000-0200-000012010000}"/>
    <hyperlink ref="C290" r:id="rId276" xr:uid="{00000000-0004-0000-0200-000013010000}"/>
    <hyperlink ref="C291" r:id="rId277" xr:uid="{00000000-0004-0000-0200-000014010000}"/>
    <hyperlink ref="C292" r:id="rId278" xr:uid="{00000000-0004-0000-0200-000015010000}"/>
    <hyperlink ref="C293" r:id="rId279" xr:uid="{00000000-0004-0000-0200-000016010000}"/>
    <hyperlink ref="C294" r:id="rId280" xr:uid="{00000000-0004-0000-0200-000017010000}"/>
    <hyperlink ref="C295" r:id="rId281" xr:uid="{00000000-0004-0000-0200-000018010000}"/>
    <hyperlink ref="C296" r:id="rId282" xr:uid="{00000000-0004-0000-0200-000019010000}"/>
    <hyperlink ref="C297" r:id="rId283" xr:uid="{00000000-0004-0000-0200-00001A010000}"/>
    <hyperlink ref="C298" r:id="rId284" xr:uid="{00000000-0004-0000-0200-00001B010000}"/>
    <hyperlink ref="C299" r:id="rId285" xr:uid="{00000000-0004-0000-0200-00001C010000}"/>
    <hyperlink ref="C300" r:id="rId286" xr:uid="{00000000-0004-0000-0200-00001D010000}"/>
    <hyperlink ref="C301" r:id="rId287" xr:uid="{00000000-0004-0000-0200-00001E010000}"/>
    <hyperlink ref="C302" r:id="rId288" xr:uid="{00000000-0004-0000-0200-00001F010000}"/>
    <hyperlink ref="C303" r:id="rId289" xr:uid="{00000000-0004-0000-0200-000020010000}"/>
    <hyperlink ref="C304" r:id="rId290" xr:uid="{00000000-0004-0000-0200-000021010000}"/>
    <hyperlink ref="C305" r:id="rId291" xr:uid="{00000000-0004-0000-0200-000022010000}"/>
    <hyperlink ref="C306" r:id="rId292" xr:uid="{00000000-0004-0000-0200-000023010000}"/>
    <hyperlink ref="C307" r:id="rId293" xr:uid="{00000000-0004-0000-0200-000024010000}"/>
    <hyperlink ref="C308" r:id="rId294" xr:uid="{00000000-0004-0000-0200-000025010000}"/>
    <hyperlink ref="C309" r:id="rId295" xr:uid="{00000000-0004-0000-0200-000026010000}"/>
    <hyperlink ref="C310" r:id="rId296" xr:uid="{00000000-0004-0000-0200-000027010000}"/>
    <hyperlink ref="C311" r:id="rId297" xr:uid="{00000000-0004-0000-0200-000028010000}"/>
    <hyperlink ref="C312" r:id="rId298" xr:uid="{00000000-0004-0000-0200-000029010000}"/>
    <hyperlink ref="C313" r:id="rId299" xr:uid="{00000000-0004-0000-0200-00002A010000}"/>
    <hyperlink ref="C314" r:id="rId300" xr:uid="{00000000-0004-0000-0200-00002B010000}"/>
    <hyperlink ref="C315" r:id="rId301" xr:uid="{00000000-0004-0000-0200-00002C010000}"/>
    <hyperlink ref="C316" r:id="rId302" xr:uid="{00000000-0004-0000-0200-00002D010000}"/>
    <hyperlink ref="C317" r:id="rId303" xr:uid="{00000000-0004-0000-0200-00002E010000}"/>
    <hyperlink ref="C318" r:id="rId304" xr:uid="{00000000-0004-0000-0200-00002F010000}"/>
    <hyperlink ref="C319" r:id="rId305" xr:uid="{00000000-0004-0000-0200-000030010000}"/>
    <hyperlink ref="C320" r:id="rId306" xr:uid="{00000000-0004-0000-0200-000031010000}"/>
    <hyperlink ref="C321" r:id="rId307" xr:uid="{00000000-0004-0000-0200-000032010000}"/>
    <hyperlink ref="C322" r:id="rId308" xr:uid="{00000000-0004-0000-0200-000033010000}"/>
    <hyperlink ref="C323" r:id="rId309" xr:uid="{00000000-0004-0000-0200-000034010000}"/>
    <hyperlink ref="C324" r:id="rId310" xr:uid="{00000000-0004-0000-0200-000035010000}"/>
    <hyperlink ref="C325" r:id="rId311" xr:uid="{00000000-0004-0000-0200-000036010000}"/>
    <hyperlink ref="C326" r:id="rId312" xr:uid="{00000000-0004-0000-0200-000037010000}"/>
    <hyperlink ref="C327" r:id="rId313" xr:uid="{00000000-0004-0000-0200-000038010000}"/>
    <hyperlink ref="C328" r:id="rId314" xr:uid="{00000000-0004-0000-0200-000039010000}"/>
    <hyperlink ref="C329" r:id="rId315" xr:uid="{00000000-0004-0000-0200-00003A010000}"/>
    <hyperlink ref="C330" r:id="rId316" xr:uid="{00000000-0004-0000-0200-00003B010000}"/>
    <hyperlink ref="C331" r:id="rId317" xr:uid="{00000000-0004-0000-0200-00003C010000}"/>
    <hyperlink ref="C332" r:id="rId318" xr:uid="{00000000-0004-0000-0200-00003D010000}"/>
    <hyperlink ref="C333" r:id="rId319" xr:uid="{00000000-0004-0000-0200-00003E010000}"/>
    <hyperlink ref="C334" r:id="rId320" xr:uid="{00000000-0004-0000-0200-00003F010000}"/>
    <hyperlink ref="C335" r:id="rId321" xr:uid="{00000000-0004-0000-0200-000040010000}"/>
    <hyperlink ref="C336" r:id="rId322" xr:uid="{00000000-0004-0000-0200-000041010000}"/>
    <hyperlink ref="C337" r:id="rId323" xr:uid="{00000000-0004-0000-0200-000042010000}"/>
    <hyperlink ref="C338" r:id="rId324" xr:uid="{00000000-0004-0000-0200-000043010000}"/>
    <hyperlink ref="C339" r:id="rId325" xr:uid="{00000000-0004-0000-0200-000044010000}"/>
    <hyperlink ref="C340" r:id="rId326" xr:uid="{00000000-0004-0000-0200-000045010000}"/>
    <hyperlink ref="C341" r:id="rId327" xr:uid="{00000000-0004-0000-0200-000046010000}"/>
    <hyperlink ref="C342" r:id="rId328" xr:uid="{00000000-0004-0000-0200-000047010000}"/>
    <hyperlink ref="C343" r:id="rId329" xr:uid="{00000000-0004-0000-0200-000048010000}"/>
    <hyperlink ref="C344" r:id="rId330" xr:uid="{00000000-0004-0000-0200-000049010000}"/>
    <hyperlink ref="C345" r:id="rId331" xr:uid="{00000000-0004-0000-0200-00004A010000}"/>
    <hyperlink ref="C346" r:id="rId332" xr:uid="{00000000-0004-0000-0200-00004B010000}"/>
    <hyperlink ref="C347" r:id="rId333" xr:uid="{00000000-0004-0000-0200-00004C010000}"/>
    <hyperlink ref="C348" r:id="rId334" xr:uid="{00000000-0004-0000-0200-00004D010000}"/>
    <hyperlink ref="C349" r:id="rId335" xr:uid="{00000000-0004-0000-0200-00004E010000}"/>
    <hyperlink ref="C350" r:id="rId336" xr:uid="{00000000-0004-0000-0200-00004F010000}"/>
    <hyperlink ref="C351" r:id="rId337" xr:uid="{00000000-0004-0000-0200-000050010000}"/>
    <hyperlink ref="C352" r:id="rId338" xr:uid="{00000000-0004-0000-0200-000051010000}"/>
    <hyperlink ref="C353" r:id="rId339" xr:uid="{00000000-0004-0000-0200-000052010000}"/>
    <hyperlink ref="C354" r:id="rId340" xr:uid="{00000000-0004-0000-0200-000053010000}"/>
    <hyperlink ref="C355" r:id="rId341" xr:uid="{00000000-0004-0000-0200-000054010000}"/>
    <hyperlink ref="C356" r:id="rId342" xr:uid="{00000000-0004-0000-0200-000055010000}"/>
    <hyperlink ref="C357" r:id="rId343" xr:uid="{00000000-0004-0000-0200-000056010000}"/>
    <hyperlink ref="C358" r:id="rId344" xr:uid="{00000000-0004-0000-0200-000057010000}"/>
    <hyperlink ref="C359" r:id="rId345" xr:uid="{00000000-0004-0000-0200-000058010000}"/>
    <hyperlink ref="C360" r:id="rId346" xr:uid="{00000000-0004-0000-0200-000059010000}"/>
    <hyperlink ref="C361" r:id="rId347" xr:uid="{00000000-0004-0000-0200-00005A010000}"/>
    <hyperlink ref="C362" r:id="rId348" xr:uid="{00000000-0004-0000-0200-00005B010000}"/>
    <hyperlink ref="C363" r:id="rId349" xr:uid="{00000000-0004-0000-0200-00005C010000}"/>
    <hyperlink ref="C364" r:id="rId350" xr:uid="{00000000-0004-0000-0200-00005D010000}"/>
    <hyperlink ref="C365" r:id="rId351" xr:uid="{00000000-0004-0000-0200-00005E010000}"/>
    <hyperlink ref="C366" r:id="rId352" xr:uid="{00000000-0004-0000-0200-00005F010000}"/>
    <hyperlink ref="C367" r:id="rId353" xr:uid="{00000000-0004-0000-0200-000060010000}"/>
    <hyperlink ref="C368" r:id="rId354" xr:uid="{00000000-0004-0000-0200-000061010000}"/>
    <hyperlink ref="C369" r:id="rId355" xr:uid="{00000000-0004-0000-0200-000062010000}"/>
    <hyperlink ref="C370" r:id="rId356" xr:uid="{00000000-0004-0000-0200-000063010000}"/>
    <hyperlink ref="C371" r:id="rId357" xr:uid="{00000000-0004-0000-0200-000064010000}"/>
    <hyperlink ref="C372" r:id="rId358" xr:uid="{00000000-0004-0000-0200-000065010000}"/>
    <hyperlink ref="C373" r:id="rId359" xr:uid="{00000000-0004-0000-0200-000066010000}"/>
    <hyperlink ref="C374" r:id="rId360" xr:uid="{00000000-0004-0000-0200-000067010000}"/>
    <hyperlink ref="C375" r:id="rId361" xr:uid="{00000000-0004-0000-0200-000068010000}"/>
    <hyperlink ref="C376" r:id="rId362" xr:uid="{00000000-0004-0000-0200-000069010000}"/>
    <hyperlink ref="C377" r:id="rId363" xr:uid="{00000000-0004-0000-0200-00006A010000}"/>
    <hyperlink ref="C378" r:id="rId364" xr:uid="{00000000-0004-0000-0200-00006B010000}"/>
    <hyperlink ref="C379" r:id="rId365" xr:uid="{00000000-0004-0000-0200-00006C010000}"/>
    <hyperlink ref="C380" r:id="rId366" xr:uid="{00000000-0004-0000-0200-00006D010000}"/>
    <hyperlink ref="C381" r:id="rId367" xr:uid="{00000000-0004-0000-0200-00006E010000}"/>
    <hyperlink ref="C382" r:id="rId368" xr:uid="{00000000-0004-0000-0200-00006F010000}"/>
    <hyperlink ref="C383" r:id="rId369" xr:uid="{00000000-0004-0000-0200-000070010000}"/>
    <hyperlink ref="C384" r:id="rId370" xr:uid="{00000000-0004-0000-0200-000071010000}"/>
    <hyperlink ref="C385" r:id="rId371" xr:uid="{00000000-0004-0000-0200-000072010000}"/>
    <hyperlink ref="C386" r:id="rId372" xr:uid="{00000000-0004-0000-0200-000073010000}"/>
    <hyperlink ref="C387" r:id="rId373" xr:uid="{00000000-0004-0000-0200-000074010000}"/>
    <hyperlink ref="C388" r:id="rId374" xr:uid="{00000000-0004-0000-0200-000075010000}"/>
    <hyperlink ref="C389" r:id="rId375" xr:uid="{00000000-0004-0000-0200-000076010000}"/>
    <hyperlink ref="C390" r:id="rId376" xr:uid="{00000000-0004-0000-0200-000077010000}"/>
    <hyperlink ref="C391" r:id="rId377" xr:uid="{00000000-0004-0000-0200-000078010000}"/>
    <hyperlink ref="C392" r:id="rId378" xr:uid="{00000000-0004-0000-0200-000079010000}"/>
    <hyperlink ref="C393" r:id="rId379" xr:uid="{00000000-0004-0000-0200-00007A010000}"/>
    <hyperlink ref="C394" r:id="rId380" xr:uid="{00000000-0004-0000-0200-00007B010000}"/>
    <hyperlink ref="C395" r:id="rId381" xr:uid="{00000000-0004-0000-0200-00007C010000}"/>
    <hyperlink ref="C396" r:id="rId382" xr:uid="{00000000-0004-0000-0200-00007D010000}"/>
    <hyperlink ref="C397" r:id="rId383" xr:uid="{00000000-0004-0000-0200-00007E010000}"/>
    <hyperlink ref="C398" r:id="rId384" xr:uid="{00000000-0004-0000-0200-00007F010000}"/>
    <hyperlink ref="C399" r:id="rId385" xr:uid="{00000000-0004-0000-0200-000080010000}"/>
    <hyperlink ref="C400" r:id="rId386" xr:uid="{00000000-0004-0000-0200-000081010000}"/>
    <hyperlink ref="C401" r:id="rId387" xr:uid="{00000000-0004-0000-0200-000082010000}"/>
    <hyperlink ref="C402" r:id="rId388" xr:uid="{00000000-0004-0000-0200-000083010000}"/>
    <hyperlink ref="C403" r:id="rId389" xr:uid="{00000000-0004-0000-0200-000084010000}"/>
    <hyperlink ref="C404" r:id="rId390" xr:uid="{00000000-0004-0000-0200-000085010000}"/>
    <hyperlink ref="C405" r:id="rId391" xr:uid="{00000000-0004-0000-0200-000086010000}"/>
    <hyperlink ref="C406" r:id="rId392" xr:uid="{00000000-0004-0000-0200-000087010000}"/>
    <hyperlink ref="C407" r:id="rId393" xr:uid="{00000000-0004-0000-0200-000088010000}"/>
    <hyperlink ref="C408" r:id="rId394" xr:uid="{00000000-0004-0000-0200-000089010000}"/>
    <hyperlink ref="C409" r:id="rId395" xr:uid="{00000000-0004-0000-0200-00008A010000}"/>
    <hyperlink ref="C410" r:id="rId396" xr:uid="{00000000-0004-0000-0200-00008B010000}"/>
    <hyperlink ref="C411" r:id="rId397" xr:uid="{00000000-0004-0000-0200-00008C010000}"/>
    <hyperlink ref="C412" r:id="rId398" xr:uid="{00000000-0004-0000-0200-00008D010000}"/>
    <hyperlink ref="C413" r:id="rId399" xr:uid="{00000000-0004-0000-0200-00008E010000}"/>
    <hyperlink ref="C414" r:id="rId400" xr:uid="{00000000-0004-0000-0200-00008F010000}"/>
    <hyperlink ref="C415" r:id="rId401" xr:uid="{00000000-0004-0000-0200-000090010000}"/>
    <hyperlink ref="C416" r:id="rId402" xr:uid="{00000000-0004-0000-0200-000091010000}"/>
    <hyperlink ref="C417" r:id="rId403" xr:uid="{00000000-0004-0000-0200-000092010000}"/>
    <hyperlink ref="C418" r:id="rId404" xr:uid="{00000000-0004-0000-0200-000093010000}"/>
    <hyperlink ref="C419" r:id="rId405" xr:uid="{00000000-0004-0000-0200-000094010000}"/>
    <hyperlink ref="C420" r:id="rId406" xr:uid="{00000000-0004-0000-0200-000095010000}"/>
    <hyperlink ref="C421" r:id="rId407" xr:uid="{00000000-0004-0000-0200-000096010000}"/>
    <hyperlink ref="C422" r:id="rId408" xr:uid="{00000000-0004-0000-0200-000097010000}"/>
    <hyperlink ref="C423" r:id="rId409" xr:uid="{00000000-0004-0000-0200-000098010000}"/>
    <hyperlink ref="C424" r:id="rId410" xr:uid="{00000000-0004-0000-0200-000099010000}"/>
    <hyperlink ref="C425" r:id="rId411" xr:uid="{00000000-0004-0000-0200-00009A010000}"/>
    <hyperlink ref="C426" r:id="rId412" xr:uid="{00000000-0004-0000-0200-00009B010000}"/>
    <hyperlink ref="C427" r:id="rId413" xr:uid="{00000000-0004-0000-0200-00009C010000}"/>
    <hyperlink ref="C428" r:id="rId414" xr:uid="{00000000-0004-0000-0200-00009D010000}"/>
    <hyperlink ref="C429" r:id="rId415" xr:uid="{00000000-0004-0000-0200-00009E010000}"/>
    <hyperlink ref="C430" r:id="rId416" xr:uid="{00000000-0004-0000-0200-00009F010000}"/>
    <hyperlink ref="C431" r:id="rId417" xr:uid="{00000000-0004-0000-0200-0000A0010000}"/>
    <hyperlink ref="C432" r:id="rId418" xr:uid="{00000000-0004-0000-0200-0000A1010000}"/>
    <hyperlink ref="C433" r:id="rId419" xr:uid="{00000000-0004-0000-0200-0000A2010000}"/>
    <hyperlink ref="C434" r:id="rId420" xr:uid="{00000000-0004-0000-0200-0000A3010000}"/>
    <hyperlink ref="C435" r:id="rId421" xr:uid="{00000000-0004-0000-0200-0000A4010000}"/>
    <hyperlink ref="C436" r:id="rId422" xr:uid="{00000000-0004-0000-0200-0000A5010000}"/>
    <hyperlink ref="C437" r:id="rId423" xr:uid="{00000000-0004-0000-0200-0000A6010000}"/>
    <hyperlink ref="C438" r:id="rId424" xr:uid="{00000000-0004-0000-0200-0000A7010000}"/>
    <hyperlink ref="C439" r:id="rId425" xr:uid="{00000000-0004-0000-0200-0000A8010000}"/>
    <hyperlink ref="C440" r:id="rId426" xr:uid="{00000000-0004-0000-0200-0000A9010000}"/>
    <hyperlink ref="C441" r:id="rId427" xr:uid="{00000000-0004-0000-0200-0000AA010000}"/>
    <hyperlink ref="C442" r:id="rId428" xr:uid="{00000000-0004-0000-0200-0000AB010000}"/>
    <hyperlink ref="C443" r:id="rId429" xr:uid="{00000000-0004-0000-0200-0000AC010000}"/>
    <hyperlink ref="C444" r:id="rId430" xr:uid="{00000000-0004-0000-0200-0000AD010000}"/>
    <hyperlink ref="C445" r:id="rId431" xr:uid="{00000000-0004-0000-0200-0000AE010000}"/>
    <hyperlink ref="C446" r:id="rId432" xr:uid="{00000000-0004-0000-0200-0000AF010000}"/>
    <hyperlink ref="C447" r:id="rId433" xr:uid="{00000000-0004-0000-0200-0000B0010000}"/>
    <hyperlink ref="C448" r:id="rId434" xr:uid="{00000000-0004-0000-0200-0000B1010000}"/>
    <hyperlink ref="C449" r:id="rId435" xr:uid="{00000000-0004-0000-0200-0000B2010000}"/>
    <hyperlink ref="C450" r:id="rId436" xr:uid="{00000000-0004-0000-0200-0000B3010000}"/>
    <hyperlink ref="C451" r:id="rId437" xr:uid="{00000000-0004-0000-0200-0000B4010000}"/>
    <hyperlink ref="C452" r:id="rId438" xr:uid="{00000000-0004-0000-0200-0000B5010000}"/>
    <hyperlink ref="C453" r:id="rId439" xr:uid="{00000000-0004-0000-0200-0000B6010000}"/>
    <hyperlink ref="C454" r:id="rId440" xr:uid="{00000000-0004-0000-0200-0000B7010000}"/>
    <hyperlink ref="C455" r:id="rId441" xr:uid="{00000000-0004-0000-0200-0000B8010000}"/>
    <hyperlink ref="C456" r:id="rId442" xr:uid="{00000000-0004-0000-0200-0000B9010000}"/>
    <hyperlink ref="C457" r:id="rId443" xr:uid="{00000000-0004-0000-0200-0000BA010000}"/>
    <hyperlink ref="C458" r:id="rId444" xr:uid="{00000000-0004-0000-0200-0000BB010000}"/>
    <hyperlink ref="C459" r:id="rId445" xr:uid="{00000000-0004-0000-0200-0000BC010000}"/>
    <hyperlink ref="C460" r:id="rId446" xr:uid="{00000000-0004-0000-0200-0000BD010000}"/>
    <hyperlink ref="C461" r:id="rId447" xr:uid="{00000000-0004-0000-0200-0000BE010000}"/>
    <hyperlink ref="C462" r:id="rId448" xr:uid="{00000000-0004-0000-0200-0000BF010000}"/>
    <hyperlink ref="C463" r:id="rId449" xr:uid="{00000000-0004-0000-0200-0000C0010000}"/>
    <hyperlink ref="C464" r:id="rId450" xr:uid="{00000000-0004-0000-0200-0000C1010000}"/>
    <hyperlink ref="C465" r:id="rId451" xr:uid="{00000000-0004-0000-0200-0000C2010000}"/>
    <hyperlink ref="C466" r:id="rId452" xr:uid="{00000000-0004-0000-0200-0000C3010000}"/>
    <hyperlink ref="C467" r:id="rId453" xr:uid="{00000000-0004-0000-0200-0000C4010000}"/>
    <hyperlink ref="C468" r:id="rId454" xr:uid="{00000000-0004-0000-0200-0000C5010000}"/>
    <hyperlink ref="C469" r:id="rId455" xr:uid="{00000000-0004-0000-0200-0000C6010000}"/>
    <hyperlink ref="C470" r:id="rId456" xr:uid="{00000000-0004-0000-0200-0000C7010000}"/>
    <hyperlink ref="C471" r:id="rId457" xr:uid="{00000000-0004-0000-0200-0000C8010000}"/>
    <hyperlink ref="C472" r:id="rId458" xr:uid="{00000000-0004-0000-0200-0000C9010000}"/>
  </hyperlinks>
  <pageMargins left="0.7" right="0.7" top="0.75" bottom="0.75" header="0" footer="0"/>
  <pageSetup orientation="landscape"/>
  <legacyDrawing r:id="rId45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baseColWidth="10" defaultColWidth="12.6640625" defaultRowHeight="15" customHeight="1"/>
  <cols>
    <col min="1" max="1" width="61.1640625" customWidth="1"/>
    <col min="2" max="2" width="67.6640625" customWidth="1"/>
    <col min="3" max="3" width="11.1640625" customWidth="1"/>
    <col min="4" max="4" width="258.6640625" customWidth="1"/>
    <col min="5" max="6" width="12.6640625" customWidth="1"/>
  </cols>
  <sheetData>
    <row r="1" spans="1:26" ht="15.75" customHeight="1">
      <c r="A1" s="2" t="s">
        <v>641</v>
      </c>
      <c r="B1" s="79" t="s">
        <v>1696</v>
      </c>
      <c r="C1" s="81" t="s">
        <v>1699</v>
      </c>
      <c r="D1" s="81" t="s">
        <v>1700</v>
      </c>
      <c r="E1" s="82"/>
      <c r="F1" s="82"/>
      <c r="G1" s="82"/>
      <c r="H1" s="82"/>
      <c r="I1" s="82"/>
      <c r="J1" s="82"/>
      <c r="K1" s="82"/>
      <c r="L1" s="82"/>
      <c r="M1" s="82"/>
      <c r="N1" s="82"/>
      <c r="O1" s="82"/>
      <c r="P1" s="82"/>
      <c r="Q1" s="82"/>
      <c r="R1" s="82"/>
      <c r="S1" s="82"/>
      <c r="T1" s="82"/>
      <c r="U1" s="82"/>
      <c r="V1" s="82"/>
      <c r="W1" s="82"/>
      <c r="X1" s="82"/>
      <c r="Y1" s="82"/>
      <c r="Z1" s="82"/>
    </row>
    <row r="2" spans="1:26" ht="15.75" customHeight="1">
      <c r="A2" s="21" t="s">
        <v>319</v>
      </c>
      <c r="B2" s="84" t="s">
        <v>320</v>
      </c>
      <c r="C2" s="86" t="s">
        <v>315</v>
      </c>
      <c r="D2" s="87" t="s">
        <v>1703</v>
      </c>
      <c r="E2" s="86"/>
      <c r="F2" s="86"/>
      <c r="G2" s="86"/>
      <c r="H2" s="86"/>
      <c r="I2" s="86"/>
      <c r="J2" s="86"/>
      <c r="K2" s="86"/>
      <c r="L2" s="86"/>
      <c r="M2" s="86"/>
      <c r="N2" s="86"/>
      <c r="O2" s="86"/>
      <c r="P2" s="86"/>
      <c r="Q2" s="86"/>
      <c r="R2" s="86"/>
      <c r="S2" s="86"/>
      <c r="T2" s="86"/>
      <c r="U2" s="86"/>
      <c r="V2" s="86"/>
      <c r="W2" s="86"/>
      <c r="X2" s="86"/>
      <c r="Y2" s="86"/>
      <c r="Z2" s="86"/>
    </row>
    <row r="3" spans="1:26" ht="15.75" customHeight="1">
      <c r="A3" s="21" t="s">
        <v>621</v>
      </c>
      <c r="B3" s="84" t="s">
        <v>622</v>
      </c>
      <c r="C3" s="86" t="s">
        <v>1705</v>
      </c>
      <c r="D3" s="87" t="s">
        <v>1706</v>
      </c>
      <c r="E3" s="86"/>
      <c r="F3" s="86"/>
      <c r="G3" s="86"/>
      <c r="H3" s="86"/>
      <c r="I3" s="86"/>
      <c r="J3" s="86"/>
      <c r="K3" s="86"/>
      <c r="L3" s="86"/>
      <c r="M3" s="86"/>
      <c r="N3" s="86"/>
      <c r="O3" s="86"/>
      <c r="P3" s="86"/>
      <c r="Q3" s="86"/>
      <c r="R3" s="86"/>
      <c r="S3" s="86"/>
      <c r="T3" s="86"/>
      <c r="U3" s="86"/>
      <c r="V3" s="86"/>
      <c r="W3" s="86"/>
      <c r="X3" s="86"/>
      <c r="Y3" s="86"/>
      <c r="Z3" s="86"/>
    </row>
    <row r="4" spans="1:26" ht="15.75" customHeight="1">
      <c r="A4" s="21" t="s">
        <v>623</v>
      </c>
      <c r="B4" s="84" t="s">
        <v>624</v>
      </c>
      <c r="C4" s="86" t="s">
        <v>1708</v>
      </c>
      <c r="D4" s="87" t="s">
        <v>1709</v>
      </c>
      <c r="E4" s="86"/>
      <c r="F4" s="86"/>
      <c r="G4" s="86"/>
      <c r="H4" s="86"/>
      <c r="I4" s="86"/>
      <c r="J4" s="86"/>
      <c r="K4" s="86"/>
      <c r="L4" s="86"/>
      <c r="M4" s="86"/>
      <c r="N4" s="86"/>
      <c r="O4" s="86"/>
      <c r="P4" s="86"/>
      <c r="Q4" s="86"/>
      <c r="R4" s="86"/>
      <c r="S4" s="86"/>
      <c r="T4" s="86"/>
      <c r="U4" s="86"/>
      <c r="V4" s="86"/>
      <c r="W4" s="86"/>
      <c r="X4" s="86"/>
      <c r="Y4" s="86"/>
      <c r="Z4" s="86"/>
    </row>
    <row r="5" spans="1:26" ht="15.75" customHeight="1">
      <c r="A5" s="21" t="s">
        <v>625</v>
      </c>
      <c r="B5" s="84" t="s">
        <v>626</v>
      </c>
      <c r="C5" s="86" t="s">
        <v>1708</v>
      </c>
      <c r="D5" s="87" t="s">
        <v>1710</v>
      </c>
      <c r="E5" s="86"/>
      <c r="F5" s="86"/>
      <c r="G5" s="86"/>
      <c r="H5" s="86"/>
      <c r="I5" s="86"/>
      <c r="J5" s="86"/>
      <c r="K5" s="86"/>
      <c r="L5" s="86"/>
      <c r="M5" s="86"/>
      <c r="N5" s="86"/>
      <c r="O5" s="86"/>
      <c r="P5" s="86"/>
      <c r="Q5" s="86"/>
      <c r="R5" s="86"/>
      <c r="S5" s="86"/>
      <c r="T5" s="86"/>
      <c r="U5" s="86"/>
      <c r="V5" s="86"/>
      <c r="W5" s="86"/>
      <c r="X5" s="86"/>
      <c r="Y5" s="86"/>
      <c r="Z5" s="86"/>
    </row>
    <row r="6" spans="1:26" ht="15.75" customHeight="1">
      <c r="A6" s="21" t="s">
        <v>627</v>
      </c>
      <c r="B6" s="84" t="s">
        <v>628</v>
      </c>
      <c r="C6" s="86" t="s">
        <v>417</v>
      </c>
      <c r="D6" s="87" t="s">
        <v>1711</v>
      </c>
      <c r="E6" s="86"/>
      <c r="F6" s="86"/>
      <c r="G6" s="86"/>
      <c r="H6" s="86"/>
      <c r="I6" s="86"/>
      <c r="J6" s="86"/>
      <c r="K6" s="86"/>
      <c r="L6" s="86"/>
      <c r="M6" s="86"/>
      <c r="N6" s="86"/>
      <c r="O6" s="86"/>
      <c r="P6" s="86"/>
      <c r="Q6" s="86"/>
      <c r="R6" s="86"/>
      <c r="S6" s="86"/>
      <c r="T6" s="86"/>
      <c r="U6" s="86"/>
      <c r="V6" s="86"/>
      <c r="W6" s="86"/>
      <c r="X6" s="86"/>
      <c r="Y6" s="86"/>
      <c r="Z6" s="86"/>
    </row>
    <row r="7" spans="1:26" ht="15.75" customHeight="1">
      <c r="A7" s="21" t="s">
        <v>631</v>
      </c>
      <c r="B7" s="84" t="s">
        <v>632</v>
      </c>
      <c r="C7" s="86" t="s">
        <v>629</v>
      </c>
      <c r="D7" s="87" t="s">
        <v>1712</v>
      </c>
      <c r="E7" s="86"/>
      <c r="F7" s="86"/>
      <c r="G7" s="86"/>
      <c r="H7" s="86"/>
      <c r="I7" s="86"/>
      <c r="J7" s="86"/>
      <c r="K7" s="86"/>
      <c r="L7" s="86"/>
      <c r="M7" s="86"/>
      <c r="N7" s="86"/>
      <c r="O7" s="86"/>
      <c r="P7" s="86"/>
      <c r="Q7" s="86"/>
      <c r="R7" s="86"/>
      <c r="S7" s="86"/>
      <c r="T7" s="86"/>
      <c r="U7" s="86"/>
      <c r="V7" s="86"/>
      <c r="W7" s="86"/>
      <c r="X7" s="86"/>
      <c r="Y7" s="86"/>
      <c r="Z7" s="86"/>
    </row>
    <row r="8" spans="1:26" ht="15.75" customHeight="1">
      <c r="A8" s="11" t="s">
        <v>633</v>
      </c>
      <c r="B8" s="64" t="s">
        <v>634</v>
      </c>
      <c r="C8" s="86" t="s">
        <v>629</v>
      </c>
      <c r="D8" s="87" t="s">
        <v>1713</v>
      </c>
      <c r="E8" s="86"/>
      <c r="F8" s="86"/>
      <c r="G8" s="86"/>
      <c r="H8" s="86"/>
      <c r="I8" s="86"/>
      <c r="J8" s="86"/>
      <c r="K8" s="86"/>
      <c r="L8" s="86"/>
      <c r="M8" s="86"/>
      <c r="N8" s="86"/>
      <c r="O8" s="86"/>
      <c r="P8" s="86"/>
      <c r="Q8" s="86"/>
      <c r="R8" s="86"/>
      <c r="S8" s="86"/>
      <c r="T8" s="86"/>
      <c r="U8" s="86"/>
      <c r="V8" s="86"/>
      <c r="W8" s="86"/>
      <c r="X8" s="86"/>
      <c r="Y8" s="86"/>
      <c r="Z8" s="86"/>
    </row>
    <row r="9" spans="1:26" ht="15.75" customHeight="1">
      <c r="A9" s="89" t="s">
        <v>474</v>
      </c>
      <c r="B9" s="90" t="s">
        <v>1714</v>
      </c>
      <c r="C9" s="86" t="s">
        <v>116</v>
      </c>
      <c r="D9" s="91" t="s">
        <v>1716</v>
      </c>
      <c r="E9" s="86"/>
      <c r="F9" s="86"/>
      <c r="G9" s="86"/>
      <c r="H9" s="86"/>
      <c r="I9" s="86"/>
      <c r="J9" s="86"/>
      <c r="K9" s="86"/>
      <c r="L9" s="86"/>
      <c r="M9" s="86"/>
      <c r="N9" s="86"/>
      <c r="O9" s="86"/>
      <c r="P9" s="86"/>
      <c r="Q9" s="86"/>
      <c r="R9" s="86"/>
      <c r="S9" s="86"/>
      <c r="T9" s="86"/>
      <c r="U9" s="86"/>
      <c r="V9" s="86"/>
      <c r="W9" s="86"/>
      <c r="X9" s="86"/>
      <c r="Y9" s="86"/>
      <c r="Z9" s="86"/>
    </row>
    <row r="10" spans="1:26" ht="15.75" customHeight="1">
      <c r="A10" s="86" t="s">
        <v>252</v>
      </c>
      <c r="B10" s="92" t="s">
        <v>253</v>
      </c>
      <c r="C10" s="86" t="s">
        <v>1705</v>
      </c>
      <c r="D10" s="91" t="s">
        <v>1717</v>
      </c>
      <c r="E10" s="86"/>
      <c r="F10" s="86"/>
      <c r="G10" s="86"/>
      <c r="H10" s="86"/>
      <c r="I10" s="86"/>
      <c r="J10" s="86"/>
      <c r="K10" s="86"/>
      <c r="L10" s="86"/>
      <c r="M10" s="86"/>
      <c r="N10" s="86"/>
      <c r="O10" s="86"/>
      <c r="P10" s="86"/>
      <c r="Q10" s="86"/>
      <c r="R10" s="86"/>
      <c r="S10" s="86"/>
      <c r="T10" s="86"/>
      <c r="U10" s="86"/>
      <c r="V10" s="86"/>
      <c r="W10" s="86"/>
      <c r="X10" s="86"/>
      <c r="Y10" s="86"/>
      <c r="Z10" s="86"/>
    </row>
    <row r="11" spans="1:26" ht="15.75" customHeight="1">
      <c r="A11" s="86" t="s">
        <v>458</v>
      </c>
      <c r="B11" s="92" t="s">
        <v>1718</v>
      </c>
      <c r="C11" s="86" t="s">
        <v>116</v>
      </c>
      <c r="D11" s="91" t="s">
        <v>1719</v>
      </c>
      <c r="E11" s="86"/>
      <c r="F11" s="86"/>
      <c r="G11" s="86"/>
      <c r="H11" s="86"/>
      <c r="I11" s="86"/>
      <c r="J11" s="86"/>
      <c r="K11" s="86"/>
      <c r="L11" s="86"/>
      <c r="M11" s="86"/>
      <c r="N11" s="86"/>
      <c r="O11" s="86"/>
      <c r="P11" s="86"/>
      <c r="Q11" s="86"/>
      <c r="R11" s="86"/>
      <c r="S11" s="86"/>
      <c r="T11" s="86"/>
      <c r="U11" s="86"/>
      <c r="V11" s="86"/>
      <c r="W11" s="86"/>
      <c r="X11" s="86"/>
      <c r="Y11" s="86"/>
      <c r="Z11" s="86"/>
    </row>
    <row r="12" spans="1:26" ht="15.75" customHeight="1">
      <c r="A12" s="86" t="s">
        <v>316</v>
      </c>
      <c r="B12" s="92" t="s">
        <v>317</v>
      </c>
      <c r="C12" s="86" t="s">
        <v>315</v>
      </c>
      <c r="D12" s="91" t="s">
        <v>1720</v>
      </c>
      <c r="E12" s="86"/>
      <c r="F12" s="86"/>
      <c r="G12" s="86"/>
      <c r="H12" s="86"/>
      <c r="I12" s="86"/>
      <c r="J12" s="86"/>
      <c r="K12" s="86"/>
      <c r="L12" s="86"/>
      <c r="M12" s="86"/>
      <c r="N12" s="86"/>
      <c r="O12" s="86"/>
      <c r="P12" s="86"/>
      <c r="Q12" s="86"/>
      <c r="R12" s="86"/>
      <c r="S12" s="86"/>
      <c r="T12" s="86"/>
      <c r="U12" s="86"/>
      <c r="V12" s="86"/>
      <c r="W12" s="86"/>
      <c r="X12" s="86"/>
      <c r="Y12" s="86"/>
      <c r="Z12" s="86"/>
    </row>
    <row r="13" spans="1:26" ht="15.75" customHeight="1">
      <c r="A13" s="86" t="s">
        <v>151</v>
      </c>
      <c r="B13" s="92" t="s">
        <v>152</v>
      </c>
      <c r="C13" s="86" t="s">
        <v>1708</v>
      </c>
      <c r="D13" s="91" t="s">
        <v>1721</v>
      </c>
      <c r="E13" s="86"/>
      <c r="F13" s="86"/>
      <c r="G13" s="86"/>
      <c r="H13" s="86"/>
      <c r="I13" s="86"/>
      <c r="J13" s="86"/>
      <c r="K13" s="86"/>
      <c r="L13" s="86"/>
      <c r="M13" s="86"/>
      <c r="N13" s="86"/>
      <c r="O13" s="86"/>
      <c r="P13" s="86"/>
      <c r="Q13" s="86"/>
      <c r="R13" s="86"/>
      <c r="S13" s="86"/>
      <c r="T13" s="86"/>
      <c r="U13" s="86"/>
      <c r="V13" s="86"/>
      <c r="W13" s="86"/>
      <c r="X13" s="86"/>
      <c r="Y13" s="86"/>
      <c r="Z13" s="86"/>
    </row>
    <row r="14" spans="1:26" ht="15.75" customHeight="1">
      <c r="A14" s="86" t="s">
        <v>94</v>
      </c>
      <c r="B14" s="92" t="s">
        <v>95</v>
      </c>
      <c r="C14" s="86" t="s">
        <v>1708</v>
      </c>
      <c r="D14" s="91" t="s">
        <v>1722</v>
      </c>
      <c r="E14" s="86"/>
      <c r="F14" s="86"/>
      <c r="G14" s="86"/>
      <c r="H14" s="86"/>
      <c r="I14" s="86"/>
      <c r="J14" s="86"/>
      <c r="K14" s="86"/>
      <c r="L14" s="86"/>
      <c r="M14" s="86"/>
      <c r="N14" s="86"/>
      <c r="O14" s="86"/>
      <c r="P14" s="86"/>
      <c r="Q14" s="86"/>
      <c r="R14" s="86"/>
      <c r="S14" s="86"/>
      <c r="T14" s="86"/>
      <c r="U14" s="86"/>
      <c r="V14" s="86"/>
      <c r="W14" s="86"/>
      <c r="X14" s="86"/>
      <c r="Y14" s="86"/>
      <c r="Z14" s="86"/>
    </row>
    <row r="15" spans="1:26" ht="15.75" customHeight="1">
      <c r="A15" s="86" t="s">
        <v>448</v>
      </c>
      <c r="B15" s="92" t="s">
        <v>449</v>
      </c>
      <c r="C15" s="86" t="s">
        <v>629</v>
      </c>
      <c r="D15" s="91" t="s">
        <v>1723</v>
      </c>
      <c r="E15" s="86"/>
      <c r="F15" s="86"/>
      <c r="G15" s="86"/>
      <c r="H15" s="86"/>
      <c r="I15" s="86"/>
      <c r="J15" s="86"/>
      <c r="K15" s="86"/>
      <c r="L15" s="86"/>
      <c r="M15" s="86"/>
      <c r="N15" s="86"/>
      <c r="O15" s="86"/>
      <c r="P15" s="86"/>
      <c r="Q15" s="86"/>
      <c r="R15" s="86"/>
      <c r="S15" s="86"/>
      <c r="T15" s="86"/>
      <c r="U15" s="86"/>
      <c r="V15" s="86"/>
      <c r="W15" s="86"/>
      <c r="X15" s="86"/>
      <c r="Y15" s="86"/>
      <c r="Z15" s="86"/>
    </row>
    <row r="16" spans="1:26" ht="15.75" customHeight="1">
      <c r="A16" s="86" t="s">
        <v>468</v>
      </c>
      <c r="B16" s="90" t="s">
        <v>1714</v>
      </c>
      <c r="C16" s="86" t="s">
        <v>116</v>
      </c>
      <c r="D16" s="93" t="s">
        <v>1724</v>
      </c>
      <c r="E16" s="86"/>
      <c r="F16" s="86"/>
      <c r="G16" s="86"/>
      <c r="H16" s="86"/>
      <c r="I16" s="86"/>
      <c r="J16" s="86"/>
      <c r="K16" s="86"/>
      <c r="L16" s="86"/>
      <c r="M16" s="86"/>
      <c r="N16" s="86"/>
      <c r="O16" s="86"/>
      <c r="P16" s="86"/>
      <c r="Q16" s="86"/>
      <c r="R16" s="86"/>
      <c r="S16" s="86"/>
      <c r="T16" s="86"/>
      <c r="U16" s="86"/>
      <c r="V16" s="86"/>
      <c r="W16" s="86"/>
      <c r="X16" s="86"/>
      <c r="Y16" s="86"/>
      <c r="Z16" s="86"/>
    </row>
    <row r="17" spans="1:26" ht="15.75" customHeight="1">
      <c r="A17" s="86" t="s">
        <v>389</v>
      </c>
      <c r="B17" s="92" t="s">
        <v>390</v>
      </c>
      <c r="C17" s="86" t="s">
        <v>1708</v>
      </c>
      <c r="D17" s="91" t="s">
        <v>1725</v>
      </c>
      <c r="E17" s="86"/>
      <c r="F17" s="86"/>
      <c r="G17" s="86"/>
      <c r="H17" s="86"/>
      <c r="I17" s="86"/>
      <c r="J17" s="86"/>
      <c r="K17" s="86"/>
      <c r="L17" s="86"/>
      <c r="M17" s="86"/>
      <c r="N17" s="86"/>
      <c r="O17" s="86"/>
      <c r="P17" s="86"/>
      <c r="Q17" s="86"/>
      <c r="R17" s="86"/>
      <c r="S17" s="86"/>
      <c r="T17" s="86"/>
      <c r="U17" s="86"/>
      <c r="V17" s="86"/>
      <c r="W17" s="86"/>
      <c r="X17" s="86"/>
      <c r="Y17" s="86"/>
      <c r="Z17" s="86"/>
    </row>
    <row r="18" spans="1:26" ht="15.75" customHeight="1">
      <c r="A18" s="86" t="s">
        <v>582</v>
      </c>
      <c r="B18" s="92" t="s">
        <v>583</v>
      </c>
      <c r="C18" s="86" t="s">
        <v>1708</v>
      </c>
      <c r="D18" s="91" t="s">
        <v>1726</v>
      </c>
      <c r="E18" s="86"/>
      <c r="F18" s="86"/>
      <c r="G18" s="86"/>
      <c r="H18" s="86"/>
      <c r="I18" s="86"/>
      <c r="J18" s="86"/>
      <c r="K18" s="86"/>
      <c r="L18" s="86"/>
      <c r="M18" s="86"/>
      <c r="N18" s="86"/>
      <c r="O18" s="86"/>
      <c r="P18" s="86"/>
      <c r="Q18" s="86"/>
      <c r="R18" s="86"/>
      <c r="S18" s="86"/>
      <c r="T18" s="86"/>
      <c r="U18" s="86"/>
      <c r="V18" s="86"/>
      <c r="W18" s="86"/>
      <c r="X18" s="86"/>
      <c r="Y18" s="86"/>
      <c r="Z18" s="86"/>
    </row>
    <row r="19" spans="1:26" ht="15.75" customHeight="1">
      <c r="A19" s="86" t="s">
        <v>201</v>
      </c>
      <c r="B19" s="92" t="s">
        <v>202</v>
      </c>
      <c r="C19" s="86" t="s">
        <v>1708</v>
      </c>
      <c r="D19" s="91" t="s">
        <v>1727</v>
      </c>
      <c r="E19" s="86"/>
      <c r="F19" s="86"/>
      <c r="G19" s="86"/>
      <c r="H19" s="86"/>
      <c r="I19" s="86"/>
      <c r="J19" s="86"/>
      <c r="K19" s="86"/>
      <c r="L19" s="86"/>
      <c r="M19" s="86"/>
      <c r="N19" s="86"/>
      <c r="O19" s="86"/>
      <c r="P19" s="86"/>
      <c r="Q19" s="86"/>
      <c r="R19" s="86"/>
      <c r="S19" s="86"/>
      <c r="T19" s="86"/>
      <c r="U19" s="86"/>
      <c r="V19" s="86"/>
      <c r="W19" s="86"/>
      <c r="X19" s="86"/>
      <c r="Y19" s="86"/>
      <c r="Z19" s="86"/>
    </row>
    <row r="20" spans="1:26" ht="15.75" customHeight="1">
      <c r="A20" s="86" t="s">
        <v>303</v>
      </c>
      <c r="B20" s="92" t="s">
        <v>304</v>
      </c>
      <c r="C20" s="86" t="s">
        <v>672</v>
      </c>
      <c r="D20" s="91" t="s">
        <v>1728</v>
      </c>
      <c r="E20" s="86"/>
      <c r="F20" s="86"/>
      <c r="G20" s="86"/>
      <c r="H20" s="86"/>
      <c r="I20" s="86"/>
      <c r="J20" s="86"/>
      <c r="K20" s="86"/>
      <c r="L20" s="86"/>
      <c r="M20" s="86"/>
      <c r="N20" s="86"/>
      <c r="O20" s="86"/>
      <c r="P20" s="86"/>
      <c r="Q20" s="86"/>
      <c r="R20" s="86"/>
      <c r="S20" s="86"/>
      <c r="T20" s="86"/>
      <c r="U20" s="86"/>
      <c r="V20" s="86"/>
      <c r="W20" s="86"/>
      <c r="X20" s="86"/>
      <c r="Y20" s="86"/>
      <c r="Z20" s="86"/>
    </row>
    <row r="21" spans="1:26" ht="15.75" customHeight="1">
      <c r="A21" s="86" t="s">
        <v>129</v>
      </c>
      <c r="B21" s="92" t="s">
        <v>130</v>
      </c>
      <c r="C21" s="86" t="s">
        <v>126</v>
      </c>
      <c r="D21" s="91" t="s">
        <v>1729</v>
      </c>
      <c r="E21" s="86"/>
      <c r="F21" s="86"/>
      <c r="G21" s="86"/>
      <c r="H21" s="86"/>
      <c r="I21" s="86"/>
      <c r="J21" s="86"/>
      <c r="K21" s="86"/>
      <c r="L21" s="86"/>
      <c r="M21" s="86"/>
      <c r="N21" s="86"/>
      <c r="O21" s="86"/>
      <c r="P21" s="86"/>
      <c r="Q21" s="86"/>
      <c r="R21" s="86"/>
      <c r="S21" s="86"/>
      <c r="T21" s="86"/>
      <c r="U21" s="86"/>
      <c r="V21" s="86"/>
      <c r="W21" s="86"/>
      <c r="X21" s="86"/>
      <c r="Y21" s="86"/>
      <c r="Z21" s="86"/>
    </row>
    <row r="22" spans="1:26" ht="15.75" customHeight="1">
      <c r="A22" s="94" t="s">
        <v>239</v>
      </c>
      <c r="B22" s="92" t="s">
        <v>240</v>
      </c>
      <c r="C22" s="86" t="s">
        <v>1708</v>
      </c>
      <c r="D22" s="91" t="s">
        <v>1730</v>
      </c>
      <c r="E22" s="86"/>
      <c r="F22" s="86"/>
      <c r="G22" s="86"/>
      <c r="H22" s="86"/>
      <c r="I22" s="86"/>
      <c r="J22" s="86"/>
      <c r="K22" s="86"/>
      <c r="L22" s="86"/>
      <c r="M22" s="86"/>
      <c r="N22" s="86"/>
      <c r="O22" s="86"/>
      <c r="P22" s="86"/>
      <c r="Q22" s="86"/>
      <c r="R22" s="86"/>
      <c r="S22" s="86"/>
      <c r="T22" s="86"/>
      <c r="U22" s="86"/>
      <c r="V22" s="86"/>
      <c r="W22" s="86"/>
      <c r="X22" s="86"/>
      <c r="Y22" s="86"/>
      <c r="Z22" s="86"/>
    </row>
    <row r="23" spans="1:26" ht="15.75" customHeight="1">
      <c r="A23" s="89" t="s">
        <v>397</v>
      </c>
      <c r="B23" s="92" t="s">
        <v>398</v>
      </c>
      <c r="C23" s="86" t="s">
        <v>1708</v>
      </c>
      <c r="D23" s="91" t="s">
        <v>1731</v>
      </c>
      <c r="E23" s="86"/>
      <c r="F23" s="86"/>
      <c r="G23" s="86"/>
      <c r="H23" s="86"/>
      <c r="I23" s="86"/>
      <c r="J23" s="86"/>
      <c r="K23" s="86"/>
      <c r="L23" s="86"/>
      <c r="M23" s="86"/>
      <c r="N23" s="86"/>
      <c r="O23" s="86"/>
      <c r="P23" s="86"/>
      <c r="Q23" s="86"/>
      <c r="R23" s="86"/>
      <c r="S23" s="86"/>
      <c r="T23" s="86"/>
      <c r="U23" s="86"/>
      <c r="V23" s="86"/>
      <c r="W23" s="86"/>
      <c r="X23" s="86"/>
      <c r="Y23" s="86"/>
      <c r="Z23" s="86"/>
    </row>
    <row r="24" spans="1:26" ht="15.75" customHeight="1">
      <c r="A24" s="86" t="s">
        <v>1732</v>
      </c>
      <c r="B24" s="92" t="s">
        <v>181</v>
      </c>
      <c r="C24" s="86" t="s">
        <v>179</v>
      </c>
      <c r="D24" s="91" t="s">
        <v>1733</v>
      </c>
      <c r="E24" s="86"/>
      <c r="F24" s="86"/>
      <c r="G24" s="86"/>
      <c r="H24" s="86"/>
      <c r="I24" s="86"/>
      <c r="J24" s="86"/>
      <c r="K24" s="86"/>
      <c r="L24" s="86"/>
      <c r="M24" s="86"/>
      <c r="N24" s="86"/>
      <c r="O24" s="86"/>
      <c r="P24" s="86"/>
      <c r="Q24" s="86"/>
      <c r="R24" s="86"/>
      <c r="S24" s="86"/>
      <c r="T24" s="86"/>
      <c r="U24" s="86"/>
      <c r="V24" s="86"/>
      <c r="W24" s="86"/>
      <c r="X24" s="86"/>
      <c r="Y24" s="86"/>
      <c r="Z24" s="86"/>
    </row>
    <row r="25" spans="1:26" ht="15.75" customHeight="1">
      <c r="A25" s="94" t="s">
        <v>1734</v>
      </c>
      <c r="B25" s="92" t="s">
        <v>172</v>
      </c>
      <c r="C25" s="86" t="s">
        <v>1708</v>
      </c>
      <c r="D25" s="91" t="s">
        <v>1735</v>
      </c>
      <c r="E25" s="86"/>
      <c r="F25" s="86"/>
      <c r="G25" s="86"/>
      <c r="H25" s="86"/>
      <c r="I25" s="86"/>
      <c r="J25" s="86"/>
      <c r="K25" s="86"/>
      <c r="L25" s="86"/>
      <c r="M25" s="86"/>
      <c r="N25" s="86"/>
      <c r="O25" s="86"/>
      <c r="P25" s="86"/>
      <c r="Q25" s="86"/>
      <c r="R25" s="86"/>
      <c r="S25" s="86"/>
      <c r="T25" s="86"/>
      <c r="U25" s="86"/>
      <c r="V25" s="86"/>
      <c r="W25" s="86"/>
      <c r="X25" s="86"/>
      <c r="Y25" s="86"/>
      <c r="Z25" s="86"/>
    </row>
    <row r="26" spans="1:26" ht="15.75" customHeight="1">
      <c r="A26" s="86" t="s">
        <v>1736</v>
      </c>
      <c r="B26" s="95" t="s">
        <v>1714</v>
      </c>
      <c r="C26" s="91" t="s">
        <v>1708</v>
      </c>
      <c r="D26" s="97" t="s">
        <v>1737</v>
      </c>
      <c r="E26" s="86"/>
      <c r="F26" s="86"/>
      <c r="G26" s="86"/>
      <c r="H26" s="86"/>
      <c r="I26" s="86"/>
      <c r="J26" s="86"/>
      <c r="K26" s="86"/>
      <c r="L26" s="86"/>
      <c r="M26" s="86"/>
      <c r="N26" s="86"/>
      <c r="O26" s="86"/>
      <c r="P26" s="86"/>
      <c r="Q26" s="86"/>
      <c r="R26" s="86"/>
      <c r="S26" s="86"/>
      <c r="T26" s="86"/>
      <c r="U26" s="86"/>
      <c r="V26" s="86"/>
      <c r="W26" s="86"/>
      <c r="X26" s="86"/>
      <c r="Y26" s="86"/>
      <c r="Z26" s="86"/>
    </row>
    <row r="27" spans="1:26" ht="15.75" customHeight="1">
      <c r="A27" s="86" t="s">
        <v>617</v>
      </c>
      <c r="B27" s="92" t="s">
        <v>618</v>
      </c>
      <c r="C27" s="86" t="s">
        <v>1708</v>
      </c>
      <c r="D27" s="91" t="s">
        <v>1738</v>
      </c>
      <c r="E27" s="86"/>
      <c r="F27" s="86"/>
      <c r="G27" s="86"/>
      <c r="H27" s="86"/>
      <c r="I27" s="86"/>
      <c r="J27" s="86"/>
      <c r="K27" s="86"/>
      <c r="L27" s="86"/>
      <c r="M27" s="86"/>
      <c r="N27" s="86"/>
      <c r="O27" s="86"/>
      <c r="P27" s="86"/>
      <c r="Q27" s="86"/>
      <c r="R27" s="86"/>
      <c r="S27" s="86"/>
      <c r="T27" s="86"/>
      <c r="U27" s="86"/>
      <c r="V27" s="86"/>
      <c r="W27" s="86"/>
      <c r="X27" s="86"/>
      <c r="Y27" s="86"/>
      <c r="Z27" s="86"/>
    </row>
    <row r="28" spans="1:26" ht="15.75" customHeight="1">
      <c r="A28" s="89" t="s">
        <v>1739</v>
      </c>
      <c r="B28" s="92" t="s">
        <v>311</v>
      </c>
      <c r="C28" s="86" t="s">
        <v>1705</v>
      </c>
      <c r="D28" s="91" t="s">
        <v>1741</v>
      </c>
      <c r="E28" s="86"/>
      <c r="F28" s="86"/>
      <c r="G28" s="86"/>
      <c r="H28" s="86"/>
      <c r="I28" s="86"/>
      <c r="J28" s="86"/>
      <c r="K28" s="86"/>
      <c r="L28" s="86"/>
      <c r="M28" s="86"/>
      <c r="N28" s="86"/>
      <c r="O28" s="86"/>
      <c r="P28" s="86"/>
      <c r="Q28" s="86"/>
      <c r="R28" s="86"/>
      <c r="S28" s="86"/>
      <c r="T28" s="86"/>
      <c r="U28" s="86"/>
      <c r="V28" s="86"/>
      <c r="W28" s="86"/>
      <c r="X28" s="86"/>
      <c r="Y28" s="86"/>
      <c r="Z28" s="86"/>
    </row>
    <row r="29" spans="1:26" ht="15.75" customHeight="1">
      <c r="A29" s="98" t="s">
        <v>1742</v>
      </c>
      <c r="B29" s="99" t="s">
        <v>154</v>
      </c>
      <c r="C29" s="101" t="s">
        <v>1708</v>
      </c>
      <c r="D29" s="102" t="s">
        <v>1743</v>
      </c>
      <c r="E29" s="103"/>
      <c r="F29" s="103"/>
      <c r="G29" s="103"/>
      <c r="H29" s="103"/>
      <c r="I29" s="103"/>
      <c r="J29" s="103"/>
      <c r="K29" s="103"/>
      <c r="L29" s="103"/>
      <c r="M29" s="103"/>
      <c r="N29" s="103"/>
      <c r="O29" s="103"/>
      <c r="P29" s="103"/>
      <c r="Q29" s="103"/>
      <c r="R29" s="103"/>
      <c r="S29" s="103"/>
      <c r="T29" s="103"/>
      <c r="U29" s="103"/>
      <c r="V29" s="103"/>
      <c r="W29" s="103"/>
      <c r="X29" s="103"/>
      <c r="Y29" s="103"/>
      <c r="Z29" s="103"/>
    </row>
    <row r="30" spans="1:26" ht="15.75" customHeight="1">
      <c r="A30" s="86" t="s">
        <v>114</v>
      </c>
      <c r="B30" s="92" t="s">
        <v>115</v>
      </c>
      <c r="C30" s="86" t="s">
        <v>1708</v>
      </c>
      <c r="D30" s="91" t="s">
        <v>1744</v>
      </c>
      <c r="E30" s="86"/>
      <c r="F30" s="86"/>
      <c r="G30" s="86"/>
      <c r="H30" s="86"/>
      <c r="I30" s="86"/>
      <c r="J30" s="86"/>
      <c r="K30" s="86"/>
      <c r="L30" s="86"/>
      <c r="M30" s="86"/>
      <c r="N30" s="86"/>
      <c r="O30" s="86"/>
      <c r="P30" s="86"/>
      <c r="Q30" s="86"/>
      <c r="R30" s="86"/>
      <c r="S30" s="86"/>
      <c r="T30" s="86"/>
      <c r="U30" s="86"/>
      <c r="V30" s="86"/>
      <c r="W30" s="86"/>
      <c r="X30" s="86"/>
      <c r="Y30" s="86"/>
      <c r="Z30" s="86"/>
    </row>
    <row r="31" spans="1:26" ht="15.75" customHeight="1">
      <c r="A31" s="98" t="s">
        <v>1745</v>
      </c>
      <c r="B31" s="104" t="s">
        <v>1746</v>
      </c>
      <c r="C31" s="101" t="s">
        <v>315</v>
      </c>
      <c r="D31" s="101" t="s">
        <v>1747</v>
      </c>
      <c r="E31" s="103"/>
      <c r="F31" s="103"/>
      <c r="G31" s="103"/>
      <c r="H31" s="103"/>
      <c r="I31" s="103"/>
      <c r="J31" s="103"/>
      <c r="K31" s="103"/>
      <c r="L31" s="103"/>
      <c r="M31" s="103"/>
      <c r="N31" s="103"/>
      <c r="O31" s="103"/>
      <c r="P31" s="103"/>
      <c r="Q31" s="103"/>
      <c r="R31" s="103"/>
      <c r="S31" s="103"/>
      <c r="T31" s="103"/>
      <c r="U31" s="103"/>
      <c r="V31" s="103"/>
      <c r="W31" s="103"/>
      <c r="X31" s="103"/>
      <c r="Y31" s="103"/>
      <c r="Z31" s="103"/>
    </row>
    <row r="32" spans="1:26" ht="15.75" customHeight="1">
      <c r="A32" s="86" t="s">
        <v>197</v>
      </c>
      <c r="B32" s="92" t="s">
        <v>198</v>
      </c>
      <c r="C32" s="86" t="s">
        <v>1708</v>
      </c>
      <c r="D32" s="91" t="s">
        <v>1748</v>
      </c>
      <c r="E32" s="86"/>
      <c r="F32" s="86"/>
      <c r="G32" s="86"/>
      <c r="H32" s="86"/>
      <c r="I32" s="86"/>
      <c r="J32" s="86"/>
      <c r="K32" s="86"/>
      <c r="L32" s="86"/>
      <c r="M32" s="86"/>
      <c r="N32" s="86"/>
      <c r="O32" s="86"/>
      <c r="P32" s="86"/>
      <c r="Q32" s="86"/>
      <c r="R32" s="86"/>
      <c r="S32" s="86"/>
      <c r="T32" s="86"/>
      <c r="U32" s="86"/>
      <c r="V32" s="86"/>
      <c r="W32" s="86"/>
      <c r="X32" s="86"/>
      <c r="Y32" s="86"/>
      <c r="Z32" s="86"/>
    </row>
    <row r="33" spans="1:26" ht="15.75" customHeight="1">
      <c r="A33" s="89" t="s">
        <v>489</v>
      </c>
      <c r="B33" s="92" t="s">
        <v>490</v>
      </c>
      <c r="C33" s="86" t="s">
        <v>488</v>
      </c>
      <c r="D33" s="91" t="s">
        <v>1750</v>
      </c>
      <c r="E33" s="86"/>
      <c r="F33" s="86"/>
      <c r="G33" s="86"/>
      <c r="H33" s="86"/>
      <c r="I33" s="86"/>
      <c r="J33" s="86"/>
      <c r="K33" s="86"/>
      <c r="L33" s="86"/>
      <c r="M33" s="86"/>
      <c r="N33" s="86"/>
      <c r="O33" s="86"/>
      <c r="P33" s="86"/>
      <c r="Q33" s="86"/>
      <c r="R33" s="86"/>
      <c r="S33" s="86"/>
      <c r="T33" s="86"/>
      <c r="U33" s="86"/>
      <c r="V33" s="86"/>
      <c r="W33" s="86"/>
      <c r="X33" s="86"/>
      <c r="Y33" s="86"/>
      <c r="Z33" s="86"/>
    </row>
    <row r="34" spans="1:26" ht="15.75" customHeight="1">
      <c r="A34" s="98" t="s">
        <v>1751</v>
      </c>
      <c r="B34" s="105" t="s">
        <v>1752</v>
      </c>
      <c r="C34" s="101" t="s">
        <v>1708</v>
      </c>
      <c r="D34" s="102" t="s">
        <v>1753</v>
      </c>
      <c r="E34" s="103"/>
      <c r="F34" s="103"/>
      <c r="G34" s="103"/>
      <c r="H34" s="103"/>
      <c r="I34" s="103"/>
      <c r="J34" s="103"/>
      <c r="K34" s="103"/>
      <c r="L34" s="103"/>
      <c r="M34" s="103"/>
      <c r="N34" s="103"/>
      <c r="O34" s="103"/>
      <c r="P34" s="103"/>
      <c r="Q34" s="103"/>
      <c r="R34" s="103"/>
      <c r="S34" s="103"/>
      <c r="T34" s="103"/>
      <c r="U34" s="103"/>
      <c r="V34" s="103"/>
      <c r="W34" s="103"/>
      <c r="X34" s="103"/>
      <c r="Y34" s="103"/>
      <c r="Z34" s="103"/>
    </row>
    <row r="35" spans="1:26" ht="15.75" customHeight="1">
      <c r="A35" s="98" t="s">
        <v>1754</v>
      </c>
      <c r="B35" s="106" t="s">
        <v>318</v>
      </c>
      <c r="C35" s="101" t="s">
        <v>315</v>
      </c>
      <c r="D35" s="102" t="s">
        <v>1755</v>
      </c>
      <c r="E35" s="103"/>
      <c r="F35" s="103"/>
      <c r="G35" s="103"/>
      <c r="H35" s="103"/>
      <c r="I35" s="103"/>
      <c r="J35" s="103"/>
      <c r="K35" s="103"/>
      <c r="L35" s="103"/>
      <c r="M35" s="103"/>
      <c r="N35" s="103"/>
      <c r="O35" s="103"/>
      <c r="P35" s="103"/>
      <c r="Q35" s="103"/>
      <c r="R35" s="103"/>
      <c r="S35" s="103"/>
      <c r="T35" s="103"/>
      <c r="U35" s="103"/>
      <c r="V35" s="103"/>
      <c r="W35" s="103"/>
      <c r="X35" s="103"/>
      <c r="Y35" s="103"/>
      <c r="Z35" s="103"/>
    </row>
    <row r="36" spans="1:26" ht="15.75" customHeight="1">
      <c r="A36" s="86" t="s">
        <v>1756</v>
      </c>
      <c r="B36" s="92" t="s">
        <v>104</v>
      </c>
      <c r="C36" s="86" t="s">
        <v>1708</v>
      </c>
      <c r="D36" s="91" t="s">
        <v>1757</v>
      </c>
      <c r="E36" s="86"/>
      <c r="F36" s="86"/>
      <c r="G36" s="86"/>
      <c r="H36" s="86"/>
      <c r="I36" s="86"/>
      <c r="J36" s="86"/>
      <c r="K36" s="86"/>
      <c r="L36" s="86"/>
      <c r="M36" s="86"/>
      <c r="N36" s="86"/>
      <c r="O36" s="86"/>
      <c r="P36" s="86"/>
      <c r="Q36" s="86"/>
      <c r="R36" s="86"/>
      <c r="S36" s="86"/>
      <c r="T36" s="86"/>
      <c r="U36" s="86"/>
      <c r="V36" s="86"/>
      <c r="W36" s="86"/>
      <c r="X36" s="86"/>
      <c r="Y36" s="86"/>
      <c r="Z36" s="86"/>
    </row>
    <row r="37" spans="1:26" ht="15.75" customHeight="1">
      <c r="A37" s="86" t="s">
        <v>584</v>
      </c>
      <c r="B37" s="92" t="s">
        <v>585</v>
      </c>
      <c r="C37" s="86" t="s">
        <v>1708</v>
      </c>
      <c r="D37" s="91" t="s">
        <v>1758</v>
      </c>
      <c r="E37" s="86"/>
      <c r="F37" s="86"/>
      <c r="G37" s="86"/>
      <c r="H37" s="86"/>
      <c r="I37" s="86"/>
      <c r="J37" s="86"/>
      <c r="K37" s="86"/>
      <c r="L37" s="86"/>
      <c r="M37" s="86"/>
      <c r="N37" s="86"/>
      <c r="O37" s="86"/>
      <c r="P37" s="86"/>
      <c r="Q37" s="86"/>
      <c r="R37" s="86"/>
      <c r="S37" s="86"/>
      <c r="T37" s="86"/>
      <c r="U37" s="86"/>
      <c r="V37" s="86"/>
      <c r="W37" s="86"/>
      <c r="X37" s="86"/>
      <c r="Y37" s="86"/>
      <c r="Z37" s="86"/>
    </row>
    <row r="38" spans="1:26" ht="15.75" customHeight="1">
      <c r="A38" s="86" t="s">
        <v>491</v>
      </c>
      <c r="B38" s="92" t="s">
        <v>492</v>
      </c>
      <c r="C38" s="86" t="s">
        <v>488</v>
      </c>
      <c r="D38" s="91" t="s">
        <v>1759</v>
      </c>
      <c r="E38" s="86"/>
      <c r="F38" s="86"/>
      <c r="G38" s="86"/>
      <c r="H38" s="86"/>
      <c r="I38" s="86"/>
      <c r="J38" s="86"/>
      <c r="K38" s="86"/>
      <c r="L38" s="86"/>
      <c r="M38" s="86"/>
      <c r="N38" s="86"/>
      <c r="O38" s="86"/>
      <c r="P38" s="86"/>
      <c r="Q38" s="86"/>
      <c r="R38" s="86"/>
      <c r="S38" s="86"/>
      <c r="T38" s="86"/>
      <c r="U38" s="86"/>
      <c r="V38" s="86"/>
      <c r="W38" s="86"/>
      <c r="X38" s="86"/>
      <c r="Y38" s="86"/>
      <c r="Z38" s="86"/>
    </row>
    <row r="39" spans="1:26" ht="15.75" customHeight="1">
      <c r="A39" s="89" t="s">
        <v>580</v>
      </c>
      <c r="B39" s="92" t="s">
        <v>581</v>
      </c>
      <c r="C39" s="86" t="s">
        <v>566</v>
      </c>
      <c r="D39" s="91" t="s">
        <v>1760</v>
      </c>
      <c r="E39" s="86"/>
      <c r="F39" s="86"/>
      <c r="G39" s="86"/>
      <c r="H39" s="86"/>
      <c r="I39" s="86"/>
      <c r="J39" s="86"/>
      <c r="K39" s="86"/>
      <c r="L39" s="86"/>
      <c r="M39" s="86"/>
      <c r="N39" s="86"/>
      <c r="O39" s="86"/>
      <c r="P39" s="86"/>
      <c r="Q39" s="86"/>
      <c r="R39" s="86"/>
      <c r="S39" s="86"/>
      <c r="T39" s="86"/>
      <c r="U39" s="86"/>
      <c r="V39" s="86"/>
      <c r="W39" s="86"/>
      <c r="X39" s="86"/>
      <c r="Y39" s="86"/>
      <c r="Z39" s="86"/>
    </row>
    <row r="40" spans="1:26" ht="15.75" customHeight="1">
      <c r="A40" s="98" t="s">
        <v>1761</v>
      </c>
      <c r="B40" s="99" t="s">
        <v>1762</v>
      </c>
      <c r="C40" s="101" t="s">
        <v>1763</v>
      </c>
      <c r="D40" s="102" t="s">
        <v>1764</v>
      </c>
      <c r="E40" s="103"/>
      <c r="F40" s="103"/>
      <c r="G40" s="103"/>
      <c r="H40" s="103"/>
      <c r="I40" s="103"/>
      <c r="J40" s="103"/>
      <c r="K40" s="103"/>
      <c r="L40" s="103"/>
      <c r="M40" s="103"/>
      <c r="N40" s="103"/>
      <c r="O40" s="103"/>
      <c r="P40" s="103"/>
      <c r="Q40" s="103"/>
      <c r="R40" s="103"/>
      <c r="S40" s="103"/>
      <c r="T40" s="103"/>
      <c r="U40" s="103"/>
      <c r="V40" s="103"/>
      <c r="W40" s="103"/>
      <c r="X40" s="103"/>
      <c r="Y40" s="103"/>
      <c r="Z40" s="103"/>
    </row>
    <row r="41" spans="1:26" ht="15.75" customHeight="1">
      <c r="A41" s="86" t="s">
        <v>558</v>
      </c>
      <c r="B41" s="13" t="s">
        <v>559</v>
      </c>
      <c r="C41" s="108" t="s">
        <v>557</v>
      </c>
      <c r="D41" s="108" t="s">
        <v>1766</v>
      </c>
      <c r="E41" s="86"/>
      <c r="F41" s="86"/>
      <c r="G41" s="86"/>
      <c r="H41" s="86"/>
      <c r="I41" s="86"/>
      <c r="J41" s="86"/>
      <c r="K41" s="86"/>
      <c r="L41" s="86"/>
      <c r="M41" s="86"/>
      <c r="N41" s="86"/>
      <c r="O41" s="86"/>
      <c r="P41" s="86"/>
      <c r="Q41" s="86"/>
      <c r="R41" s="86"/>
      <c r="S41" s="86"/>
      <c r="T41" s="86"/>
      <c r="U41" s="86"/>
      <c r="V41" s="86"/>
      <c r="W41" s="86"/>
      <c r="X41" s="86"/>
      <c r="Y41" s="86"/>
      <c r="Z41" s="86"/>
    </row>
    <row r="42" spans="1:26" ht="15.75" customHeight="1">
      <c r="A42" s="109" t="s">
        <v>562</v>
      </c>
      <c r="B42" s="13" t="s">
        <v>563</v>
      </c>
      <c r="C42" s="91" t="s">
        <v>557</v>
      </c>
      <c r="D42" s="91" t="s">
        <v>1767</v>
      </c>
      <c r="E42" s="86"/>
      <c r="F42" s="86"/>
      <c r="G42" s="86"/>
      <c r="H42" s="86"/>
      <c r="I42" s="86"/>
      <c r="J42" s="86"/>
      <c r="K42" s="86"/>
      <c r="L42" s="86"/>
      <c r="M42" s="86"/>
      <c r="N42" s="86"/>
      <c r="O42" s="86"/>
      <c r="P42" s="86"/>
      <c r="Q42" s="86"/>
      <c r="R42" s="86"/>
      <c r="S42" s="86"/>
      <c r="T42" s="86"/>
      <c r="U42" s="86"/>
      <c r="V42" s="86"/>
      <c r="W42" s="86"/>
      <c r="X42" s="86"/>
      <c r="Y42" s="86"/>
      <c r="Z42" s="86"/>
    </row>
    <row r="43" spans="1:26" ht="15.75" customHeight="1">
      <c r="A43" s="3" t="s">
        <v>534</v>
      </c>
      <c r="B43" s="13" t="s">
        <v>535</v>
      </c>
      <c r="C43" s="91" t="s">
        <v>1763</v>
      </c>
      <c r="D43" s="91" t="s">
        <v>1768</v>
      </c>
      <c r="E43" s="86"/>
      <c r="F43" s="86"/>
      <c r="G43" s="86"/>
      <c r="H43" s="86"/>
      <c r="I43" s="86"/>
      <c r="J43" s="86"/>
      <c r="K43" s="86"/>
      <c r="L43" s="86"/>
      <c r="M43" s="86"/>
      <c r="N43" s="86"/>
      <c r="O43" s="86"/>
      <c r="P43" s="86"/>
      <c r="Q43" s="86"/>
      <c r="R43" s="86"/>
      <c r="S43" s="86"/>
      <c r="T43" s="86"/>
      <c r="U43" s="86"/>
      <c r="V43" s="86"/>
      <c r="W43" s="86"/>
      <c r="X43" s="86"/>
      <c r="Y43" s="86"/>
      <c r="Z43" s="86"/>
    </row>
    <row r="44" spans="1:26" ht="15.75" customHeight="1">
      <c r="A44" s="3" t="s">
        <v>1769</v>
      </c>
      <c r="B44" s="90" t="s">
        <v>1714</v>
      </c>
      <c r="C44" s="91" t="s">
        <v>1763</v>
      </c>
      <c r="D44" s="91" t="s">
        <v>1770</v>
      </c>
      <c r="E44" s="86"/>
      <c r="F44" s="86"/>
      <c r="G44" s="86"/>
      <c r="H44" s="86"/>
      <c r="I44" s="86"/>
      <c r="J44" s="86"/>
      <c r="K44" s="86"/>
      <c r="L44" s="86"/>
      <c r="M44" s="86"/>
      <c r="N44" s="86"/>
      <c r="O44" s="86"/>
      <c r="P44" s="86"/>
      <c r="Q44" s="86"/>
      <c r="R44" s="86"/>
      <c r="S44" s="86"/>
      <c r="T44" s="86"/>
      <c r="U44" s="86"/>
      <c r="V44" s="86"/>
      <c r="W44" s="86"/>
      <c r="X44" s="86"/>
      <c r="Y44" s="86"/>
      <c r="Z44" s="86"/>
    </row>
    <row r="45" spans="1:26" ht="15.75" customHeight="1">
      <c r="A45" s="3" t="s">
        <v>518</v>
      </c>
      <c r="B45" s="13" t="s">
        <v>519</v>
      </c>
      <c r="C45" s="89" t="s">
        <v>1708</v>
      </c>
      <c r="D45" s="91" t="s">
        <v>1771</v>
      </c>
      <c r="E45" s="86"/>
      <c r="F45" s="86"/>
      <c r="G45" s="86"/>
      <c r="H45" s="86"/>
      <c r="I45" s="86"/>
      <c r="J45" s="86"/>
      <c r="K45" s="86"/>
      <c r="L45" s="86"/>
      <c r="M45" s="86"/>
      <c r="N45" s="86"/>
      <c r="O45" s="86"/>
      <c r="P45" s="86"/>
      <c r="Q45" s="86"/>
      <c r="R45" s="86"/>
      <c r="S45" s="86"/>
      <c r="T45" s="86"/>
      <c r="U45" s="86"/>
      <c r="V45" s="86"/>
      <c r="W45" s="86"/>
      <c r="X45" s="86"/>
      <c r="Y45" s="86"/>
      <c r="Z45" s="86"/>
    </row>
    <row r="46" spans="1:26" ht="15.75" customHeight="1">
      <c r="A46" s="32" t="s">
        <v>272</v>
      </c>
      <c r="B46" s="13" t="s">
        <v>273</v>
      </c>
      <c r="C46" s="91" t="s">
        <v>1708</v>
      </c>
      <c r="D46" s="91" t="s">
        <v>1772</v>
      </c>
      <c r="E46" s="86"/>
      <c r="F46" s="86"/>
      <c r="G46" s="86"/>
      <c r="H46" s="86"/>
      <c r="I46" s="86"/>
      <c r="J46" s="86"/>
      <c r="K46" s="86"/>
      <c r="L46" s="86"/>
      <c r="M46" s="86"/>
      <c r="N46" s="86"/>
      <c r="O46" s="86"/>
      <c r="P46" s="86"/>
      <c r="Q46" s="86"/>
      <c r="R46" s="86"/>
      <c r="S46" s="86"/>
      <c r="T46" s="86"/>
      <c r="U46" s="86"/>
      <c r="V46" s="86"/>
      <c r="W46" s="86"/>
      <c r="X46" s="86"/>
      <c r="Y46" s="86"/>
      <c r="Z46" s="86"/>
    </row>
    <row r="47" spans="1:26" ht="15.75" customHeight="1">
      <c r="A47" s="3" t="s">
        <v>454</v>
      </c>
      <c r="B47" s="13" t="s">
        <v>455</v>
      </c>
      <c r="C47" s="91" t="s">
        <v>116</v>
      </c>
      <c r="D47" s="91" t="s">
        <v>1773</v>
      </c>
      <c r="E47" s="86"/>
      <c r="F47" s="86"/>
      <c r="G47" s="86"/>
      <c r="H47" s="86"/>
      <c r="I47" s="86"/>
      <c r="J47" s="86"/>
      <c r="K47" s="86"/>
      <c r="L47" s="86"/>
      <c r="M47" s="86"/>
      <c r="N47" s="86"/>
      <c r="O47" s="86"/>
      <c r="P47" s="86"/>
      <c r="Q47" s="86"/>
      <c r="R47" s="86"/>
      <c r="S47" s="86"/>
      <c r="T47" s="86"/>
      <c r="U47" s="86"/>
      <c r="V47" s="86"/>
      <c r="W47" s="86"/>
      <c r="X47" s="86"/>
      <c r="Y47" s="86"/>
      <c r="Z47" s="86"/>
    </row>
    <row r="48" spans="1:26" ht="15.75" customHeight="1">
      <c r="A48" s="3" t="s">
        <v>203</v>
      </c>
      <c r="B48" s="13" t="s">
        <v>204</v>
      </c>
      <c r="C48" s="91" t="s">
        <v>1763</v>
      </c>
      <c r="D48" s="91" t="s">
        <v>1774</v>
      </c>
      <c r="E48" s="86"/>
      <c r="F48" s="86"/>
      <c r="G48" s="86"/>
      <c r="H48" s="86"/>
      <c r="I48" s="86"/>
      <c r="J48" s="86"/>
      <c r="K48" s="86"/>
      <c r="L48" s="86"/>
      <c r="M48" s="86"/>
      <c r="N48" s="86"/>
      <c r="O48" s="86"/>
      <c r="P48" s="86"/>
      <c r="Q48" s="86"/>
      <c r="R48" s="86"/>
      <c r="S48" s="86"/>
      <c r="T48" s="86"/>
      <c r="U48" s="86"/>
      <c r="V48" s="86"/>
      <c r="W48" s="86"/>
      <c r="X48" s="86"/>
      <c r="Y48" s="86"/>
      <c r="Z48" s="86"/>
    </row>
    <row r="49" spans="1:26" ht="15.75" customHeight="1">
      <c r="A49" s="89" t="s">
        <v>1775</v>
      </c>
      <c r="B49" s="90" t="s">
        <v>1714</v>
      </c>
      <c r="C49" s="89" t="s">
        <v>1708</v>
      </c>
      <c r="D49" s="111" t="s">
        <v>1776</v>
      </c>
      <c r="E49" s="89"/>
      <c r="F49" s="89"/>
      <c r="G49" s="89"/>
      <c r="H49" s="89"/>
      <c r="I49" s="89"/>
      <c r="J49" s="89"/>
      <c r="K49" s="89"/>
      <c r="L49" s="89"/>
      <c r="M49" s="89"/>
      <c r="N49" s="89"/>
      <c r="O49" s="89"/>
      <c r="P49" s="89"/>
      <c r="Q49" s="89"/>
      <c r="R49" s="89"/>
      <c r="S49" s="89"/>
      <c r="T49" s="89"/>
      <c r="U49" s="89"/>
      <c r="V49" s="89"/>
      <c r="W49" s="89"/>
      <c r="X49" s="89"/>
      <c r="Y49" s="89"/>
      <c r="Z49" s="89"/>
    </row>
    <row r="50" spans="1:26" ht="15.75" customHeight="1">
      <c r="A50" s="109" t="s">
        <v>232</v>
      </c>
      <c r="B50" s="13" t="s">
        <v>233</v>
      </c>
      <c r="C50" s="91" t="s">
        <v>1708</v>
      </c>
      <c r="D50" s="91" t="s">
        <v>1777</v>
      </c>
      <c r="E50" s="86"/>
      <c r="F50" s="86"/>
      <c r="G50" s="86"/>
      <c r="H50" s="86"/>
      <c r="I50" s="86"/>
      <c r="J50" s="86"/>
      <c r="K50" s="86"/>
      <c r="L50" s="86"/>
      <c r="M50" s="86"/>
      <c r="N50" s="86"/>
      <c r="O50" s="86"/>
      <c r="P50" s="86"/>
      <c r="Q50" s="86"/>
      <c r="R50" s="86"/>
      <c r="S50" s="86"/>
      <c r="T50" s="86"/>
      <c r="U50" s="86"/>
      <c r="V50" s="86"/>
      <c r="W50" s="86"/>
      <c r="X50" s="86"/>
      <c r="Y50" s="86"/>
      <c r="Z50" s="86"/>
    </row>
    <row r="51" spans="1:26" ht="15.75" customHeight="1">
      <c r="A51" s="89" t="s">
        <v>1778</v>
      </c>
      <c r="B51" s="90" t="s">
        <v>1714</v>
      </c>
      <c r="C51" s="89" t="s">
        <v>682</v>
      </c>
      <c r="D51" s="89" t="s">
        <v>1779</v>
      </c>
      <c r="E51" s="89"/>
      <c r="F51" s="89"/>
      <c r="G51" s="89"/>
      <c r="H51" s="89"/>
      <c r="I51" s="89"/>
      <c r="J51" s="89"/>
      <c r="K51" s="89"/>
      <c r="L51" s="89"/>
      <c r="M51" s="89"/>
      <c r="N51" s="89"/>
      <c r="O51" s="89"/>
      <c r="P51" s="89"/>
      <c r="Q51" s="89"/>
      <c r="R51" s="89"/>
      <c r="S51" s="89"/>
      <c r="T51" s="89"/>
      <c r="U51" s="89"/>
      <c r="V51" s="89"/>
      <c r="W51" s="89"/>
      <c r="X51" s="89"/>
      <c r="Y51" s="89"/>
      <c r="Z51" s="89"/>
    </row>
    <row r="52" spans="1:26" ht="15.75" customHeight="1">
      <c r="A52" s="3" t="s">
        <v>1780</v>
      </c>
      <c r="B52" s="90" t="s">
        <v>1714</v>
      </c>
      <c r="C52" s="91" t="s">
        <v>1708</v>
      </c>
      <c r="D52" s="91" t="s">
        <v>1781</v>
      </c>
      <c r="E52" s="86"/>
      <c r="F52" s="86"/>
      <c r="G52" s="86"/>
      <c r="H52" s="86"/>
      <c r="I52" s="86"/>
      <c r="J52" s="86"/>
      <c r="K52" s="86"/>
      <c r="L52" s="86"/>
      <c r="M52" s="86"/>
      <c r="N52" s="86"/>
      <c r="O52" s="86"/>
      <c r="P52" s="86"/>
      <c r="Q52" s="86"/>
      <c r="R52" s="86"/>
      <c r="S52" s="86"/>
      <c r="T52" s="86"/>
      <c r="U52" s="86"/>
      <c r="V52" s="86"/>
      <c r="W52" s="86"/>
      <c r="X52" s="86"/>
      <c r="Y52" s="86"/>
      <c r="Z52" s="86"/>
    </row>
    <row r="53" spans="1:26" ht="15.75" customHeight="1">
      <c r="A53" s="89" t="s">
        <v>1782</v>
      </c>
      <c r="B53" s="90" t="s">
        <v>1714</v>
      </c>
      <c r="C53" s="89" t="s">
        <v>672</v>
      </c>
      <c r="D53" s="89" t="s">
        <v>1783</v>
      </c>
      <c r="E53" s="89"/>
      <c r="F53" s="89"/>
      <c r="G53" s="89"/>
      <c r="H53" s="89"/>
      <c r="I53" s="89"/>
      <c r="J53" s="89"/>
      <c r="K53" s="89"/>
      <c r="L53" s="89"/>
      <c r="M53" s="89"/>
      <c r="N53" s="89"/>
      <c r="O53" s="89"/>
      <c r="P53" s="89"/>
      <c r="Q53" s="89"/>
      <c r="R53" s="89"/>
      <c r="S53" s="89"/>
      <c r="T53" s="89"/>
      <c r="U53" s="89"/>
      <c r="V53" s="89"/>
      <c r="W53" s="89"/>
      <c r="X53" s="89"/>
      <c r="Y53" s="89"/>
      <c r="Z53" s="89"/>
    </row>
    <row r="54" spans="1:26" ht="15.75" customHeight="1">
      <c r="A54" s="3" t="s">
        <v>158</v>
      </c>
      <c r="B54" s="13" t="s">
        <v>157</v>
      </c>
      <c r="C54" s="91" t="s">
        <v>1708</v>
      </c>
      <c r="D54" s="91" t="s">
        <v>1784</v>
      </c>
      <c r="E54" s="86"/>
      <c r="F54" s="86"/>
      <c r="G54" s="86"/>
      <c r="H54" s="86"/>
      <c r="I54" s="86"/>
      <c r="J54" s="86"/>
      <c r="K54" s="86"/>
      <c r="L54" s="86"/>
      <c r="M54" s="86"/>
      <c r="N54" s="86"/>
      <c r="O54" s="86"/>
      <c r="P54" s="86"/>
      <c r="Q54" s="86"/>
      <c r="R54" s="86"/>
      <c r="S54" s="86"/>
      <c r="T54" s="86"/>
      <c r="U54" s="86"/>
      <c r="V54" s="86"/>
      <c r="W54" s="86"/>
      <c r="X54" s="86"/>
      <c r="Y54" s="86"/>
      <c r="Z54" s="86"/>
    </row>
    <row r="55" spans="1:26" ht="15.75" customHeight="1">
      <c r="A55" s="3" t="s">
        <v>1785</v>
      </c>
      <c r="B55" s="13" t="s">
        <v>1786</v>
      </c>
      <c r="C55" s="91" t="s">
        <v>682</v>
      </c>
      <c r="D55" s="91" t="s">
        <v>1787</v>
      </c>
      <c r="E55" s="86"/>
      <c r="F55" s="86"/>
      <c r="G55" s="86"/>
      <c r="H55" s="86"/>
      <c r="I55" s="86"/>
      <c r="J55" s="86"/>
      <c r="K55" s="86"/>
      <c r="L55" s="86"/>
      <c r="M55" s="86"/>
      <c r="N55" s="86"/>
      <c r="O55" s="86"/>
      <c r="P55" s="86"/>
      <c r="Q55" s="86"/>
      <c r="R55" s="86"/>
      <c r="S55" s="86"/>
      <c r="T55" s="86"/>
      <c r="U55" s="86"/>
      <c r="V55" s="86"/>
      <c r="W55" s="86"/>
      <c r="X55" s="86"/>
      <c r="Y55" s="86"/>
      <c r="Z55" s="86"/>
    </row>
    <row r="56" spans="1:26" ht="15.75" customHeight="1">
      <c r="A56" s="89" t="s">
        <v>1788</v>
      </c>
      <c r="B56" s="90" t="s">
        <v>1714</v>
      </c>
      <c r="C56" s="89" t="s">
        <v>1708</v>
      </c>
      <c r="D56" s="111" t="s">
        <v>1789</v>
      </c>
      <c r="E56" s="89"/>
      <c r="F56" s="89"/>
      <c r="G56" s="89"/>
      <c r="H56" s="89"/>
      <c r="I56" s="89"/>
      <c r="J56" s="89"/>
      <c r="K56" s="89"/>
      <c r="L56" s="89"/>
      <c r="M56" s="89"/>
      <c r="N56" s="89"/>
      <c r="O56" s="89"/>
      <c r="P56" s="89"/>
      <c r="Q56" s="89"/>
      <c r="R56" s="89"/>
      <c r="S56" s="89"/>
      <c r="T56" s="89"/>
      <c r="U56" s="89"/>
      <c r="V56" s="89"/>
      <c r="W56" s="89"/>
      <c r="X56" s="89"/>
      <c r="Y56" s="89"/>
      <c r="Z56" s="89"/>
    </row>
    <row r="57" spans="1:26" ht="15.75" customHeight="1">
      <c r="A57" s="11" t="s">
        <v>1790</v>
      </c>
      <c r="B57" s="13" t="s">
        <v>150</v>
      </c>
      <c r="C57" s="91" t="s">
        <v>1708</v>
      </c>
      <c r="D57" s="91" t="s">
        <v>1791</v>
      </c>
      <c r="E57" s="86"/>
      <c r="F57" s="86"/>
      <c r="G57" s="86"/>
      <c r="H57" s="86"/>
      <c r="I57" s="86"/>
      <c r="J57" s="86"/>
      <c r="K57" s="86"/>
      <c r="L57" s="86"/>
      <c r="M57" s="86"/>
      <c r="N57" s="86"/>
      <c r="O57" s="86"/>
      <c r="P57" s="86"/>
      <c r="Q57" s="86"/>
      <c r="R57" s="86"/>
      <c r="S57" s="86"/>
      <c r="T57" s="86"/>
      <c r="U57" s="86"/>
      <c r="V57" s="86"/>
      <c r="W57" s="86"/>
      <c r="X57" s="86"/>
      <c r="Y57" s="86"/>
      <c r="Z57" s="86"/>
    </row>
    <row r="58" spans="1:26" ht="15.75" customHeight="1">
      <c r="A58" s="3" t="s">
        <v>1792</v>
      </c>
      <c r="B58" s="90" t="s">
        <v>1714</v>
      </c>
      <c r="C58" s="91" t="s">
        <v>1708</v>
      </c>
      <c r="D58" s="86" t="s">
        <v>1793</v>
      </c>
      <c r="E58" s="86"/>
      <c r="F58" s="86"/>
      <c r="G58" s="86"/>
      <c r="H58" s="86"/>
      <c r="I58" s="86"/>
      <c r="J58" s="86"/>
      <c r="K58" s="86"/>
      <c r="L58" s="86"/>
      <c r="M58" s="86"/>
      <c r="N58" s="86"/>
      <c r="O58" s="86"/>
      <c r="P58" s="86"/>
      <c r="Q58" s="86"/>
      <c r="R58" s="86"/>
      <c r="S58" s="86"/>
      <c r="T58" s="86"/>
      <c r="U58" s="86"/>
      <c r="V58" s="86"/>
      <c r="W58" s="86"/>
      <c r="X58" s="86"/>
      <c r="Y58" s="86"/>
      <c r="Z58" s="86"/>
    </row>
    <row r="59" spans="1:26" ht="15.75" customHeight="1">
      <c r="A59" s="89" t="s">
        <v>1794</v>
      </c>
      <c r="B59" s="90" t="s">
        <v>1714</v>
      </c>
      <c r="C59" s="89" t="s">
        <v>1708</v>
      </c>
      <c r="D59" s="89" t="s">
        <v>1795</v>
      </c>
      <c r="E59" s="89"/>
      <c r="F59" s="89"/>
      <c r="G59" s="89"/>
      <c r="H59" s="89"/>
      <c r="I59" s="89"/>
      <c r="J59" s="89"/>
      <c r="K59" s="89"/>
      <c r="L59" s="89"/>
      <c r="M59" s="89"/>
      <c r="N59" s="89"/>
      <c r="O59" s="89"/>
      <c r="P59" s="89"/>
      <c r="Q59" s="89"/>
      <c r="R59" s="89"/>
      <c r="S59" s="89"/>
      <c r="T59" s="89"/>
      <c r="U59" s="89"/>
      <c r="V59" s="89"/>
      <c r="W59" s="89"/>
      <c r="X59" s="89"/>
      <c r="Y59" s="89"/>
      <c r="Z59" s="89"/>
    </row>
    <row r="60" spans="1:26" ht="15.75" customHeight="1">
      <c r="A60" s="109" t="s">
        <v>228</v>
      </c>
      <c r="B60" s="13" t="s">
        <v>229</v>
      </c>
      <c r="C60" s="91" t="s">
        <v>205</v>
      </c>
      <c r="D60" s="91" t="s">
        <v>1796</v>
      </c>
      <c r="E60" s="86"/>
      <c r="F60" s="86"/>
      <c r="G60" s="86"/>
      <c r="H60" s="86"/>
      <c r="I60" s="86"/>
      <c r="J60" s="86"/>
      <c r="K60" s="86"/>
      <c r="L60" s="86"/>
      <c r="M60" s="86"/>
      <c r="N60" s="86"/>
      <c r="O60" s="86"/>
      <c r="P60" s="86"/>
      <c r="Q60" s="86"/>
      <c r="R60" s="86"/>
      <c r="S60" s="86"/>
      <c r="T60" s="86"/>
      <c r="U60" s="86"/>
      <c r="V60" s="86"/>
      <c r="W60" s="86"/>
      <c r="X60" s="86"/>
      <c r="Y60" s="86"/>
      <c r="Z60" s="86"/>
    </row>
    <row r="61" spans="1:26" ht="15.75" customHeight="1">
      <c r="A61" s="89" t="s">
        <v>1797</v>
      </c>
      <c r="B61" s="13" t="s">
        <v>269</v>
      </c>
      <c r="C61" s="89" t="s">
        <v>1708</v>
      </c>
      <c r="D61" s="112" t="s">
        <v>1798</v>
      </c>
      <c r="E61" s="89"/>
      <c r="F61" s="89"/>
      <c r="G61" s="89"/>
      <c r="H61" s="89"/>
      <c r="I61" s="89"/>
      <c r="J61" s="89"/>
      <c r="K61" s="89"/>
      <c r="L61" s="89"/>
      <c r="M61" s="89"/>
      <c r="N61" s="89"/>
      <c r="O61" s="89"/>
      <c r="P61" s="89"/>
      <c r="Q61" s="89"/>
      <c r="R61" s="89"/>
      <c r="S61" s="89"/>
      <c r="T61" s="89"/>
      <c r="U61" s="89"/>
      <c r="V61" s="89"/>
      <c r="W61" s="89"/>
      <c r="X61" s="89"/>
      <c r="Y61" s="89"/>
      <c r="Z61" s="89"/>
    </row>
    <row r="62" spans="1:26" ht="15.75" customHeight="1">
      <c r="A62" s="89" t="s">
        <v>207</v>
      </c>
      <c r="B62" s="13" t="s">
        <v>208</v>
      </c>
      <c r="C62" s="89" t="s">
        <v>205</v>
      </c>
      <c r="D62" s="112" t="s">
        <v>1799</v>
      </c>
      <c r="E62" s="89"/>
      <c r="F62" s="89"/>
      <c r="G62" s="89"/>
      <c r="H62" s="89"/>
      <c r="I62" s="89"/>
      <c r="J62" s="89"/>
      <c r="K62" s="89"/>
      <c r="L62" s="89"/>
      <c r="M62" s="89"/>
      <c r="N62" s="89"/>
      <c r="O62" s="89"/>
      <c r="P62" s="89"/>
      <c r="Q62" s="89"/>
      <c r="R62" s="89"/>
      <c r="S62" s="89"/>
      <c r="T62" s="89"/>
      <c r="U62" s="89"/>
      <c r="V62" s="89"/>
      <c r="W62" s="89"/>
      <c r="X62" s="89"/>
      <c r="Y62" s="89"/>
      <c r="Z62" s="89"/>
    </row>
    <row r="63" spans="1:26" ht="15.75" customHeight="1">
      <c r="A63" s="3" t="s">
        <v>1800</v>
      </c>
      <c r="B63" s="13" t="s">
        <v>1801</v>
      </c>
      <c r="C63" s="91" t="s">
        <v>315</v>
      </c>
      <c r="D63" s="91" t="s">
        <v>1802</v>
      </c>
      <c r="E63" s="86"/>
      <c r="F63" s="86"/>
      <c r="G63" s="86"/>
      <c r="H63" s="86"/>
      <c r="I63" s="86"/>
      <c r="J63" s="86"/>
      <c r="K63" s="86"/>
      <c r="L63" s="86"/>
      <c r="M63" s="86"/>
      <c r="N63" s="86"/>
      <c r="O63" s="86"/>
      <c r="P63" s="86"/>
      <c r="Q63" s="86"/>
      <c r="R63" s="86"/>
      <c r="S63" s="86"/>
      <c r="T63" s="86"/>
      <c r="U63" s="86"/>
      <c r="V63" s="86"/>
      <c r="W63" s="86"/>
      <c r="X63" s="86"/>
      <c r="Y63" s="86"/>
      <c r="Z63" s="86"/>
    </row>
    <row r="64" spans="1:26" ht="15.75" customHeight="1">
      <c r="A64" s="3" t="s">
        <v>343</v>
      </c>
      <c r="B64" s="13" t="s">
        <v>344</v>
      </c>
      <c r="C64" s="91" t="s">
        <v>1763</v>
      </c>
      <c r="D64" s="91" t="s">
        <v>1803</v>
      </c>
      <c r="E64" s="86"/>
      <c r="F64" s="86"/>
      <c r="G64" s="86"/>
      <c r="H64" s="86"/>
      <c r="I64" s="86"/>
      <c r="J64" s="86"/>
      <c r="K64" s="86"/>
      <c r="L64" s="86"/>
      <c r="M64" s="86"/>
      <c r="N64" s="86"/>
      <c r="O64" s="86"/>
      <c r="P64" s="86"/>
      <c r="Q64" s="86"/>
      <c r="R64" s="86"/>
      <c r="S64" s="86"/>
      <c r="T64" s="86"/>
      <c r="U64" s="86"/>
      <c r="V64" s="86"/>
      <c r="W64" s="86"/>
      <c r="X64" s="86"/>
      <c r="Y64" s="86"/>
      <c r="Z64" s="86"/>
    </row>
    <row r="65" spans="1:26" ht="15.75" customHeight="1">
      <c r="A65" s="89" t="s">
        <v>1804</v>
      </c>
      <c r="B65" s="13" t="s">
        <v>569</v>
      </c>
      <c r="C65" s="89" t="s">
        <v>566</v>
      </c>
      <c r="D65" s="112" t="s">
        <v>1805</v>
      </c>
      <c r="E65" s="89"/>
      <c r="F65" s="89"/>
      <c r="G65" s="89"/>
      <c r="H65" s="89"/>
      <c r="I65" s="89"/>
      <c r="J65" s="89"/>
      <c r="K65" s="89"/>
      <c r="L65" s="89"/>
      <c r="M65" s="89"/>
      <c r="N65" s="89"/>
      <c r="O65" s="89"/>
      <c r="P65" s="89"/>
      <c r="Q65" s="89"/>
      <c r="R65" s="89"/>
      <c r="S65" s="89"/>
      <c r="T65" s="89"/>
      <c r="U65" s="89"/>
      <c r="V65" s="89"/>
      <c r="W65" s="89"/>
      <c r="X65" s="89"/>
      <c r="Y65" s="89"/>
      <c r="Z65" s="89"/>
    </row>
    <row r="66" spans="1:26" ht="15.75" customHeight="1">
      <c r="A66" s="3" t="s">
        <v>1806</v>
      </c>
      <c r="B66" s="13" t="s">
        <v>1807</v>
      </c>
      <c r="C66" s="91" t="s">
        <v>315</v>
      </c>
      <c r="D66" s="91" t="s">
        <v>1808</v>
      </c>
      <c r="E66" s="86"/>
      <c r="F66" s="86"/>
      <c r="G66" s="86"/>
      <c r="H66" s="86"/>
      <c r="I66" s="86"/>
      <c r="J66" s="86"/>
      <c r="K66" s="86"/>
      <c r="L66" s="86"/>
      <c r="M66" s="86"/>
      <c r="N66" s="86"/>
      <c r="O66" s="86"/>
      <c r="P66" s="86"/>
      <c r="Q66" s="86"/>
      <c r="R66" s="86"/>
      <c r="S66" s="86"/>
      <c r="T66" s="86"/>
      <c r="U66" s="86"/>
      <c r="V66" s="86"/>
      <c r="W66" s="86"/>
      <c r="X66" s="86"/>
      <c r="Y66" s="86"/>
      <c r="Z66" s="86"/>
    </row>
    <row r="67" spans="1:26" ht="15.75" customHeight="1">
      <c r="A67" s="3" t="s">
        <v>1809</v>
      </c>
      <c r="B67" s="13" t="s">
        <v>324</v>
      </c>
      <c r="C67" s="91" t="s">
        <v>682</v>
      </c>
      <c r="D67" s="91" t="s">
        <v>1810</v>
      </c>
      <c r="E67" s="86"/>
      <c r="F67" s="86"/>
      <c r="G67" s="86"/>
      <c r="H67" s="86"/>
      <c r="I67" s="86"/>
      <c r="J67" s="86"/>
      <c r="K67" s="86"/>
      <c r="L67" s="86"/>
      <c r="M67" s="86"/>
      <c r="N67" s="86"/>
      <c r="O67" s="86"/>
      <c r="P67" s="86"/>
      <c r="Q67" s="86"/>
      <c r="R67" s="86"/>
      <c r="S67" s="86"/>
      <c r="T67" s="86"/>
      <c r="U67" s="86"/>
      <c r="V67" s="86"/>
      <c r="W67" s="86"/>
      <c r="X67" s="86"/>
      <c r="Y67" s="86"/>
      <c r="Z67" s="86"/>
    </row>
    <row r="68" spans="1:26" ht="15.75" customHeight="1">
      <c r="A68" s="3" t="s">
        <v>321</v>
      </c>
      <c r="B68" s="13" t="s">
        <v>322</v>
      </c>
      <c r="C68" s="91" t="s">
        <v>1708</v>
      </c>
      <c r="D68" s="91" t="s">
        <v>1811</v>
      </c>
      <c r="E68" s="86"/>
      <c r="F68" s="86"/>
      <c r="G68" s="86"/>
      <c r="H68" s="86"/>
      <c r="I68" s="86"/>
      <c r="J68" s="86"/>
      <c r="K68" s="86"/>
      <c r="L68" s="86"/>
      <c r="M68" s="86"/>
      <c r="N68" s="86"/>
      <c r="O68" s="86"/>
      <c r="P68" s="86"/>
      <c r="Q68" s="86"/>
      <c r="R68" s="86"/>
      <c r="S68" s="86"/>
      <c r="T68" s="86"/>
      <c r="U68" s="86"/>
      <c r="V68" s="86"/>
      <c r="W68" s="86"/>
      <c r="X68" s="86"/>
      <c r="Y68" s="86"/>
      <c r="Z68" s="86"/>
    </row>
    <row r="69" spans="1:26" ht="15.75" customHeight="1">
      <c r="A69" s="109" t="s">
        <v>92</v>
      </c>
      <c r="B69" s="13" t="s">
        <v>93</v>
      </c>
      <c r="C69" s="91" t="s">
        <v>1763</v>
      </c>
      <c r="D69" s="91" t="s">
        <v>1812</v>
      </c>
      <c r="E69" s="86"/>
      <c r="F69" s="86"/>
      <c r="G69" s="86"/>
      <c r="H69" s="86"/>
      <c r="I69" s="86"/>
      <c r="J69" s="86"/>
      <c r="K69" s="86"/>
      <c r="L69" s="86"/>
      <c r="M69" s="86"/>
      <c r="N69" s="86"/>
      <c r="O69" s="86"/>
      <c r="P69" s="86"/>
      <c r="Q69" s="86"/>
      <c r="R69" s="86"/>
      <c r="S69" s="86"/>
      <c r="T69" s="86"/>
      <c r="U69" s="86"/>
      <c r="V69" s="86"/>
      <c r="W69" s="86"/>
      <c r="X69" s="86"/>
      <c r="Y69" s="86"/>
      <c r="Z69" s="86"/>
    </row>
    <row r="70" spans="1:26" ht="15.75" customHeight="1">
      <c r="A70" s="3" t="s">
        <v>1813</v>
      </c>
      <c r="B70" s="13" t="s">
        <v>1814</v>
      </c>
      <c r="C70" s="91" t="s">
        <v>1708</v>
      </c>
      <c r="D70" s="91" t="s">
        <v>1815</v>
      </c>
      <c r="E70" s="86"/>
      <c r="F70" s="86"/>
      <c r="G70" s="86"/>
      <c r="H70" s="86"/>
      <c r="I70" s="86"/>
      <c r="J70" s="86"/>
      <c r="K70" s="86"/>
      <c r="L70" s="86"/>
      <c r="M70" s="86"/>
      <c r="N70" s="86"/>
      <c r="O70" s="86"/>
      <c r="P70" s="86"/>
      <c r="Q70" s="86"/>
      <c r="R70" s="86"/>
      <c r="S70" s="86"/>
      <c r="T70" s="86"/>
      <c r="U70" s="86"/>
      <c r="V70" s="86"/>
      <c r="W70" s="86"/>
      <c r="X70" s="86"/>
      <c r="Y70" s="86"/>
      <c r="Z70" s="86"/>
    </row>
    <row r="71" spans="1:26" ht="15.75" customHeight="1">
      <c r="A71" s="3" t="s">
        <v>592</v>
      </c>
      <c r="B71" s="13" t="s">
        <v>302</v>
      </c>
      <c r="C71" s="91" t="s">
        <v>1763</v>
      </c>
      <c r="D71" s="91" t="s">
        <v>1816</v>
      </c>
      <c r="E71" s="86"/>
      <c r="F71" s="86"/>
      <c r="G71" s="86"/>
      <c r="H71" s="86"/>
      <c r="I71" s="86"/>
      <c r="J71" s="86"/>
      <c r="K71" s="86"/>
      <c r="L71" s="86"/>
      <c r="M71" s="86"/>
      <c r="N71" s="86"/>
      <c r="O71" s="86"/>
      <c r="P71" s="86"/>
      <c r="Q71" s="86"/>
      <c r="R71" s="86"/>
      <c r="S71" s="86"/>
      <c r="T71" s="86"/>
      <c r="U71" s="86"/>
      <c r="V71" s="86"/>
      <c r="W71" s="86"/>
      <c r="X71" s="86"/>
      <c r="Y71" s="86"/>
      <c r="Z71" s="86"/>
    </row>
    <row r="72" spans="1:26" ht="15.75" customHeight="1">
      <c r="A72" s="3" t="s">
        <v>245</v>
      </c>
      <c r="B72" s="13" t="s">
        <v>246</v>
      </c>
      <c r="C72" s="91" t="s">
        <v>236</v>
      </c>
      <c r="D72" s="91" t="s">
        <v>1817</v>
      </c>
      <c r="E72" s="86"/>
      <c r="F72" s="86"/>
      <c r="G72" s="86"/>
      <c r="H72" s="86"/>
      <c r="I72" s="86"/>
      <c r="J72" s="86"/>
      <c r="K72" s="86"/>
      <c r="L72" s="86"/>
      <c r="M72" s="86"/>
      <c r="N72" s="86"/>
      <c r="O72" s="86"/>
      <c r="P72" s="86"/>
      <c r="Q72" s="86"/>
      <c r="R72" s="86"/>
      <c r="S72" s="86"/>
      <c r="T72" s="86"/>
      <c r="U72" s="86"/>
      <c r="V72" s="86"/>
      <c r="W72" s="86"/>
      <c r="X72" s="86"/>
      <c r="Y72" s="86"/>
      <c r="Z72" s="86"/>
    </row>
    <row r="73" spans="1:26" ht="15.75" customHeight="1">
      <c r="A73" s="11" t="s">
        <v>461</v>
      </c>
      <c r="B73" s="13" t="s">
        <v>462</v>
      </c>
      <c r="C73" s="91" t="s">
        <v>116</v>
      </c>
      <c r="D73" s="91" t="s">
        <v>1818</v>
      </c>
      <c r="E73" s="86"/>
      <c r="F73" s="86"/>
      <c r="G73" s="86"/>
      <c r="H73" s="86"/>
      <c r="I73" s="86"/>
      <c r="J73" s="86"/>
      <c r="K73" s="86"/>
      <c r="L73" s="86"/>
      <c r="M73" s="86"/>
      <c r="N73" s="86"/>
      <c r="O73" s="86"/>
      <c r="P73" s="86"/>
      <c r="Q73" s="86"/>
      <c r="R73" s="86"/>
      <c r="S73" s="86"/>
      <c r="T73" s="86"/>
      <c r="U73" s="86"/>
      <c r="V73" s="86"/>
      <c r="W73" s="86"/>
      <c r="X73" s="86"/>
      <c r="Y73" s="86"/>
      <c r="Z73" s="86"/>
    </row>
    <row r="74" spans="1:26" ht="15.75" customHeight="1">
      <c r="A74" s="11" t="s">
        <v>1819</v>
      </c>
      <c r="B74" s="13" t="s">
        <v>1820</v>
      </c>
      <c r="C74" s="91" t="s">
        <v>1763</v>
      </c>
      <c r="D74" s="91" t="s">
        <v>1821</v>
      </c>
      <c r="E74" s="86"/>
      <c r="F74" s="86"/>
      <c r="G74" s="86"/>
      <c r="H74" s="86"/>
      <c r="I74" s="86"/>
      <c r="J74" s="86"/>
      <c r="K74" s="86"/>
      <c r="L74" s="86"/>
      <c r="M74" s="86"/>
      <c r="N74" s="86"/>
      <c r="O74" s="86"/>
      <c r="P74" s="86"/>
      <c r="Q74" s="86"/>
      <c r="R74" s="86"/>
      <c r="S74" s="86"/>
      <c r="T74" s="86"/>
      <c r="U74" s="86"/>
      <c r="V74" s="86"/>
      <c r="W74" s="86"/>
      <c r="X74" s="86"/>
      <c r="Y74" s="86"/>
      <c r="Z74" s="86"/>
    </row>
    <row r="75" spans="1:26" ht="15.75" customHeight="1">
      <c r="A75" s="86" t="s">
        <v>477</v>
      </c>
      <c r="B75" s="13" t="s">
        <v>478</v>
      </c>
      <c r="C75" s="91" t="s">
        <v>116</v>
      </c>
      <c r="D75" s="91" t="s">
        <v>1822</v>
      </c>
      <c r="E75" s="86"/>
      <c r="F75" s="86"/>
      <c r="G75" s="86"/>
      <c r="H75" s="86"/>
      <c r="I75" s="86"/>
      <c r="J75" s="86"/>
      <c r="K75" s="86"/>
      <c r="L75" s="86"/>
      <c r="M75" s="86"/>
      <c r="N75" s="86"/>
      <c r="O75" s="86"/>
      <c r="P75" s="86"/>
      <c r="Q75" s="86"/>
      <c r="R75" s="86"/>
      <c r="S75" s="86"/>
      <c r="T75" s="86"/>
      <c r="U75" s="86"/>
      <c r="V75" s="86"/>
      <c r="W75" s="86"/>
      <c r="X75" s="86"/>
      <c r="Y75" s="86"/>
      <c r="Z75" s="86"/>
    </row>
    <row r="76" spans="1:26" ht="15.75" customHeight="1">
      <c r="A76" s="3" t="s">
        <v>1823</v>
      </c>
      <c r="B76" s="90" t="s">
        <v>1714</v>
      </c>
      <c r="C76" s="91" t="s">
        <v>205</v>
      </c>
      <c r="D76" s="91" t="s">
        <v>1824</v>
      </c>
      <c r="E76" s="86"/>
      <c r="F76" s="86"/>
      <c r="G76" s="86"/>
      <c r="H76" s="86"/>
      <c r="I76" s="86"/>
      <c r="J76" s="86"/>
      <c r="K76" s="86"/>
      <c r="L76" s="86"/>
      <c r="M76" s="86"/>
      <c r="N76" s="86"/>
      <c r="O76" s="86"/>
      <c r="P76" s="86"/>
      <c r="Q76" s="86"/>
      <c r="R76" s="86"/>
      <c r="S76" s="86"/>
      <c r="T76" s="86"/>
      <c r="U76" s="86"/>
      <c r="V76" s="86"/>
      <c r="W76" s="86"/>
      <c r="X76" s="86"/>
      <c r="Y76" s="86"/>
      <c r="Z76" s="86"/>
    </row>
    <row r="77" spans="1:26" ht="15.75" customHeight="1">
      <c r="A77" s="109" t="s">
        <v>247</v>
      </c>
      <c r="B77" s="13" t="s">
        <v>248</v>
      </c>
      <c r="C77" s="91" t="s">
        <v>236</v>
      </c>
      <c r="D77" s="91" t="s">
        <v>1825</v>
      </c>
      <c r="E77" s="86"/>
      <c r="F77" s="86"/>
      <c r="G77" s="86"/>
      <c r="H77" s="86"/>
      <c r="I77" s="86"/>
      <c r="J77" s="86"/>
      <c r="K77" s="86"/>
      <c r="L77" s="86"/>
      <c r="M77" s="86"/>
      <c r="N77" s="86"/>
      <c r="O77" s="86"/>
      <c r="P77" s="86"/>
      <c r="Q77" s="86"/>
      <c r="R77" s="86"/>
      <c r="S77" s="86"/>
      <c r="T77" s="86"/>
      <c r="U77" s="86"/>
      <c r="V77" s="86"/>
      <c r="W77" s="86"/>
      <c r="X77" s="86"/>
      <c r="Y77" s="86"/>
      <c r="Z77" s="86"/>
    </row>
    <row r="78" spans="1:26" ht="15.75" customHeight="1">
      <c r="A78" s="11" t="s">
        <v>1826</v>
      </c>
      <c r="B78" s="13" t="s">
        <v>1827</v>
      </c>
      <c r="C78" s="91" t="s">
        <v>1708</v>
      </c>
      <c r="D78" s="91" t="s">
        <v>1828</v>
      </c>
      <c r="E78" s="86"/>
      <c r="F78" s="86"/>
      <c r="G78" s="86"/>
      <c r="H78" s="86"/>
      <c r="I78" s="86"/>
      <c r="J78" s="86"/>
      <c r="K78" s="86"/>
      <c r="L78" s="86"/>
      <c r="M78" s="86"/>
      <c r="N78" s="86"/>
      <c r="O78" s="86"/>
      <c r="P78" s="86"/>
      <c r="Q78" s="86"/>
      <c r="R78" s="86"/>
      <c r="S78" s="86"/>
      <c r="T78" s="86"/>
      <c r="U78" s="86"/>
      <c r="V78" s="86"/>
      <c r="W78" s="86"/>
      <c r="X78" s="86"/>
      <c r="Y78" s="86"/>
      <c r="Z78" s="86"/>
    </row>
    <row r="79" spans="1:26" ht="15.75" customHeight="1">
      <c r="A79" s="11" t="s">
        <v>466</v>
      </c>
      <c r="B79" s="13" t="s">
        <v>467</v>
      </c>
      <c r="C79" s="91" t="s">
        <v>116</v>
      </c>
      <c r="D79" s="91" t="s">
        <v>1829</v>
      </c>
      <c r="E79" s="86"/>
      <c r="F79" s="86"/>
      <c r="G79" s="86"/>
      <c r="H79" s="86"/>
      <c r="I79" s="86"/>
      <c r="J79" s="86"/>
      <c r="K79" s="86"/>
      <c r="L79" s="86"/>
      <c r="M79" s="86"/>
      <c r="N79" s="86"/>
      <c r="O79" s="86"/>
      <c r="P79" s="86"/>
      <c r="Q79" s="86"/>
      <c r="R79" s="86"/>
      <c r="S79" s="86"/>
      <c r="T79" s="86"/>
      <c r="U79" s="86"/>
      <c r="V79" s="86"/>
      <c r="W79" s="86"/>
      <c r="X79" s="86"/>
      <c r="Y79" s="86"/>
      <c r="Z79" s="86"/>
    </row>
    <row r="80" spans="1:26" ht="18" customHeight="1">
      <c r="A80" s="3" t="s">
        <v>456</v>
      </c>
      <c r="B80" s="13" t="s">
        <v>457</v>
      </c>
      <c r="C80" s="91" t="s">
        <v>116</v>
      </c>
      <c r="D80" s="91" t="s">
        <v>1830</v>
      </c>
      <c r="E80" s="86"/>
      <c r="F80" s="86"/>
      <c r="G80" s="86"/>
      <c r="H80" s="86"/>
      <c r="I80" s="86"/>
      <c r="J80" s="86"/>
      <c r="K80" s="86"/>
      <c r="L80" s="86"/>
      <c r="M80" s="86"/>
      <c r="N80" s="86"/>
      <c r="O80" s="86"/>
      <c r="P80" s="86"/>
      <c r="Q80" s="86"/>
      <c r="R80" s="86"/>
      <c r="S80" s="86"/>
      <c r="T80" s="86"/>
      <c r="U80" s="86"/>
      <c r="V80" s="86"/>
      <c r="W80" s="86"/>
      <c r="X80" s="86"/>
      <c r="Y80" s="86"/>
      <c r="Z80" s="86"/>
    </row>
    <row r="81" spans="1:26" ht="15.75" customHeight="1">
      <c r="A81" s="3" t="s">
        <v>615</v>
      </c>
      <c r="B81" s="13" t="s">
        <v>616</v>
      </c>
      <c r="C81" s="91" t="s">
        <v>1831</v>
      </c>
      <c r="D81" s="91" t="s">
        <v>1832</v>
      </c>
      <c r="E81" s="86"/>
      <c r="F81" s="86"/>
      <c r="G81" s="86"/>
      <c r="H81" s="86"/>
      <c r="I81" s="86"/>
      <c r="J81" s="86"/>
      <c r="K81" s="86"/>
      <c r="L81" s="86"/>
      <c r="M81" s="86"/>
      <c r="N81" s="86"/>
      <c r="O81" s="86"/>
      <c r="P81" s="86"/>
      <c r="Q81" s="86"/>
      <c r="R81" s="86"/>
      <c r="S81" s="86"/>
      <c r="T81" s="86"/>
      <c r="U81" s="86"/>
      <c r="V81" s="86"/>
      <c r="W81" s="86"/>
      <c r="X81" s="86"/>
      <c r="Y81" s="86"/>
      <c r="Z81" s="86"/>
    </row>
    <row r="82" spans="1:26" ht="15.75" customHeight="1">
      <c r="A82" s="86" t="s">
        <v>209</v>
      </c>
      <c r="B82" s="13" t="s">
        <v>210</v>
      </c>
      <c r="C82" s="91" t="s">
        <v>205</v>
      </c>
      <c r="D82" s="91" t="s">
        <v>1833</v>
      </c>
      <c r="E82" s="86"/>
      <c r="F82" s="86"/>
      <c r="G82" s="86"/>
      <c r="H82" s="86"/>
      <c r="I82" s="86"/>
      <c r="J82" s="86"/>
      <c r="K82" s="86"/>
      <c r="L82" s="86"/>
      <c r="M82" s="86"/>
      <c r="N82" s="86"/>
      <c r="O82" s="86"/>
      <c r="P82" s="86"/>
      <c r="Q82" s="86"/>
      <c r="R82" s="86"/>
      <c r="S82" s="86"/>
      <c r="T82" s="86"/>
      <c r="U82" s="86"/>
      <c r="V82" s="86"/>
      <c r="W82" s="86"/>
      <c r="X82" s="86"/>
      <c r="Y82" s="86"/>
      <c r="Z82" s="86"/>
    </row>
    <row r="83" spans="1:26" ht="15.75" customHeight="1">
      <c r="A83" s="3" t="s">
        <v>249</v>
      </c>
      <c r="B83" s="13" t="s">
        <v>250</v>
      </c>
      <c r="C83" s="91" t="s">
        <v>1708</v>
      </c>
      <c r="D83" s="91" t="s">
        <v>1834</v>
      </c>
      <c r="E83" s="86"/>
      <c r="F83" s="86"/>
      <c r="G83" s="86"/>
      <c r="H83" s="86"/>
      <c r="I83" s="86"/>
      <c r="J83" s="86"/>
      <c r="K83" s="86"/>
      <c r="L83" s="86"/>
      <c r="M83" s="86"/>
      <c r="N83" s="86"/>
      <c r="O83" s="86"/>
      <c r="P83" s="86"/>
      <c r="Q83" s="86"/>
      <c r="R83" s="86"/>
      <c r="S83" s="86"/>
      <c r="T83" s="86"/>
      <c r="U83" s="86"/>
      <c r="V83" s="86"/>
      <c r="W83" s="86"/>
      <c r="X83" s="86"/>
      <c r="Y83" s="86"/>
      <c r="Z83" s="86"/>
    </row>
    <row r="84" spans="1:26" ht="15.75" customHeight="1">
      <c r="A84" s="86" t="s">
        <v>560</v>
      </c>
      <c r="B84" s="13" t="s">
        <v>561</v>
      </c>
      <c r="C84" s="91" t="s">
        <v>557</v>
      </c>
      <c r="D84" s="91" t="s">
        <v>1835</v>
      </c>
      <c r="E84" s="86"/>
      <c r="F84" s="86"/>
      <c r="G84" s="86"/>
      <c r="H84" s="86"/>
      <c r="I84" s="86"/>
      <c r="J84" s="86"/>
      <c r="K84" s="86"/>
      <c r="L84" s="86"/>
      <c r="M84" s="86"/>
      <c r="N84" s="86"/>
      <c r="O84" s="86"/>
      <c r="P84" s="86"/>
      <c r="Q84" s="86"/>
      <c r="R84" s="86"/>
      <c r="S84" s="86"/>
      <c r="T84" s="86"/>
      <c r="U84" s="86"/>
      <c r="V84" s="86"/>
      <c r="W84" s="86"/>
      <c r="X84" s="86"/>
      <c r="Y84" s="86"/>
      <c r="Z84" s="86"/>
    </row>
    <row r="85" spans="1:26" ht="15.75" customHeight="1">
      <c r="A85" s="3" t="s">
        <v>347</v>
      </c>
      <c r="B85" s="13" t="s">
        <v>348</v>
      </c>
      <c r="C85" s="91" t="s">
        <v>1708</v>
      </c>
      <c r="D85" s="91" t="s">
        <v>1836</v>
      </c>
      <c r="E85" s="86"/>
      <c r="F85" s="86"/>
      <c r="G85" s="86"/>
      <c r="H85" s="86"/>
      <c r="I85" s="86"/>
      <c r="J85" s="86"/>
      <c r="K85" s="86"/>
      <c r="L85" s="86"/>
      <c r="M85" s="86"/>
      <c r="N85" s="86"/>
      <c r="O85" s="86"/>
      <c r="P85" s="86"/>
      <c r="Q85" s="86"/>
      <c r="R85" s="86"/>
      <c r="S85" s="86"/>
      <c r="T85" s="86"/>
      <c r="U85" s="86"/>
      <c r="V85" s="86"/>
      <c r="W85" s="86"/>
      <c r="X85" s="86"/>
      <c r="Y85" s="86"/>
      <c r="Z85" s="86"/>
    </row>
    <row r="86" spans="1:26" ht="15.75" customHeight="1">
      <c r="A86" s="89" t="s">
        <v>1837</v>
      </c>
      <c r="B86" s="90" t="s">
        <v>1714</v>
      </c>
      <c r="C86" s="89" t="s">
        <v>1708</v>
      </c>
      <c r="D86" s="89" t="s">
        <v>1838</v>
      </c>
      <c r="E86" s="89"/>
      <c r="F86" s="89"/>
      <c r="G86" s="89"/>
      <c r="H86" s="89"/>
      <c r="I86" s="89"/>
      <c r="J86" s="89"/>
      <c r="K86" s="89"/>
      <c r="L86" s="89"/>
      <c r="M86" s="89"/>
      <c r="N86" s="89"/>
      <c r="O86" s="89"/>
      <c r="P86" s="89"/>
      <c r="Q86" s="89"/>
      <c r="R86" s="89"/>
      <c r="S86" s="89"/>
      <c r="T86" s="89"/>
      <c r="U86" s="89"/>
      <c r="V86" s="89"/>
      <c r="W86" s="89"/>
      <c r="X86" s="89"/>
      <c r="Y86" s="89"/>
      <c r="Z86" s="89"/>
    </row>
    <row r="87" spans="1:26" ht="15.75" customHeight="1">
      <c r="A87" s="89" t="s">
        <v>1839</v>
      </c>
      <c r="B87" s="90" t="s">
        <v>1714</v>
      </c>
      <c r="C87" s="89" t="s">
        <v>116</v>
      </c>
      <c r="D87" s="89" t="s">
        <v>1840</v>
      </c>
      <c r="E87" s="89"/>
      <c r="F87" s="89"/>
      <c r="G87" s="89"/>
      <c r="H87" s="89"/>
      <c r="I87" s="89"/>
      <c r="J87" s="89"/>
      <c r="K87" s="89"/>
      <c r="L87" s="89"/>
      <c r="M87" s="89"/>
      <c r="N87" s="89"/>
      <c r="O87" s="89"/>
      <c r="P87" s="89"/>
      <c r="Q87" s="89"/>
      <c r="R87" s="89"/>
      <c r="S87" s="89"/>
      <c r="T87" s="89"/>
      <c r="U87" s="89"/>
      <c r="V87" s="89"/>
      <c r="W87" s="89"/>
      <c r="X87" s="89"/>
      <c r="Y87" s="89"/>
      <c r="Z87" s="89"/>
    </row>
    <row r="88" spans="1:26" ht="15.75" customHeight="1">
      <c r="A88" s="89" t="s">
        <v>401</v>
      </c>
      <c r="B88" s="13" t="s">
        <v>402</v>
      </c>
      <c r="C88" s="89" t="s">
        <v>1841</v>
      </c>
      <c r="D88" s="112" t="s">
        <v>1842</v>
      </c>
      <c r="E88" s="89"/>
      <c r="F88" s="89"/>
      <c r="G88" s="89"/>
      <c r="H88" s="89"/>
      <c r="I88" s="89"/>
      <c r="J88" s="89"/>
      <c r="K88" s="89"/>
      <c r="L88" s="89"/>
      <c r="M88" s="89"/>
      <c r="N88" s="89"/>
      <c r="O88" s="89"/>
      <c r="P88" s="89"/>
      <c r="Q88" s="89"/>
      <c r="R88" s="89"/>
      <c r="S88" s="89"/>
      <c r="T88" s="89"/>
      <c r="U88" s="89"/>
      <c r="V88" s="89"/>
      <c r="W88" s="89"/>
      <c r="X88" s="89"/>
      <c r="Y88" s="89"/>
      <c r="Z88" s="89"/>
    </row>
    <row r="89" spans="1:26" ht="15.75" customHeight="1">
      <c r="A89" s="109" t="s">
        <v>1843</v>
      </c>
      <c r="B89" s="13" t="s">
        <v>1001</v>
      </c>
      <c r="C89" s="86" t="s">
        <v>374</v>
      </c>
      <c r="D89" s="112" t="s">
        <v>1844</v>
      </c>
      <c r="E89" s="86"/>
      <c r="F89" s="86"/>
      <c r="G89" s="86"/>
      <c r="H89" s="86"/>
      <c r="I89" s="86"/>
      <c r="J89" s="86"/>
      <c r="K89" s="86"/>
      <c r="L89" s="86"/>
      <c r="M89" s="86"/>
      <c r="N89" s="86"/>
      <c r="O89" s="86"/>
      <c r="P89" s="86"/>
      <c r="Q89" s="86"/>
      <c r="R89" s="86"/>
      <c r="S89" s="86"/>
      <c r="T89" s="86"/>
      <c r="U89" s="86"/>
      <c r="V89" s="86"/>
      <c r="W89" s="86"/>
      <c r="X89" s="86"/>
      <c r="Y89" s="86"/>
      <c r="Z89" s="86"/>
    </row>
    <row r="90" spans="1:26" ht="15.75" customHeight="1">
      <c r="A90" s="3" t="s">
        <v>164</v>
      </c>
      <c r="B90" s="13" t="s">
        <v>1845</v>
      </c>
      <c r="C90" s="91" t="s">
        <v>1846</v>
      </c>
      <c r="D90" s="91" t="s">
        <v>1847</v>
      </c>
      <c r="E90" s="86"/>
      <c r="F90" s="86"/>
      <c r="G90" s="86"/>
      <c r="H90" s="86"/>
      <c r="I90" s="86"/>
      <c r="J90" s="86"/>
      <c r="K90" s="86"/>
      <c r="L90" s="86"/>
      <c r="M90" s="86"/>
      <c r="N90" s="86"/>
      <c r="O90" s="86"/>
      <c r="P90" s="86"/>
      <c r="Q90" s="86"/>
      <c r="R90" s="86"/>
      <c r="S90" s="86"/>
      <c r="T90" s="86"/>
      <c r="U90" s="86"/>
      <c r="V90" s="86"/>
      <c r="W90" s="86"/>
      <c r="X90" s="86"/>
      <c r="Y90" s="86"/>
      <c r="Z90" s="86"/>
    </row>
    <row r="91" spans="1:26" ht="15.75" customHeight="1">
      <c r="A91" s="3" t="s">
        <v>1848</v>
      </c>
      <c r="B91" s="13" t="s">
        <v>1849</v>
      </c>
      <c r="C91" s="91" t="s">
        <v>1850</v>
      </c>
      <c r="D91" s="91" t="s">
        <v>1851</v>
      </c>
      <c r="E91" s="86"/>
      <c r="F91" s="86"/>
      <c r="G91" s="86"/>
      <c r="H91" s="86"/>
      <c r="I91" s="86"/>
      <c r="J91" s="86"/>
      <c r="K91" s="86"/>
      <c r="L91" s="86"/>
      <c r="M91" s="86"/>
      <c r="N91" s="86"/>
      <c r="O91" s="86"/>
      <c r="P91" s="86"/>
      <c r="Q91" s="86"/>
      <c r="R91" s="86"/>
      <c r="S91" s="86"/>
      <c r="T91" s="86"/>
      <c r="U91" s="86"/>
      <c r="V91" s="86"/>
      <c r="W91" s="86"/>
      <c r="X91" s="86"/>
      <c r="Y91" s="86"/>
      <c r="Z91" s="86"/>
    </row>
    <row r="92" spans="1:26" ht="15.75" customHeight="1">
      <c r="A92" s="109" t="s">
        <v>611</v>
      </c>
      <c r="B92" s="13" t="s">
        <v>612</v>
      </c>
      <c r="C92" s="91" t="s">
        <v>1708</v>
      </c>
      <c r="D92" s="91" t="s">
        <v>1852</v>
      </c>
      <c r="E92" s="86"/>
      <c r="F92" s="86"/>
      <c r="G92" s="86"/>
      <c r="H92" s="86"/>
      <c r="I92" s="86"/>
      <c r="J92" s="86"/>
      <c r="K92" s="86"/>
      <c r="L92" s="86"/>
      <c r="M92" s="86"/>
      <c r="N92" s="86"/>
      <c r="O92" s="86"/>
      <c r="P92" s="86"/>
      <c r="Q92" s="86"/>
      <c r="R92" s="86"/>
      <c r="S92" s="86"/>
      <c r="T92" s="86"/>
      <c r="U92" s="86"/>
      <c r="V92" s="86"/>
      <c r="W92" s="86"/>
      <c r="X92" s="86"/>
      <c r="Y92" s="86"/>
      <c r="Z92" s="86"/>
    </row>
    <row r="93" spans="1:26" ht="15.75" customHeight="1">
      <c r="A93" s="3" t="s">
        <v>61</v>
      </c>
      <c r="B93" s="13" t="s">
        <v>62</v>
      </c>
      <c r="C93" s="91" t="s">
        <v>52</v>
      </c>
      <c r="D93" s="91" t="s">
        <v>1853</v>
      </c>
      <c r="E93" s="86"/>
      <c r="F93" s="86"/>
      <c r="G93" s="86"/>
      <c r="H93" s="86"/>
      <c r="I93" s="86"/>
      <c r="J93" s="86"/>
      <c r="K93" s="86"/>
      <c r="L93" s="86"/>
      <c r="M93" s="86"/>
      <c r="N93" s="86"/>
      <c r="O93" s="86"/>
      <c r="P93" s="86"/>
      <c r="Q93" s="86"/>
      <c r="R93" s="86"/>
      <c r="S93" s="86"/>
      <c r="T93" s="86"/>
      <c r="U93" s="86"/>
      <c r="V93" s="86"/>
      <c r="W93" s="86"/>
      <c r="X93" s="86"/>
      <c r="Y93" s="86"/>
      <c r="Z93" s="86"/>
    </row>
    <row r="94" spans="1:26" ht="15.75" customHeight="1">
      <c r="A94" s="89" t="s">
        <v>287</v>
      </c>
      <c r="B94" s="13" t="s">
        <v>288</v>
      </c>
      <c r="C94" s="89" t="s">
        <v>1708</v>
      </c>
      <c r="D94" s="112" t="s">
        <v>1854</v>
      </c>
      <c r="E94" s="89"/>
      <c r="F94" s="89"/>
      <c r="G94" s="89"/>
      <c r="H94" s="89"/>
      <c r="I94" s="89"/>
      <c r="J94" s="89"/>
      <c r="K94" s="89"/>
      <c r="L94" s="89"/>
      <c r="M94" s="89"/>
      <c r="N94" s="89"/>
      <c r="O94" s="89"/>
      <c r="P94" s="89"/>
      <c r="Q94" s="89"/>
      <c r="R94" s="89"/>
      <c r="S94" s="89"/>
      <c r="T94" s="89"/>
      <c r="U94" s="89"/>
      <c r="V94" s="89"/>
      <c r="W94" s="89"/>
      <c r="X94" s="89"/>
      <c r="Y94" s="89"/>
      <c r="Z94" s="89"/>
    </row>
    <row r="95" spans="1:26" ht="15.75" customHeight="1">
      <c r="A95" s="109" t="s">
        <v>607</v>
      </c>
      <c r="B95" s="13" t="s">
        <v>608</v>
      </c>
      <c r="C95" s="91" t="s">
        <v>1763</v>
      </c>
      <c r="D95" s="91" t="s">
        <v>1855</v>
      </c>
      <c r="E95" s="86"/>
      <c r="F95" s="86"/>
      <c r="G95" s="86"/>
      <c r="H95" s="86"/>
      <c r="I95" s="86"/>
      <c r="J95" s="86"/>
      <c r="K95" s="86"/>
      <c r="L95" s="86"/>
      <c r="M95" s="86"/>
      <c r="N95" s="86"/>
      <c r="O95" s="86"/>
      <c r="P95" s="86"/>
      <c r="Q95" s="86"/>
      <c r="R95" s="86"/>
      <c r="S95" s="86"/>
      <c r="T95" s="86"/>
      <c r="U95" s="86"/>
      <c r="V95" s="86"/>
      <c r="W95" s="86"/>
      <c r="X95" s="86"/>
      <c r="Y95" s="86"/>
      <c r="Z95" s="86"/>
    </row>
    <row r="96" spans="1:26" ht="15.75" customHeight="1">
      <c r="A96" s="86" t="s">
        <v>155</v>
      </c>
      <c r="B96" s="13" t="s">
        <v>156</v>
      </c>
      <c r="C96" s="91" t="s">
        <v>1763</v>
      </c>
      <c r="D96" s="86" t="s">
        <v>1856</v>
      </c>
      <c r="E96" s="86"/>
      <c r="F96" s="86"/>
      <c r="G96" s="86"/>
      <c r="H96" s="86"/>
      <c r="I96" s="86"/>
      <c r="J96" s="86"/>
      <c r="K96" s="86"/>
      <c r="L96" s="86"/>
      <c r="M96" s="86"/>
      <c r="N96" s="86"/>
      <c r="O96" s="86"/>
      <c r="P96" s="86"/>
      <c r="Q96" s="86"/>
      <c r="R96" s="86"/>
      <c r="S96" s="86"/>
      <c r="T96" s="86"/>
      <c r="U96" s="86"/>
      <c r="V96" s="86"/>
      <c r="W96" s="86"/>
      <c r="X96" s="86"/>
      <c r="Y96" s="86"/>
      <c r="Z96" s="86"/>
    </row>
    <row r="97" spans="1:26" ht="15.75" customHeight="1">
      <c r="A97" s="86" t="s">
        <v>133</v>
      </c>
      <c r="B97" s="13" t="s">
        <v>134</v>
      </c>
      <c r="C97" s="91" t="s">
        <v>126</v>
      </c>
      <c r="D97" s="91" t="s">
        <v>1857</v>
      </c>
      <c r="E97" s="86"/>
      <c r="F97" s="86"/>
      <c r="G97" s="86"/>
      <c r="H97" s="86"/>
      <c r="I97" s="86"/>
      <c r="J97" s="86"/>
      <c r="K97" s="86"/>
      <c r="L97" s="86"/>
      <c r="M97" s="86"/>
      <c r="N97" s="86"/>
      <c r="O97" s="86"/>
      <c r="P97" s="86"/>
      <c r="Q97" s="86"/>
      <c r="R97" s="86"/>
      <c r="S97" s="86"/>
      <c r="T97" s="86"/>
      <c r="U97" s="86"/>
      <c r="V97" s="86"/>
      <c r="W97" s="86"/>
      <c r="X97" s="86"/>
      <c r="Y97" s="86"/>
      <c r="Z97" s="86"/>
    </row>
    <row r="98" spans="1:26" ht="15.75" customHeight="1">
      <c r="A98" s="89" t="s">
        <v>369</v>
      </c>
      <c r="B98" s="13" t="s">
        <v>370</v>
      </c>
      <c r="C98" s="89" t="s">
        <v>374</v>
      </c>
      <c r="D98" s="112" t="s">
        <v>1858</v>
      </c>
      <c r="E98" s="89"/>
      <c r="F98" s="89"/>
      <c r="G98" s="89"/>
      <c r="H98" s="89"/>
      <c r="I98" s="89"/>
      <c r="J98" s="89"/>
      <c r="K98" s="89"/>
      <c r="L98" s="89"/>
      <c r="M98" s="89"/>
      <c r="N98" s="89"/>
      <c r="O98" s="89"/>
      <c r="P98" s="89"/>
      <c r="Q98" s="89"/>
      <c r="R98" s="89"/>
      <c r="S98" s="89"/>
      <c r="T98" s="89"/>
      <c r="U98" s="89"/>
      <c r="V98" s="89"/>
      <c r="W98" s="89"/>
      <c r="X98" s="89"/>
      <c r="Y98" s="89"/>
      <c r="Z98" s="89"/>
    </row>
    <row r="99" spans="1:26" ht="15.75" customHeight="1">
      <c r="A99" s="89" t="s">
        <v>593</v>
      </c>
      <c r="B99" s="13" t="s">
        <v>594</v>
      </c>
      <c r="C99" s="89" t="s">
        <v>1708</v>
      </c>
      <c r="D99" s="112" t="s">
        <v>1859</v>
      </c>
      <c r="E99" s="89"/>
      <c r="F99" s="89"/>
      <c r="G99" s="89"/>
      <c r="H99" s="89"/>
      <c r="I99" s="89"/>
      <c r="J99" s="89"/>
      <c r="K99" s="89"/>
      <c r="L99" s="89"/>
      <c r="M99" s="89"/>
      <c r="N99" s="89"/>
      <c r="O99" s="89"/>
      <c r="P99" s="89"/>
      <c r="Q99" s="89"/>
      <c r="R99" s="89"/>
      <c r="S99" s="89"/>
      <c r="T99" s="89"/>
      <c r="U99" s="89"/>
      <c r="V99" s="89"/>
      <c r="W99" s="89"/>
      <c r="X99" s="89"/>
      <c r="Y99" s="89"/>
      <c r="Z99" s="89"/>
    </row>
    <row r="100" spans="1:26" ht="15.75" customHeight="1">
      <c r="A100" s="3" t="s">
        <v>1860</v>
      </c>
      <c r="B100" s="13" t="s">
        <v>1861</v>
      </c>
      <c r="C100" s="91" t="s">
        <v>1708</v>
      </c>
      <c r="D100" s="91" t="s">
        <v>1862</v>
      </c>
      <c r="E100" s="86"/>
      <c r="F100" s="86"/>
      <c r="G100" s="86"/>
      <c r="H100" s="86"/>
      <c r="I100" s="86"/>
      <c r="J100" s="86"/>
      <c r="K100" s="86"/>
      <c r="L100" s="86"/>
      <c r="M100" s="86"/>
      <c r="N100" s="86"/>
      <c r="O100" s="86"/>
      <c r="P100" s="86"/>
      <c r="Q100" s="86"/>
      <c r="R100" s="86"/>
      <c r="S100" s="86"/>
      <c r="T100" s="86"/>
      <c r="U100" s="86"/>
      <c r="V100" s="86"/>
      <c r="W100" s="86"/>
      <c r="X100" s="86"/>
      <c r="Y100" s="86"/>
      <c r="Z100" s="86"/>
    </row>
    <row r="101" spans="1:26" ht="15.75" customHeight="1">
      <c r="A101" s="89" t="s">
        <v>1863</v>
      </c>
      <c r="B101" s="90" t="s">
        <v>1714</v>
      </c>
      <c r="C101" s="89" t="s">
        <v>205</v>
      </c>
      <c r="D101" s="89" t="s">
        <v>1864</v>
      </c>
      <c r="E101" s="89"/>
      <c r="F101" s="89"/>
      <c r="G101" s="89"/>
      <c r="H101" s="89"/>
      <c r="I101" s="89"/>
      <c r="J101" s="89"/>
      <c r="K101" s="89"/>
      <c r="L101" s="89"/>
      <c r="M101" s="89"/>
      <c r="N101" s="89"/>
      <c r="O101" s="89"/>
      <c r="P101" s="89"/>
      <c r="Q101" s="89"/>
      <c r="R101" s="89"/>
      <c r="S101" s="89"/>
      <c r="T101" s="89"/>
      <c r="U101" s="89"/>
      <c r="V101" s="89"/>
      <c r="W101" s="89"/>
      <c r="X101" s="89"/>
      <c r="Y101" s="89"/>
      <c r="Z101" s="89"/>
    </row>
    <row r="102" spans="1:26" ht="15.75" customHeight="1">
      <c r="A102" s="89" t="s">
        <v>230</v>
      </c>
      <c r="B102" s="13" t="s">
        <v>231</v>
      </c>
      <c r="C102" s="89" t="s">
        <v>205</v>
      </c>
      <c r="D102" s="112" t="s">
        <v>1865</v>
      </c>
      <c r="E102" s="89"/>
      <c r="F102" s="89"/>
      <c r="G102" s="89"/>
      <c r="H102" s="89"/>
      <c r="I102" s="89"/>
      <c r="J102" s="89"/>
      <c r="K102" s="89"/>
      <c r="L102" s="89"/>
      <c r="M102" s="89"/>
      <c r="N102" s="89"/>
      <c r="O102" s="89"/>
      <c r="P102" s="89"/>
      <c r="Q102" s="89"/>
      <c r="R102" s="89"/>
      <c r="S102" s="89"/>
      <c r="T102" s="89"/>
      <c r="U102" s="89"/>
      <c r="V102" s="89"/>
      <c r="W102" s="89"/>
      <c r="X102" s="89"/>
      <c r="Y102" s="89"/>
      <c r="Z102" s="89"/>
    </row>
    <row r="103" spans="1:26" ht="15.75" customHeight="1">
      <c r="A103" s="109" t="s">
        <v>367</v>
      </c>
      <c r="B103" s="13" t="s">
        <v>368</v>
      </c>
      <c r="C103" s="91" t="s">
        <v>374</v>
      </c>
      <c r="D103" s="91" t="s">
        <v>1866</v>
      </c>
      <c r="E103" s="86"/>
      <c r="F103" s="86"/>
      <c r="G103" s="86"/>
      <c r="H103" s="86"/>
      <c r="I103" s="86"/>
      <c r="J103" s="86"/>
      <c r="K103" s="86"/>
      <c r="L103" s="86"/>
      <c r="M103" s="86"/>
      <c r="N103" s="86"/>
      <c r="O103" s="86"/>
      <c r="P103" s="86"/>
      <c r="Q103" s="86"/>
      <c r="R103" s="86"/>
      <c r="S103" s="86"/>
      <c r="T103" s="86"/>
      <c r="U103" s="86"/>
      <c r="V103" s="86"/>
      <c r="W103" s="86"/>
      <c r="X103" s="86"/>
      <c r="Y103" s="86"/>
      <c r="Z103" s="86"/>
    </row>
    <row r="104" spans="1:26" ht="15.75" customHeight="1">
      <c r="A104" s="89" t="s">
        <v>148</v>
      </c>
      <c r="B104" s="13" t="s">
        <v>149</v>
      </c>
      <c r="C104" s="89" t="s">
        <v>126</v>
      </c>
      <c r="D104" s="112" t="s">
        <v>1867</v>
      </c>
      <c r="E104" s="89"/>
      <c r="F104" s="89"/>
      <c r="G104" s="89"/>
      <c r="H104" s="89"/>
      <c r="I104" s="89"/>
      <c r="J104" s="89"/>
      <c r="K104" s="89"/>
      <c r="L104" s="89"/>
      <c r="M104" s="89"/>
      <c r="N104" s="89"/>
      <c r="O104" s="89"/>
      <c r="P104" s="89"/>
      <c r="Q104" s="89"/>
      <c r="R104" s="89"/>
      <c r="S104" s="89"/>
      <c r="T104" s="89"/>
      <c r="U104" s="89"/>
      <c r="V104" s="89"/>
      <c r="W104" s="89"/>
      <c r="X104" s="89"/>
      <c r="Y104" s="89"/>
      <c r="Z104" s="89"/>
    </row>
    <row r="105" spans="1:26" ht="15.75" customHeight="1">
      <c r="A105" s="3" t="s">
        <v>609</v>
      </c>
      <c r="B105" s="13" t="s">
        <v>610</v>
      </c>
      <c r="C105" s="91" t="s">
        <v>1708</v>
      </c>
      <c r="D105" s="91" t="s">
        <v>1868</v>
      </c>
      <c r="E105" s="86"/>
      <c r="F105" s="86"/>
      <c r="G105" s="86"/>
      <c r="H105" s="86"/>
      <c r="I105" s="86"/>
      <c r="J105" s="86"/>
      <c r="K105" s="86"/>
      <c r="L105" s="86"/>
      <c r="M105" s="86"/>
      <c r="N105" s="86"/>
      <c r="O105" s="86"/>
      <c r="P105" s="86"/>
      <c r="Q105" s="86"/>
      <c r="R105" s="86"/>
      <c r="S105" s="86"/>
      <c r="T105" s="86"/>
      <c r="U105" s="86"/>
      <c r="V105" s="86"/>
      <c r="W105" s="86"/>
      <c r="X105" s="86"/>
      <c r="Y105" s="86"/>
      <c r="Z105" s="86"/>
    </row>
    <row r="106" spans="1:26" ht="15.75" customHeight="1">
      <c r="A106" s="113" t="s">
        <v>1010</v>
      </c>
      <c r="B106" s="13" t="s">
        <v>1011</v>
      </c>
      <c r="C106" s="86" t="s">
        <v>374</v>
      </c>
      <c r="D106" s="112" t="s">
        <v>1869</v>
      </c>
      <c r="E106" s="86"/>
      <c r="F106" s="86"/>
      <c r="G106" s="86"/>
      <c r="H106" s="86"/>
      <c r="I106" s="86"/>
      <c r="J106" s="86"/>
      <c r="K106" s="86"/>
      <c r="L106" s="86"/>
      <c r="M106" s="86"/>
      <c r="N106" s="86"/>
      <c r="O106" s="86"/>
      <c r="P106" s="86"/>
      <c r="Q106" s="86"/>
      <c r="R106" s="86"/>
      <c r="S106" s="86"/>
      <c r="T106" s="86"/>
      <c r="U106" s="86"/>
      <c r="V106" s="86"/>
      <c r="W106" s="86"/>
      <c r="X106" s="86"/>
      <c r="Y106" s="86"/>
      <c r="Z106" s="86"/>
    </row>
    <row r="107" spans="1:26" ht="15.75" customHeight="1">
      <c r="A107" s="109" t="s">
        <v>1206</v>
      </c>
      <c r="B107" s="13" t="s">
        <v>1207</v>
      </c>
      <c r="C107" s="91" t="s">
        <v>1870</v>
      </c>
      <c r="D107" s="91" t="s">
        <v>1871</v>
      </c>
      <c r="E107" s="86"/>
      <c r="F107" s="86"/>
      <c r="G107" s="86"/>
      <c r="H107" s="86"/>
      <c r="I107" s="86"/>
      <c r="J107" s="86"/>
      <c r="K107" s="86"/>
      <c r="L107" s="86"/>
      <c r="M107" s="86"/>
      <c r="N107" s="86"/>
      <c r="O107" s="86"/>
      <c r="P107" s="86"/>
      <c r="Q107" s="86"/>
      <c r="R107" s="86"/>
      <c r="S107" s="86"/>
      <c r="T107" s="86"/>
      <c r="U107" s="86"/>
      <c r="V107" s="86"/>
      <c r="W107" s="86"/>
      <c r="X107" s="86"/>
      <c r="Y107" s="86"/>
      <c r="Z107" s="86"/>
    </row>
    <row r="108" spans="1:26" ht="15.75" customHeight="1">
      <c r="A108" s="109" t="s">
        <v>127</v>
      </c>
      <c r="B108" s="13" t="s">
        <v>128</v>
      </c>
      <c r="C108" s="91" t="s">
        <v>126</v>
      </c>
      <c r="D108" s="91" t="s">
        <v>1872</v>
      </c>
      <c r="E108" s="86"/>
      <c r="F108" s="86"/>
      <c r="G108" s="86"/>
      <c r="H108" s="86"/>
      <c r="I108" s="86"/>
      <c r="J108" s="86"/>
      <c r="K108" s="86"/>
      <c r="L108" s="86"/>
      <c r="M108" s="86"/>
      <c r="N108" s="86"/>
      <c r="O108" s="86"/>
      <c r="P108" s="86"/>
      <c r="Q108" s="86"/>
      <c r="R108" s="86"/>
      <c r="S108" s="86"/>
      <c r="T108" s="86"/>
      <c r="U108" s="86"/>
      <c r="V108" s="86"/>
      <c r="W108" s="86"/>
      <c r="X108" s="86"/>
      <c r="Y108" s="86"/>
      <c r="Z108" s="86"/>
    </row>
    <row r="109" spans="1:26" ht="15.75" customHeight="1">
      <c r="A109" s="109" t="s">
        <v>807</v>
      </c>
      <c r="B109" s="13" t="s">
        <v>808</v>
      </c>
      <c r="C109" s="91" t="s">
        <v>1846</v>
      </c>
      <c r="D109" s="91" t="s">
        <v>1873</v>
      </c>
      <c r="E109" s="86"/>
      <c r="F109" s="86"/>
      <c r="G109" s="86"/>
      <c r="H109" s="86"/>
      <c r="I109" s="86"/>
      <c r="J109" s="86"/>
      <c r="K109" s="86"/>
      <c r="L109" s="86"/>
      <c r="M109" s="86"/>
      <c r="N109" s="86"/>
      <c r="O109" s="86"/>
      <c r="P109" s="86"/>
      <c r="Q109" s="86"/>
      <c r="R109" s="86"/>
      <c r="S109" s="86"/>
      <c r="T109" s="86"/>
      <c r="U109" s="86"/>
      <c r="V109" s="86"/>
      <c r="W109" s="86"/>
      <c r="X109" s="86"/>
      <c r="Y109" s="86"/>
      <c r="Z109" s="86"/>
    </row>
    <row r="110" spans="1:26" ht="15.75" customHeight="1">
      <c r="A110" s="86" t="s">
        <v>1059</v>
      </c>
      <c r="B110" s="13" t="s">
        <v>1060</v>
      </c>
      <c r="C110" s="91" t="s">
        <v>179</v>
      </c>
      <c r="D110" s="89" t="s">
        <v>1874</v>
      </c>
      <c r="E110" s="86"/>
      <c r="F110" s="86"/>
      <c r="G110" s="86"/>
      <c r="H110" s="86"/>
      <c r="I110" s="86"/>
      <c r="J110" s="86"/>
      <c r="K110" s="86"/>
      <c r="L110" s="86"/>
      <c r="M110" s="86"/>
      <c r="N110" s="86"/>
      <c r="O110" s="86"/>
      <c r="P110" s="86"/>
      <c r="Q110" s="86"/>
      <c r="R110" s="86"/>
      <c r="S110" s="86"/>
      <c r="T110" s="86"/>
      <c r="U110" s="86"/>
      <c r="V110" s="86"/>
      <c r="W110" s="86"/>
      <c r="X110" s="86"/>
      <c r="Y110" s="86"/>
      <c r="Z110" s="86"/>
    </row>
    <row r="111" spans="1:26" ht="15.75" customHeight="1">
      <c r="A111" s="109" t="s">
        <v>1149</v>
      </c>
      <c r="B111" s="13" t="s">
        <v>1150</v>
      </c>
      <c r="C111" s="91" t="s">
        <v>116</v>
      </c>
      <c r="D111" s="91" t="s">
        <v>1875</v>
      </c>
      <c r="E111" s="86"/>
      <c r="F111" s="86"/>
      <c r="G111" s="86"/>
      <c r="H111" s="86"/>
      <c r="I111" s="86"/>
      <c r="J111" s="86"/>
      <c r="K111" s="86"/>
      <c r="L111" s="86"/>
      <c r="M111" s="86"/>
      <c r="N111" s="86"/>
      <c r="O111" s="86"/>
      <c r="P111" s="86"/>
      <c r="Q111" s="86"/>
      <c r="R111" s="86"/>
      <c r="S111" s="86"/>
      <c r="T111" s="86"/>
      <c r="U111" s="86"/>
      <c r="V111" s="86"/>
      <c r="W111" s="86"/>
      <c r="X111" s="86"/>
      <c r="Y111" s="86"/>
      <c r="Z111" s="86"/>
    </row>
    <row r="112" spans="1:26" ht="15.75" customHeight="1">
      <c r="A112" s="86" t="s">
        <v>1138</v>
      </c>
      <c r="B112" s="13" t="s">
        <v>1139</v>
      </c>
      <c r="C112" s="86" t="s">
        <v>374</v>
      </c>
      <c r="D112" s="112" t="s">
        <v>1876</v>
      </c>
      <c r="E112" s="86"/>
      <c r="F112" s="86"/>
      <c r="G112" s="86"/>
      <c r="H112" s="86"/>
      <c r="I112" s="86"/>
      <c r="J112" s="86"/>
      <c r="K112" s="86"/>
      <c r="L112" s="86"/>
      <c r="M112" s="86"/>
      <c r="N112" s="86"/>
      <c r="O112" s="86"/>
      <c r="P112" s="86"/>
      <c r="Q112" s="86"/>
      <c r="R112" s="86"/>
      <c r="S112" s="86"/>
      <c r="T112" s="86"/>
      <c r="U112" s="86"/>
      <c r="V112" s="86"/>
      <c r="W112" s="86"/>
      <c r="X112" s="86"/>
      <c r="Y112" s="86"/>
      <c r="Z112" s="86"/>
    </row>
    <row r="113" spans="1:26" ht="15.75" customHeight="1">
      <c r="A113" s="86" t="s">
        <v>1451</v>
      </c>
      <c r="B113" s="13" t="s">
        <v>1452</v>
      </c>
      <c r="C113" s="91" t="s">
        <v>1870</v>
      </c>
      <c r="D113" s="91" t="s">
        <v>1877</v>
      </c>
      <c r="E113" s="86"/>
      <c r="F113" s="86"/>
      <c r="G113" s="86"/>
      <c r="H113" s="86"/>
      <c r="I113" s="86"/>
      <c r="J113" s="86"/>
      <c r="K113" s="86"/>
      <c r="L113" s="86"/>
      <c r="M113" s="86"/>
      <c r="N113" s="86"/>
      <c r="O113" s="86"/>
      <c r="P113" s="86"/>
      <c r="Q113" s="86"/>
      <c r="R113" s="86"/>
      <c r="S113" s="86"/>
      <c r="T113" s="86"/>
      <c r="U113" s="86"/>
      <c r="V113" s="86"/>
      <c r="W113" s="86"/>
      <c r="X113" s="86"/>
      <c r="Y113" s="86"/>
      <c r="Z113" s="86"/>
    </row>
    <row r="114" spans="1:26" ht="15.75" customHeight="1">
      <c r="A114" s="86" t="s">
        <v>895</v>
      </c>
      <c r="B114" s="13" t="s">
        <v>896</v>
      </c>
      <c r="C114" s="86" t="s">
        <v>682</v>
      </c>
      <c r="D114" s="91" t="s">
        <v>1878</v>
      </c>
      <c r="E114" s="86"/>
      <c r="F114" s="86"/>
      <c r="G114" s="86"/>
      <c r="H114" s="86"/>
      <c r="I114" s="86"/>
      <c r="J114" s="86"/>
      <c r="K114" s="86"/>
      <c r="L114" s="86"/>
      <c r="M114" s="86"/>
      <c r="N114" s="86"/>
      <c r="O114" s="86"/>
      <c r="P114" s="86"/>
      <c r="Q114" s="86"/>
      <c r="R114" s="86"/>
      <c r="S114" s="86"/>
      <c r="T114" s="86"/>
      <c r="U114" s="86"/>
      <c r="V114" s="86"/>
      <c r="W114" s="86"/>
      <c r="X114" s="86"/>
      <c r="Y114" s="86"/>
      <c r="Z114" s="86"/>
    </row>
    <row r="115" spans="1:26" ht="15.75" customHeight="1">
      <c r="A115" s="109" t="s">
        <v>1190</v>
      </c>
      <c r="B115" s="13" t="s">
        <v>1191</v>
      </c>
      <c r="C115" s="91" t="s">
        <v>1870</v>
      </c>
      <c r="D115" s="91" t="s">
        <v>1879</v>
      </c>
      <c r="E115" s="86"/>
      <c r="F115" s="86"/>
      <c r="G115" s="86"/>
      <c r="H115" s="86"/>
      <c r="I115" s="86"/>
      <c r="J115" s="86"/>
      <c r="K115" s="86"/>
      <c r="L115" s="86"/>
      <c r="M115" s="86"/>
      <c r="N115" s="86"/>
      <c r="O115" s="86"/>
      <c r="P115" s="86"/>
      <c r="Q115" s="86"/>
      <c r="R115" s="86"/>
      <c r="S115" s="86"/>
      <c r="T115" s="86"/>
      <c r="U115" s="86"/>
      <c r="V115" s="86"/>
      <c r="W115" s="86"/>
      <c r="X115" s="86"/>
      <c r="Y115" s="86"/>
      <c r="Z115" s="86"/>
    </row>
    <row r="116" spans="1:26" ht="15.75" customHeight="1">
      <c r="A116" s="109" t="s">
        <v>1880</v>
      </c>
      <c r="B116" s="13" t="s">
        <v>1881</v>
      </c>
      <c r="C116" s="91" t="s">
        <v>1870</v>
      </c>
      <c r="D116" s="91" t="s">
        <v>1883</v>
      </c>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ht="15.75" customHeight="1">
      <c r="A117" s="109" t="s">
        <v>1198</v>
      </c>
      <c r="B117" s="13" t="s">
        <v>1199</v>
      </c>
      <c r="C117" s="91" t="s">
        <v>1870</v>
      </c>
      <c r="D117" s="91" t="s">
        <v>1884</v>
      </c>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ht="15.75" customHeight="1">
      <c r="A118" s="109" t="s">
        <v>1171</v>
      </c>
      <c r="B118" s="13" t="s">
        <v>1172</v>
      </c>
      <c r="C118" s="91" t="s">
        <v>1870</v>
      </c>
      <c r="D118" s="91" t="s">
        <v>1885</v>
      </c>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ht="15.75" customHeight="1">
      <c r="A119" s="86" t="s">
        <v>1445</v>
      </c>
      <c r="B119" s="13" t="s">
        <v>1450</v>
      </c>
      <c r="C119" s="91" t="s">
        <v>1870</v>
      </c>
      <c r="D119" s="91" t="s">
        <v>1886</v>
      </c>
      <c r="E119" s="86"/>
      <c r="F119" s="86"/>
      <c r="G119" s="86"/>
      <c r="H119" s="86"/>
      <c r="I119" s="86"/>
      <c r="J119" s="86"/>
      <c r="K119" s="86"/>
      <c r="L119" s="86"/>
      <c r="M119" s="86"/>
      <c r="N119" s="86"/>
      <c r="O119" s="86"/>
      <c r="P119" s="86"/>
      <c r="Q119" s="86"/>
      <c r="R119" s="86"/>
      <c r="S119" s="86"/>
      <c r="T119" s="86"/>
      <c r="U119" s="86"/>
      <c r="V119" s="86"/>
      <c r="W119" s="86"/>
      <c r="X119" s="86"/>
      <c r="Y119" s="86"/>
      <c r="Z119" s="86"/>
    </row>
    <row r="120" spans="1:26" ht="15.75" customHeight="1">
      <c r="A120" s="109" t="s">
        <v>1582</v>
      </c>
      <c r="B120" s="13" t="s">
        <v>1583</v>
      </c>
      <c r="C120" s="91" t="s">
        <v>1870</v>
      </c>
      <c r="D120" s="91" t="s">
        <v>1887</v>
      </c>
      <c r="E120" s="86"/>
      <c r="F120" s="86"/>
      <c r="G120" s="86"/>
      <c r="H120" s="86"/>
      <c r="I120" s="86"/>
      <c r="J120" s="86"/>
      <c r="K120" s="86"/>
      <c r="L120" s="86"/>
      <c r="M120" s="86"/>
      <c r="N120" s="86"/>
      <c r="O120" s="86"/>
      <c r="P120" s="86"/>
      <c r="Q120" s="86"/>
      <c r="R120" s="86"/>
      <c r="S120" s="86"/>
      <c r="T120" s="86"/>
      <c r="U120" s="86"/>
      <c r="V120" s="86"/>
      <c r="W120" s="86"/>
      <c r="X120" s="86"/>
      <c r="Y120" s="86"/>
      <c r="Z120" s="86"/>
    </row>
    <row r="121" spans="1:26" ht="15.75" customHeight="1">
      <c r="A121" s="109" t="s">
        <v>1167</v>
      </c>
      <c r="B121" s="13" t="s">
        <v>1168</v>
      </c>
      <c r="C121" s="91" t="s">
        <v>1870</v>
      </c>
      <c r="D121" s="91" t="s">
        <v>1888</v>
      </c>
      <c r="E121" s="86"/>
      <c r="F121" s="86"/>
      <c r="G121" s="86"/>
      <c r="H121" s="86"/>
      <c r="I121" s="86"/>
      <c r="J121" s="86"/>
      <c r="K121" s="86"/>
      <c r="L121" s="86"/>
      <c r="M121" s="86"/>
      <c r="N121" s="86"/>
      <c r="O121" s="86"/>
      <c r="P121" s="86"/>
      <c r="Q121" s="86"/>
      <c r="R121" s="86"/>
      <c r="S121" s="86"/>
      <c r="T121" s="86"/>
      <c r="U121" s="86"/>
      <c r="V121" s="86"/>
      <c r="W121" s="86"/>
      <c r="X121" s="86"/>
      <c r="Y121" s="86"/>
      <c r="Z121" s="86"/>
    </row>
    <row r="122" spans="1:26" ht="15.75" customHeight="1">
      <c r="A122" s="109" t="s">
        <v>140</v>
      </c>
      <c r="B122" s="13" t="s">
        <v>141</v>
      </c>
      <c r="C122" s="91" t="s">
        <v>126</v>
      </c>
      <c r="D122" s="91" t="s">
        <v>1889</v>
      </c>
      <c r="E122" s="86"/>
      <c r="F122" s="86"/>
      <c r="G122" s="86"/>
      <c r="H122" s="86"/>
      <c r="I122" s="86"/>
      <c r="J122" s="86"/>
      <c r="K122" s="86"/>
      <c r="L122" s="86"/>
      <c r="M122" s="86"/>
      <c r="N122" s="86"/>
      <c r="O122" s="86"/>
      <c r="P122" s="86"/>
      <c r="Q122" s="86"/>
      <c r="R122" s="86"/>
      <c r="S122" s="86"/>
      <c r="T122" s="86"/>
      <c r="U122" s="86"/>
      <c r="V122" s="86"/>
      <c r="W122" s="86"/>
      <c r="X122" s="86"/>
      <c r="Y122" s="86"/>
      <c r="Z122" s="86"/>
    </row>
    <row r="123" spans="1:26" ht="15.75" customHeight="1">
      <c r="A123" s="109" t="s">
        <v>801</v>
      </c>
      <c r="B123" s="13" t="s">
        <v>802</v>
      </c>
      <c r="C123" s="91" t="s">
        <v>1846</v>
      </c>
      <c r="D123" s="91" t="s">
        <v>1890</v>
      </c>
      <c r="E123" s="86"/>
      <c r="F123" s="86"/>
      <c r="G123" s="86"/>
      <c r="H123" s="86"/>
      <c r="I123" s="86"/>
      <c r="J123" s="86"/>
      <c r="K123" s="86"/>
      <c r="L123" s="86"/>
      <c r="M123" s="86"/>
      <c r="N123" s="86"/>
      <c r="O123" s="86"/>
      <c r="P123" s="86"/>
      <c r="Q123" s="86"/>
      <c r="R123" s="86"/>
      <c r="S123" s="86"/>
      <c r="T123" s="86"/>
      <c r="U123" s="86"/>
      <c r="V123" s="86"/>
      <c r="W123" s="86"/>
      <c r="X123" s="86"/>
      <c r="Y123" s="86"/>
      <c r="Z123" s="86"/>
    </row>
    <row r="124" spans="1:26" ht="15.75" customHeight="1">
      <c r="A124" s="89" t="s">
        <v>1891</v>
      </c>
      <c r="B124" s="13" t="s">
        <v>274</v>
      </c>
      <c r="C124" s="89" t="s">
        <v>1850</v>
      </c>
      <c r="D124" s="112" t="s">
        <v>1892</v>
      </c>
      <c r="E124" s="89"/>
      <c r="F124" s="89"/>
      <c r="G124" s="89"/>
      <c r="H124" s="89"/>
      <c r="I124" s="89"/>
      <c r="J124" s="89"/>
      <c r="K124" s="89"/>
      <c r="L124" s="89"/>
      <c r="M124" s="89"/>
      <c r="N124" s="89"/>
      <c r="O124" s="89"/>
      <c r="P124" s="89"/>
      <c r="Q124" s="89"/>
      <c r="R124" s="89"/>
      <c r="S124" s="89"/>
      <c r="T124" s="89"/>
      <c r="U124" s="89"/>
      <c r="V124" s="89"/>
      <c r="W124" s="89"/>
      <c r="X124" s="89"/>
      <c r="Y124" s="89"/>
      <c r="Z124" s="89"/>
    </row>
    <row r="125" spans="1:26" ht="18" customHeight="1">
      <c r="A125" s="86" t="s">
        <v>46</v>
      </c>
      <c r="B125" s="13" t="s">
        <v>49</v>
      </c>
      <c r="C125" s="91" t="s">
        <v>1708</v>
      </c>
      <c r="D125" s="91" t="s">
        <v>1893</v>
      </c>
      <c r="E125" s="86"/>
      <c r="F125" s="86"/>
      <c r="G125" s="86"/>
      <c r="H125" s="86"/>
      <c r="I125" s="86"/>
      <c r="J125" s="86"/>
      <c r="K125" s="86"/>
      <c r="L125" s="86"/>
      <c r="M125" s="86"/>
      <c r="N125" s="86"/>
      <c r="O125" s="86"/>
      <c r="P125" s="86"/>
      <c r="Q125" s="86"/>
      <c r="R125" s="86"/>
      <c r="S125" s="86"/>
      <c r="T125" s="86"/>
      <c r="U125" s="86"/>
      <c r="V125" s="86"/>
      <c r="W125" s="86"/>
      <c r="X125" s="86"/>
      <c r="Y125" s="86"/>
      <c r="Z125" s="86"/>
    </row>
    <row r="126" spans="1:26" ht="18" customHeight="1">
      <c r="A126" s="86" t="s">
        <v>1447</v>
      </c>
      <c r="B126" s="13" t="s">
        <v>1448</v>
      </c>
      <c r="C126" s="91" t="s">
        <v>1870</v>
      </c>
      <c r="D126" s="91" t="s">
        <v>1894</v>
      </c>
      <c r="E126" s="86"/>
      <c r="F126" s="86"/>
      <c r="G126" s="86"/>
      <c r="H126" s="86"/>
      <c r="I126" s="86"/>
      <c r="J126" s="86"/>
      <c r="K126" s="86"/>
      <c r="L126" s="86"/>
      <c r="M126" s="86"/>
      <c r="N126" s="86"/>
      <c r="O126" s="86"/>
      <c r="P126" s="86"/>
      <c r="Q126" s="86"/>
      <c r="R126" s="86"/>
      <c r="S126" s="86"/>
      <c r="T126" s="86"/>
      <c r="U126" s="86"/>
      <c r="V126" s="86"/>
      <c r="W126" s="86"/>
      <c r="X126" s="86"/>
      <c r="Y126" s="86"/>
      <c r="Z126" s="86"/>
    </row>
    <row r="127" spans="1:26" ht="15.75" customHeight="1">
      <c r="A127" s="109" t="s">
        <v>958</v>
      </c>
      <c r="B127" s="13" t="s">
        <v>959</v>
      </c>
      <c r="C127" s="91" t="s">
        <v>1870</v>
      </c>
      <c r="D127" s="91" t="s">
        <v>1895</v>
      </c>
      <c r="E127" s="86"/>
      <c r="F127" s="86"/>
      <c r="G127" s="86"/>
      <c r="H127" s="86"/>
      <c r="I127" s="86"/>
      <c r="J127" s="86"/>
      <c r="K127" s="86"/>
      <c r="L127" s="86"/>
      <c r="M127" s="86"/>
      <c r="N127" s="86"/>
      <c r="O127" s="86"/>
      <c r="P127" s="86"/>
      <c r="Q127" s="86"/>
      <c r="R127" s="86"/>
      <c r="S127" s="86"/>
      <c r="T127" s="86"/>
      <c r="U127" s="86"/>
      <c r="V127" s="86"/>
      <c r="W127" s="86"/>
      <c r="X127" s="86"/>
      <c r="Y127" s="86"/>
      <c r="Z127" s="86"/>
    </row>
    <row r="128" spans="1:26" ht="15.75" customHeight="1">
      <c r="A128" s="3" t="s">
        <v>187</v>
      </c>
      <c r="B128" s="13" t="s">
        <v>188</v>
      </c>
      <c r="C128" s="86" t="s">
        <v>179</v>
      </c>
      <c r="D128" s="91" t="s">
        <v>1896</v>
      </c>
      <c r="E128" s="86"/>
      <c r="F128" s="86"/>
      <c r="G128" s="86"/>
      <c r="H128" s="86"/>
      <c r="I128" s="86"/>
      <c r="J128" s="86"/>
      <c r="K128" s="86"/>
      <c r="L128" s="86"/>
      <c r="M128" s="86"/>
      <c r="N128" s="86"/>
      <c r="O128" s="86"/>
      <c r="P128" s="86"/>
      <c r="Q128" s="86"/>
      <c r="R128" s="86"/>
      <c r="S128" s="86"/>
      <c r="T128" s="86"/>
      <c r="U128" s="86"/>
      <c r="V128" s="86"/>
      <c r="W128" s="86"/>
      <c r="X128" s="86"/>
      <c r="Y128" s="86"/>
      <c r="Z128" s="86"/>
    </row>
    <row r="129" spans="1:26" ht="15.75" customHeight="1">
      <c r="A129" s="109" t="s">
        <v>259</v>
      </c>
      <c r="B129" s="13" t="s">
        <v>260</v>
      </c>
      <c r="C129" s="91" t="s">
        <v>52</v>
      </c>
      <c r="D129" s="91" t="s">
        <v>1897</v>
      </c>
      <c r="E129" s="114"/>
      <c r="F129" s="86"/>
      <c r="G129" s="86"/>
      <c r="H129" s="86"/>
      <c r="I129" s="86"/>
      <c r="J129" s="86"/>
      <c r="K129" s="86"/>
      <c r="L129" s="86"/>
      <c r="M129" s="86"/>
      <c r="N129" s="86"/>
      <c r="O129" s="86"/>
      <c r="P129" s="86"/>
      <c r="Q129" s="86"/>
      <c r="R129" s="86"/>
      <c r="S129" s="86"/>
      <c r="T129" s="86"/>
      <c r="U129" s="86"/>
      <c r="V129" s="86"/>
      <c r="W129" s="86"/>
      <c r="X129" s="86"/>
      <c r="Y129" s="86"/>
      <c r="Z129" s="86"/>
    </row>
    <row r="130" spans="1:26" ht="15.75" customHeight="1">
      <c r="A130" s="3" t="s">
        <v>415</v>
      </c>
      <c r="B130" s="13" t="s">
        <v>416</v>
      </c>
      <c r="C130" s="91" t="s">
        <v>1708</v>
      </c>
      <c r="D130" s="91" t="s">
        <v>1898</v>
      </c>
      <c r="E130" s="86"/>
      <c r="F130" s="86"/>
      <c r="G130" s="86"/>
      <c r="H130" s="86"/>
      <c r="I130" s="86"/>
      <c r="J130" s="86"/>
      <c r="K130" s="86"/>
      <c r="L130" s="86"/>
      <c r="M130" s="86"/>
      <c r="N130" s="86"/>
      <c r="O130" s="86"/>
      <c r="P130" s="86"/>
      <c r="Q130" s="86"/>
      <c r="R130" s="86"/>
      <c r="S130" s="86"/>
      <c r="T130" s="86"/>
      <c r="U130" s="86"/>
      <c r="V130" s="86"/>
      <c r="W130" s="86"/>
      <c r="X130" s="86"/>
      <c r="Y130" s="86"/>
      <c r="Z130" s="86"/>
    </row>
    <row r="131" spans="1:26" ht="15.75" customHeight="1">
      <c r="A131" s="109" t="s">
        <v>1520</v>
      </c>
      <c r="B131" s="13" t="s">
        <v>1521</v>
      </c>
      <c r="C131" s="91" t="s">
        <v>116</v>
      </c>
      <c r="D131" s="91" t="s">
        <v>1899</v>
      </c>
      <c r="E131" s="86"/>
      <c r="F131" s="86"/>
      <c r="G131" s="86"/>
      <c r="H131" s="86"/>
      <c r="I131" s="86"/>
      <c r="J131" s="86"/>
      <c r="K131" s="86"/>
      <c r="L131" s="86"/>
      <c r="M131" s="86"/>
      <c r="N131" s="86"/>
      <c r="O131" s="86"/>
      <c r="P131" s="86"/>
      <c r="Q131" s="86"/>
      <c r="R131" s="86"/>
      <c r="S131" s="86"/>
      <c r="T131" s="86"/>
      <c r="U131" s="86"/>
      <c r="V131" s="86"/>
      <c r="W131" s="86"/>
      <c r="X131" s="86"/>
      <c r="Y131" s="86"/>
      <c r="Z131" s="86"/>
    </row>
    <row r="132" spans="1:26" ht="15.75" customHeight="1">
      <c r="A132" s="109" t="s">
        <v>1402</v>
      </c>
      <c r="B132" s="13" t="s">
        <v>1403</v>
      </c>
      <c r="C132" s="91" t="s">
        <v>1870</v>
      </c>
      <c r="D132" s="91" t="s">
        <v>1900</v>
      </c>
      <c r="E132" s="86"/>
      <c r="F132" s="86"/>
      <c r="G132" s="86"/>
      <c r="H132" s="86"/>
      <c r="I132" s="86"/>
      <c r="J132" s="86"/>
      <c r="K132" s="86"/>
      <c r="L132" s="86"/>
      <c r="M132" s="86"/>
      <c r="N132" s="86"/>
      <c r="O132" s="86"/>
      <c r="P132" s="86"/>
      <c r="Q132" s="86"/>
      <c r="R132" s="86"/>
      <c r="S132" s="86"/>
      <c r="T132" s="86"/>
      <c r="U132" s="86"/>
      <c r="V132" s="86"/>
      <c r="W132" s="86"/>
      <c r="X132" s="86"/>
      <c r="Y132" s="86"/>
      <c r="Z132" s="86"/>
    </row>
    <row r="133" spans="1:26" ht="15.75" customHeight="1">
      <c r="A133" s="109" t="s">
        <v>1562</v>
      </c>
      <c r="B133" s="13" t="s">
        <v>1563</v>
      </c>
      <c r="C133" s="91" t="s">
        <v>1870</v>
      </c>
      <c r="D133" s="91" t="s">
        <v>1901</v>
      </c>
      <c r="E133" s="86"/>
      <c r="F133" s="86"/>
      <c r="G133" s="86"/>
      <c r="H133" s="86"/>
      <c r="I133" s="86"/>
      <c r="J133" s="86"/>
      <c r="K133" s="86"/>
      <c r="L133" s="86"/>
      <c r="M133" s="86"/>
      <c r="N133" s="86"/>
      <c r="O133" s="86"/>
      <c r="P133" s="86"/>
      <c r="Q133" s="86"/>
      <c r="R133" s="86"/>
      <c r="S133" s="86"/>
      <c r="T133" s="86"/>
      <c r="U133" s="86"/>
      <c r="V133" s="86"/>
      <c r="W133" s="86"/>
      <c r="X133" s="86"/>
      <c r="Y133" s="86"/>
      <c r="Z133" s="86"/>
    </row>
    <row r="134" spans="1:26" ht="15.75" customHeight="1">
      <c r="A134" s="109" t="s">
        <v>1570</v>
      </c>
      <c r="B134" s="13" t="s">
        <v>1571</v>
      </c>
      <c r="C134" s="91" t="s">
        <v>1870</v>
      </c>
      <c r="D134" s="91" t="s">
        <v>1902</v>
      </c>
      <c r="E134" s="86"/>
      <c r="F134" s="86"/>
      <c r="G134" s="86"/>
      <c r="H134" s="86"/>
      <c r="I134" s="86"/>
      <c r="J134" s="86"/>
      <c r="K134" s="86"/>
      <c r="L134" s="86"/>
      <c r="M134" s="86"/>
      <c r="N134" s="86"/>
      <c r="O134" s="86"/>
      <c r="P134" s="86"/>
      <c r="Q134" s="86"/>
      <c r="R134" s="86"/>
      <c r="S134" s="86"/>
      <c r="T134" s="86"/>
      <c r="U134" s="86"/>
      <c r="V134" s="86"/>
      <c r="W134" s="86"/>
      <c r="X134" s="86"/>
      <c r="Y134" s="86"/>
      <c r="Z134" s="86"/>
    </row>
    <row r="135" spans="1:26" ht="15.75" customHeight="1">
      <c r="A135" s="109" t="s">
        <v>964</v>
      </c>
      <c r="B135" s="13" t="s">
        <v>965</v>
      </c>
      <c r="C135" s="91" t="s">
        <v>1870</v>
      </c>
      <c r="D135" s="91" t="s">
        <v>1903</v>
      </c>
      <c r="E135" s="86"/>
      <c r="F135" s="86"/>
      <c r="G135" s="86"/>
      <c r="H135" s="86"/>
      <c r="I135" s="86"/>
      <c r="J135" s="86"/>
      <c r="K135" s="86"/>
      <c r="L135" s="86"/>
      <c r="M135" s="86"/>
      <c r="N135" s="86"/>
      <c r="O135" s="86"/>
      <c r="P135" s="86"/>
      <c r="Q135" s="86"/>
      <c r="R135" s="86"/>
      <c r="S135" s="86"/>
      <c r="T135" s="86"/>
      <c r="U135" s="86"/>
      <c r="V135" s="86"/>
      <c r="W135" s="86"/>
      <c r="X135" s="86"/>
      <c r="Y135" s="86"/>
      <c r="Z135" s="86"/>
    </row>
    <row r="136" spans="1:26" ht="15.75" customHeight="1">
      <c r="A136" s="109" t="s">
        <v>1086</v>
      </c>
      <c r="B136" s="13" t="s">
        <v>1087</v>
      </c>
      <c r="C136" s="91" t="s">
        <v>1846</v>
      </c>
      <c r="D136" s="91" t="s">
        <v>1904</v>
      </c>
      <c r="E136" s="86"/>
      <c r="F136" s="86"/>
      <c r="G136" s="86"/>
      <c r="H136" s="86"/>
      <c r="I136" s="86"/>
      <c r="J136" s="86"/>
      <c r="K136" s="86"/>
      <c r="L136" s="86"/>
      <c r="M136" s="86"/>
      <c r="N136" s="86"/>
      <c r="O136" s="86"/>
      <c r="P136" s="86"/>
      <c r="Q136" s="86"/>
      <c r="R136" s="86"/>
      <c r="S136" s="86"/>
      <c r="T136" s="86"/>
      <c r="U136" s="86"/>
      <c r="V136" s="86"/>
      <c r="W136" s="86"/>
      <c r="X136" s="86"/>
      <c r="Y136" s="86"/>
      <c r="Z136" s="86"/>
    </row>
    <row r="137" spans="1:26" ht="15.75" customHeight="1">
      <c r="A137" s="109" t="s">
        <v>1615</v>
      </c>
      <c r="B137" s="13" t="s">
        <v>1616</v>
      </c>
      <c r="C137" s="91" t="s">
        <v>179</v>
      </c>
      <c r="D137" s="91" t="s">
        <v>1905</v>
      </c>
      <c r="E137" s="86"/>
      <c r="F137" s="86"/>
      <c r="G137" s="86"/>
      <c r="H137" s="86"/>
      <c r="I137" s="86"/>
      <c r="J137" s="86"/>
      <c r="K137" s="86"/>
      <c r="L137" s="86"/>
      <c r="M137" s="86"/>
      <c r="N137" s="86"/>
      <c r="O137" s="86"/>
      <c r="P137" s="86"/>
      <c r="Q137" s="86"/>
      <c r="R137" s="86"/>
      <c r="S137" s="86"/>
      <c r="T137" s="86"/>
      <c r="U137" s="86"/>
      <c r="V137" s="86"/>
      <c r="W137" s="86"/>
      <c r="X137" s="86"/>
      <c r="Y137" s="86"/>
      <c r="Z137" s="86"/>
    </row>
    <row r="138" spans="1:26" ht="15.75" customHeight="1">
      <c r="A138" s="86" t="s">
        <v>1906</v>
      </c>
      <c r="B138" s="13" t="s">
        <v>899</v>
      </c>
      <c r="C138" s="86" t="s">
        <v>682</v>
      </c>
      <c r="D138" s="91" t="s">
        <v>1907</v>
      </c>
      <c r="E138" s="86"/>
      <c r="F138" s="86"/>
      <c r="G138" s="86"/>
      <c r="H138" s="86"/>
      <c r="I138" s="86"/>
      <c r="J138" s="86"/>
      <c r="K138" s="86"/>
      <c r="L138" s="86"/>
      <c r="M138" s="86"/>
      <c r="N138" s="86"/>
      <c r="O138" s="86"/>
      <c r="P138" s="86"/>
      <c r="Q138" s="86"/>
      <c r="R138" s="86"/>
      <c r="S138" s="86"/>
      <c r="T138" s="86"/>
      <c r="U138" s="86"/>
      <c r="V138" s="86"/>
      <c r="W138" s="86"/>
      <c r="X138" s="86"/>
      <c r="Y138" s="86"/>
      <c r="Z138" s="86"/>
    </row>
    <row r="139" spans="1:26" ht="15.75" customHeight="1">
      <c r="A139" s="86" t="s">
        <v>1338</v>
      </c>
      <c r="B139" s="13" t="s">
        <v>1339</v>
      </c>
      <c r="C139" s="86" t="s">
        <v>353</v>
      </c>
      <c r="D139" s="91" t="s">
        <v>1908</v>
      </c>
      <c r="E139" s="86"/>
      <c r="F139" s="86"/>
      <c r="G139" s="86"/>
      <c r="H139" s="86"/>
      <c r="I139" s="86"/>
      <c r="J139" s="86"/>
      <c r="K139" s="86"/>
      <c r="L139" s="86"/>
      <c r="M139" s="86"/>
      <c r="N139" s="86"/>
      <c r="O139" s="86"/>
      <c r="P139" s="86"/>
      <c r="Q139" s="86"/>
      <c r="R139" s="86"/>
      <c r="S139" s="86"/>
      <c r="T139" s="86"/>
      <c r="U139" s="86"/>
      <c r="V139" s="86"/>
      <c r="W139" s="86"/>
      <c r="X139" s="86"/>
      <c r="Y139" s="86"/>
      <c r="Z139" s="86"/>
    </row>
    <row r="140" spans="1:26" ht="15.75" customHeight="1">
      <c r="A140" s="109" t="s">
        <v>357</v>
      </c>
      <c r="B140" s="13" t="s">
        <v>358</v>
      </c>
      <c r="C140" s="91" t="s">
        <v>353</v>
      </c>
      <c r="D140" s="91" t="s">
        <v>1909</v>
      </c>
      <c r="E140" s="86"/>
      <c r="F140" s="86"/>
      <c r="G140" s="86"/>
      <c r="H140" s="86"/>
      <c r="I140" s="86"/>
      <c r="J140" s="86"/>
      <c r="K140" s="86"/>
      <c r="L140" s="86"/>
      <c r="M140" s="86"/>
      <c r="N140" s="86"/>
      <c r="O140" s="86"/>
      <c r="P140" s="86"/>
      <c r="Q140" s="86"/>
      <c r="R140" s="86"/>
      <c r="S140" s="86"/>
      <c r="T140" s="86"/>
      <c r="U140" s="86"/>
      <c r="V140" s="86"/>
      <c r="W140" s="86"/>
      <c r="X140" s="86"/>
      <c r="Y140" s="86"/>
      <c r="Z140" s="86"/>
    </row>
    <row r="141" spans="1:26" ht="15.75" customHeight="1">
      <c r="A141" s="3" t="s">
        <v>387</v>
      </c>
      <c r="B141" s="13" t="s">
        <v>388</v>
      </c>
      <c r="C141" s="91" t="s">
        <v>1708</v>
      </c>
      <c r="D141" s="91" t="s">
        <v>1910</v>
      </c>
      <c r="E141" s="86"/>
      <c r="F141" s="86"/>
      <c r="G141" s="86"/>
      <c r="H141" s="86"/>
      <c r="I141" s="86"/>
      <c r="J141" s="86"/>
      <c r="K141" s="86"/>
      <c r="L141" s="86"/>
      <c r="M141" s="86"/>
      <c r="N141" s="86"/>
      <c r="O141" s="86"/>
      <c r="P141" s="86"/>
      <c r="Q141" s="86"/>
      <c r="R141" s="86"/>
      <c r="S141" s="86"/>
      <c r="T141" s="86"/>
      <c r="U141" s="86"/>
      <c r="V141" s="86"/>
      <c r="W141" s="86"/>
      <c r="X141" s="86"/>
      <c r="Y141" s="86"/>
      <c r="Z141" s="86"/>
    </row>
    <row r="142" spans="1:26" ht="15.75" customHeight="1">
      <c r="A142" s="109" t="s">
        <v>451</v>
      </c>
      <c r="B142" s="13" t="s">
        <v>452</v>
      </c>
      <c r="C142" s="91" t="s">
        <v>629</v>
      </c>
      <c r="D142" s="91" t="s">
        <v>1911</v>
      </c>
      <c r="E142" s="86"/>
      <c r="F142" s="86"/>
      <c r="G142" s="86"/>
      <c r="H142" s="86"/>
      <c r="I142" s="86"/>
      <c r="J142" s="86"/>
      <c r="K142" s="86"/>
      <c r="L142" s="86"/>
      <c r="M142" s="86"/>
      <c r="N142" s="86"/>
      <c r="O142" s="86"/>
      <c r="P142" s="86"/>
      <c r="Q142" s="86"/>
      <c r="R142" s="86"/>
      <c r="S142" s="86"/>
      <c r="T142" s="86"/>
      <c r="U142" s="86"/>
      <c r="V142" s="86"/>
      <c r="W142" s="86"/>
      <c r="X142" s="86"/>
      <c r="Y142" s="86"/>
      <c r="Z142" s="86"/>
    </row>
    <row r="143" spans="1:26" ht="15.75" customHeight="1">
      <c r="A143" s="11" t="s">
        <v>1540</v>
      </c>
      <c r="B143" s="13" t="s">
        <v>1541</v>
      </c>
      <c r="C143" s="91" t="s">
        <v>116</v>
      </c>
      <c r="D143" s="91" t="s">
        <v>1912</v>
      </c>
      <c r="E143" s="86"/>
      <c r="F143" s="86"/>
      <c r="G143" s="86"/>
      <c r="H143" s="86"/>
      <c r="I143" s="86"/>
      <c r="J143" s="86"/>
      <c r="K143" s="86"/>
      <c r="L143" s="86"/>
      <c r="M143" s="86"/>
      <c r="N143" s="86"/>
      <c r="O143" s="86"/>
      <c r="P143" s="86"/>
      <c r="Q143" s="86"/>
      <c r="R143" s="86"/>
      <c r="S143" s="86"/>
      <c r="T143" s="86"/>
      <c r="U143" s="86"/>
      <c r="V143" s="86"/>
      <c r="W143" s="86"/>
      <c r="X143" s="86"/>
      <c r="Y143" s="86"/>
      <c r="Z143" s="86"/>
    </row>
    <row r="144" spans="1:26" ht="15.75" customHeight="1">
      <c r="A144" s="11" t="s">
        <v>1524</v>
      </c>
      <c r="B144" s="13" t="s">
        <v>1525</v>
      </c>
      <c r="C144" s="91" t="s">
        <v>116</v>
      </c>
      <c r="D144" s="91" t="s">
        <v>1913</v>
      </c>
      <c r="E144" s="86"/>
      <c r="F144" s="86"/>
      <c r="G144" s="86"/>
      <c r="H144" s="86"/>
      <c r="I144" s="86"/>
      <c r="J144" s="86"/>
      <c r="K144" s="86"/>
      <c r="L144" s="86"/>
      <c r="M144" s="86"/>
      <c r="N144" s="86"/>
      <c r="O144" s="86"/>
      <c r="P144" s="86"/>
      <c r="Q144" s="86"/>
      <c r="R144" s="86"/>
      <c r="S144" s="86"/>
      <c r="T144" s="86"/>
      <c r="U144" s="86"/>
      <c r="V144" s="86"/>
      <c r="W144" s="86"/>
      <c r="X144" s="86"/>
      <c r="Y144" s="86"/>
      <c r="Z144" s="86"/>
    </row>
    <row r="145" spans="1:26" ht="15.75" customHeight="1">
      <c r="A145" s="86" t="s">
        <v>751</v>
      </c>
      <c r="B145" s="13" t="s">
        <v>752</v>
      </c>
      <c r="C145" s="91" t="s">
        <v>1870</v>
      </c>
      <c r="D145" s="91" t="s">
        <v>1914</v>
      </c>
      <c r="E145" s="86"/>
      <c r="F145" s="86"/>
      <c r="G145" s="86"/>
      <c r="H145" s="86"/>
      <c r="I145" s="86"/>
      <c r="J145" s="86"/>
      <c r="K145" s="86"/>
      <c r="L145" s="86"/>
      <c r="M145" s="86"/>
      <c r="N145" s="86"/>
      <c r="O145" s="86"/>
      <c r="P145" s="86"/>
      <c r="Q145" s="86"/>
      <c r="R145" s="86"/>
      <c r="S145" s="86"/>
      <c r="T145" s="86"/>
      <c r="U145" s="86"/>
      <c r="V145" s="86"/>
      <c r="W145" s="86"/>
      <c r="X145" s="86"/>
      <c r="Y145" s="86"/>
      <c r="Z145" s="86"/>
    </row>
    <row r="146" spans="1:26" ht="15.75" customHeight="1">
      <c r="A146" s="86" t="s">
        <v>1055</v>
      </c>
      <c r="B146" s="13" t="s">
        <v>1056</v>
      </c>
      <c r="C146" s="91" t="s">
        <v>179</v>
      </c>
      <c r="D146" s="89" t="s">
        <v>1915</v>
      </c>
      <c r="E146" s="86"/>
      <c r="F146" s="86"/>
      <c r="G146" s="86"/>
      <c r="H146" s="86"/>
      <c r="I146" s="86"/>
      <c r="J146" s="86"/>
      <c r="K146" s="86"/>
      <c r="L146" s="86"/>
      <c r="M146" s="86"/>
      <c r="N146" s="86"/>
      <c r="O146" s="86"/>
      <c r="P146" s="86"/>
      <c r="Q146" s="86"/>
      <c r="R146" s="86"/>
      <c r="S146" s="86"/>
      <c r="T146" s="86"/>
      <c r="U146" s="86"/>
      <c r="V146" s="86"/>
      <c r="W146" s="86"/>
      <c r="X146" s="86"/>
      <c r="Y146" s="86"/>
      <c r="Z146" s="86"/>
    </row>
    <row r="147" spans="1:26" ht="15.75" customHeight="1">
      <c r="A147" s="109" t="s">
        <v>359</v>
      </c>
      <c r="B147" s="13" t="s">
        <v>360</v>
      </c>
      <c r="C147" s="91" t="s">
        <v>353</v>
      </c>
      <c r="D147" s="91" t="s">
        <v>1916</v>
      </c>
      <c r="E147" s="86"/>
      <c r="F147" s="86"/>
      <c r="G147" s="86"/>
      <c r="H147" s="86"/>
      <c r="I147" s="86"/>
      <c r="J147" s="86"/>
      <c r="K147" s="86"/>
      <c r="L147" s="86"/>
      <c r="M147" s="86"/>
      <c r="N147" s="86"/>
      <c r="O147" s="86"/>
      <c r="P147" s="86"/>
      <c r="Q147" s="86"/>
      <c r="R147" s="86"/>
      <c r="S147" s="86"/>
      <c r="T147" s="86"/>
      <c r="U147" s="86"/>
      <c r="V147" s="86"/>
      <c r="W147" s="86"/>
      <c r="X147" s="86"/>
      <c r="Y147" s="86"/>
      <c r="Z147" s="86"/>
    </row>
    <row r="148" spans="1:26" ht="15.75" customHeight="1">
      <c r="A148" s="86" t="s">
        <v>1511</v>
      </c>
      <c r="B148" s="13" t="s">
        <v>1512</v>
      </c>
      <c r="C148" s="86" t="s">
        <v>353</v>
      </c>
      <c r="D148" s="112" t="s">
        <v>1917</v>
      </c>
      <c r="E148" s="86"/>
      <c r="F148" s="86"/>
      <c r="G148" s="86"/>
      <c r="H148" s="86"/>
      <c r="I148" s="86"/>
      <c r="J148" s="86"/>
      <c r="K148" s="86"/>
      <c r="L148" s="86"/>
      <c r="M148" s="86"/>
      <c r="N148" s="86"/>
      <c r="O148" s="86"/>
      <c r="P148" s="86"/>
      <c r="Q148" s="86"/>
      <c r="R148" s="86"/>
      <c r="S148" s="86"/>
      <c r="T148" s="86"/>
      <c r="U148" s="86"/>
      <c r="V148" s="86"/>
      <c r="W148" s="86"/>
      <c r="X148" s="86"/>
      <c r="Y148" s="86"/>
      <c r="Z148" s="86"/>
    </row>
    <row r="149" spans="1:26" ht="15.75" customHeight="1">
      <c r="A149" s="86" t="s">
        <v>379</v>
      </c>
      <c r="B149" s="13" t="s">
        <v>380</v>
      </c>
      <c r="C149" s="91" t="s">
        <v>107</v>
      </c>
      <c r="D149" s="91" t="s">
        <v>1918</v>
      </c>
      <c r="E149" s="86"/>
      <c r="F149" s="86"/>
      <c r="G149" s="86"/>
      <c r="H149" s="86"/>
      <c r="I149" s="86"/>
      <c r="J149" s="86"/>
      <c r="K149" s="86"/>
      <c r="L149" s="86"/>
      <c r="M149" s="86"/>
      <c r="N149" s="86"/>
      <c r="O149" s="86"/>
      <c r="P149" s="86"/>
      <c r="Q149" s="86"/>
      <c r="R149" s="86"/>
      <c r="S149" s="86"/>
      <c r="T149" s="86"/>
      <c r="U149" s="86"/>
      <c r="V149" s="86"/>
      <c r="W149" s="86"/>
      <c r="X149" s="86"/>
      <c r="Y149" s="86"/>
      <c r="Z149" s="86"/>
    </row>
    <row r="150" spans="1:26" ht="15.75" customHeight="1">
      <c r="A150" s="89" t="s">
        <v>509</v>
      </c>
      <c r="B150" s="13" t="s">
        <v>483</v>
      </c>
      <c r="C150" s="89" t="s">
        <v>1708</v>
      </c>
      <c r="D150" s="112" t="s">
        <v>1919</v>
      </c>
      <c r="E150" s="89"/>
      <c r="F150" s="89"/>
      <c r="G150" s="89"/>
      <c r="H150" s="89"/>
      <c r="I150" s="89"/>
      <c r="J150" s="89"/>
      <c r="K150" s="89"/>
      <c r="L150" s="89"/>
      <c r="M150" s="89"/>
      <c r="N150" s="89"/>
      <c r="O150" s="89"/>
      <c r="P150" s="89"/>
      <c r="Q150" s="89"/>
      <c r="R150" s="89"/>
      <c r="S150" s="89"/>
      <c r="T150" s="89"/>
      <c r="U150" s="89"/>
      <c r="V150" s="89"/>
      <c r="W150" s="89"/>
      <c r="X150" s="89"/>
      <c r="Y150" s="89"/>
      <c r="Z150" s="89"/>
    </row>
    <row r="151" spans="1:26" ht="15.75" customHeight="1">
      <c r="A151" s="109" t="s">
        <v>251</v>
      </c>
      <c r="B151" s="13" t="s">
        <v>254</v>
      </c>
      <c r="C151" s="91" t="s">
        <v>1708</v>
      </c>
      <c r="D151" s="91" t="s">
        <v>1920</v>
      </c>
      <c r="E151" s="86"/>
      <c r="F151" s="86"/>
      <c r="G151" s="86"/>
      <c r="H151" s="86"/>
      <c r="I151" s="86"/>
      <c r="J151" s="86"/>
      <c r="K151" s="86"/>
      <c r="L151" s="86"/>
      <c r="M151" s="86"/>
      <c r="N151" s="86"/>
      <c r="O151" s="86"/>
      <c r="P151" s="86"/>
      <c r="Q151" s="86"/>
      <c r="R151" s="86"/>
      <c r="S151" s="86"/>
      <c r="T151" s="86"/>
      <c r="U151" s="86"/>
      <c r="V151" s="86"/>
      <c r="W151" s="86"/>
      <c r="X151" s="86"/>
      <c r="Y151" s="86"/>
      <c r="Z151" s="86"/>
    </row>
    <row r="152" spans="1:26" ht="15.75" customHeight="1">
      <c r="A152" s="109" t="s">
        <v>1415</v>
      </c>
      <c r="B152" s="13" t="s">
        <v>1416</v>
      </c>
      <c r="C152" s="91" t="s">
        <v>1763</v>
      </c>
      <c r="D152" s="91" t="s">
        <v>1921</v>
      </c>
      <c r="E152" s="86"/>
      <c r="F152" s="86"/>
      <c r="G152" s="86"/>
      <c r="H152" s="86"/>
      <c r="I152" s="86"/>
      <c r="J152" s="86"/>
      <c r="K152" s="86"/>
      <c r="L152" s="86"/>
      <c r="M152" s="86"/>
      <c r="N152" s="86"/>
      <c r="O152" s="86"/>
      <c r="P152" s="86"/>
      <c r="Q152" s="86"/>
      <c r="R152" s="86"/>
      <c r="S152" s="86"/>
      <c r="T152" s="86"/>
      <c r="U152" s="86"/>
      <c r="V152" s="86"/>
      <c r="W152" s="86"/>
      <c r="X152" s="86"/>
      <c r="Y152" s="86"/>
      <c r="Z152" s="86"/>
    </row>
    <row r="153" spans="1:26" ht="15.75" customHeight="1">
      <c r="A153" s="86" t="s">
        <v>1406</v>
      </c>
      <c r="B153" s="13" t="s">
        <v>1407</v>
      </c>
      <c r="C153" s="91" t="s">
        <v>1870</v>
      </c>
      <c r="D153" s="91" t="s">
        <v>1922</v>
      </c>
      <c r="E153" s="114"/>
      <c r="F153" s="86"/>
      <c r="G153" s="86"/>
      <c r="H153" s="86"/>
      <c r="I153" s="86"/>
      <c r="J153" s="86"/>
      <c r="K153" s="86"/>
      <c r="L153" s="86"/>
      <c r="M153" s="86"/>
      <c r="N153" s="86"/>
      <c r="O153" s="86"/>
      <c r="P153" s="86"/>
      <c r="Q153" s="86"/>
      <c r="R153" s="86"/>
      <c r="S153" s="86"/>
      <c r="T153" s="86"/>
      <c r="U153" s="86"/>
      <c r="V153" s="86"/>
      <c r="W153" s="86"/>
      <c r="X153" s="86"/>
      <c r="Y153" s="86"/>
      <c r="Z153" s="86"/>
    </row>
    <row r="154" spans="1:26" ht="15.75" customHeight="1">
      <c r="A154" s="86" t="s">
        <v>1183</v>
      </c>
      <c r="B154" s="13" t="s">
        <v>1449</v>
      </c>
      <c r="C154" s="91" t="s">
        <v>1870</v>
      </c>
      <c r="D154" s="91" t="s">
        <v>1923</v>
      </c>
      <c r="E154" s="86"/>
      <c r="F154" s="86"/>
      <c r="G154" s="86"/>
      <c r="H154" s="86"/>
      <c r="I154" s="86"/>
      <c r="J154" s="86"/>
      <c r="K154" s="86"/>
      <c r="L154" s="86"/>
      <c r="M154" s="86"/>
      <c r="N154" s="86"/>
      <c r="O154" s="86"/>
      <c r="P154" s="86"/>
      <c r="Q154" s="86"/>
      <c r="R154" s="86"/>
      <c r="S154" s="86"/>
      <c r="T154" s="86"/>
      <c r="U154" s="86"/>
      <c r="V154" s="86"/>
      <c r="W154" s="86"/>
      <c r="X154" s="86"/>
      <c r="Y154" s="86"/>
      <c r="Z154" s="86"/>
    </row>
    <row r="155" spans="1:26" ht="15.75" customHeight="1">
      <c r="A155" s="86" t="s">
        <v>1404</v>
      </c>
      <c r="B155" s="115" t="s">
        <v>1405</v>
      </c>
      <c r="C155" s="114" t="s">
        <v>1870</v>
      </c>
      <c r="D155" s="114" t="s">
        <v>1924</v>
      </c>
      <c r="E155" s="86"/>
      <c r="F155" s="86"/>
      <c r="G155" s="86"/>
      <c r="H155" s="86"/>
      <c r="I155" s="86"/>
      <c r="J155" s="86"/>
      <c r="K155" s="86"/>
      <c r="L155" s="86"/>
      <c r="M155" s="86"/>
      <c r="N155" s="86"/>
      <c r="O155" s="86"/>
      <c r="P155" s="86"/>
      <c r="Q155" s="86"/>
      <c r="R155" s="86"/>
      <c r="S155" s="86"/>
      <c r="T155" s="86"/>
      <c r="U155" s="86"/>
      <c r="V155" s="86"/>
      <c r="W155" s="86"/>
      <c r="X155" s="86"/>
      <c r="Y155" s="86"/>
      <c r="Z155" s="86"/>
    </row>
    <row r="156" spans="1:26" ht="15.75" customHeight="1">
      <c r="A156" s="109" t="s">
        <v>564</v>
      </c>
      <c r="B156" s="13" t="s">
        <v>565</v>
      </c>
      <c r="C156" s="91" t="s">
        <v>557</v>
      </c>
      <c r="D156" s="91" t="s">
        <v>1925</v>
      </c>
      <c r="E156" s="86"/>
      <c r="F156" s="86"/>
      <c r="G156" s="86"/>
      <c r="H156" s="86"/>
      <c r="I156" s="86"/>
      <c r="J156" s="86"/>
      <c r="K156" s="86"/>
      <c r="L156" s="86"/>
      <c r="M156" s="86"/>
      <c r="N156" s="86"/>
      <c r="O156" s="86"/>
      <c r="P156" s="86"/>
      <c r="Q156" s="86"/>
      <c r="R156" s="86"/>
      <c r="S156" s="86"/>
      <c r="T156" s="86"/>
      <c r="U156" s="86"/>
      <c r="V156" s="86"/>
      <c r="W156" s="86"/>
      <c r="X156" s="86"/>
      <c r="Y156" s="86"/>
      <c r="Z156" s="86"/>
    </row>
    <row r="157" spans="1:26" ht="15.75" customHeight="1">
      <c r="A157" s="109" t="s">
        <v>820</v>
      </c>
      <c r="B157" s="13" t="s">
        <v>821</v>
      </c>
      <c r="C157" s="91" t="s">
        <v>179</v>
      </c>
      <c r="D157" s="91" t="s">
        <v>1926</v>
      </c>
      <c r="E157" s="86"/>
      <c r="F157" s="86"/>
      <c r="G157" s="86"/>
      <c r="H157" s="86"/>
      <c r="I157" s="86"/>
      <c r="J157" s="86"/>
      <c r="K157" s="86"/>
      <c r="L157" s="86"/>
      <c r="M157" s="86"/>
      <c r="N157" s="86"/>
      <c r="O157" s="86"/>
      <c r="P157" s="86"/>
      <c r="Q157" s="86"/>
      <c r="R157" s="86"/>
      <c r="S157" s="86"/>
      <c r="T157" s="86"/>
      <c r="U157" s="86"/>
      <c r="V157" s="86"/>
      <c r="W157" s="86"/>
      <c r="X157" s="86"/>
      <c r="Y157" s="86"/>
      <c r="Z157" s="86"/>
    </row>
    <row r="158" spans="1:26" ht="15.75" customHeight="1">
      <c r="A158" s="86" t="s">
        <v>1063</v>
      </c>
      <c r="B158" s="13" t="s">
        <v>1064</v>
      </c>
      <c r="C158" s="91" t="s">
        <v>179</v>
      </c>
      <c r="D158" s="89" t="s">
        <v>1927</v>
      </c>
      <c r="E158" s="86"/>
      <c r="F158" s="86"/>
      <c r="G158" s="86"/>
      <c r="H158" s="86"/>
      <c r="I158" s="86"/>
      <c r="J158" s="86"/>
      <c r="K158" s="86"/>
      <c r="L158" s="86"/>
      <c r="M158" s="86"/>
      <c r="N158" s="86"/>
      <c r="O158" s="86"/>
      <c r="P158" s="86"/>
      <c r="Q158" s="86"/>
      <c r="R158" s="86"/>
      <c r="S158" s="86"/>
      <c r="T158" s="86"/>
      <c r="U158" s="86"/>
      <c r="V158" s="86"/>
      <c r="W158" s="86"/>
      <c r="X158" s="86"/>
      <c r="Y158" s="86"/>
      <c r="Z158" s="86"/>
    </row>
    <row r="159" spans="1:26" ht="15.75" customHeight="1">
      <c r="A159" s="109" t="s">
        <v>243</v>
      </c>
      <c r="B159" s="13" t="s">
        <v>244</v>
      </c>
      <c r="C159" s="91" t="s">
        <v>236</v>
      </c>
      <c r="D159" s="91" t="s">
        <v>1928</v>
      </c>
      <c r="E159" s="86"/>
      <c r="F159" s="86"/>
      <c r="G159" s="86"/>
      <c r="H159" s="86"/>
      <c r="I159" s="86"/>
      <c r="J159" s="86"/>
      <c r="K159" s="86"/>
      <c r="L159" s="86"/>
      <c r="M159" s="86"/>
      <c r="N159" s="86"/>
      <c r="O159" s="86"/>
      <c r="P159" s="86"/>
      <c r="Q159" s="86"/>
      <c r="R159" s="86"/>
      <c r="S159" s="86"/>
      <c r="T159" s="86"/>
      <c r="U159" s="86"/>
      <c r="V159" s="86"/>
      <c r="W159" s="86"/>
      <c r="X159" s="86"/>
      <c r="Y159" s="86"/>
      <c r="Z159" s="86"/>
    </row>
    <row r="160" spans="1:26" ht="15.75" customHeight="1">
      <c r="A160" s="86" t="s">
        <v>1319</v>
      </c>
      <c r="B160" s="13" t="s">
        <v>1320</v>
      </c>
      <c r="C160" s="86" t="s">
        <v>353</v>
      </c>
      <c r="D160" s="112" t="s">
        <v>1929</v>
      </c>
      <c r="E160" s="86"/>
      <c r="F160" s="86"/>
      <c r="G160" s="86"/>
      <c r="H160" s="86"/>
      <c r="I160" s="86"/>
      <c r="J160" s="86"/>
      <c r="K160" s="86"/>
      <c r="L160" s="86"/>
      <c r="M160" s="86"/>
      <c r="N160" s="86"/>
      <c r="O160" s="86"/>
      <c r="P160" s="86"/>
      <c r="Q160" s="86"/>
      <c r="R160" s="86"/>
      <c r="S160" s="86"/>
      <c r="T160" s="86"/>
      <c r="U160" s="86"/>
      <c r="V160" s="86"/>
      <c r="W160" s="86"/>
      <c r="X160" s="86"/>
      <c r="Y160" s="86"/>
      <c r="Z160" s="86"/>
    </row>
    <row r="161" spans="1:26" ht="15.75" customHeight="1">
      <c r="A161" s="86" t="s">
        <v>371</v>
      </c>
      <c r="B161" s="13" t="s">
        <v>372</v>
      </c>
      <c r="C161" s="86" t="s">
        <v>374</v>
      </c>
      <c r="D161" s="112" t="s">
        <v>1930</v>
      </c>
      <c r="E161" s="86"/>
      <c r="F161" s="86"/>
      <c r="G161" s="86"/>
      <c r="H161" s="86"/>
      <c r="I161" s="86"/>
      <c r="J161" s="86"/>
      <c r="K161" s="86"/>
      <c r="L161" s="86"/>
      <c r="M161" s="86"/>
      <c r="N161" s="86"/>
      <c r="O161" s="86"/>
      <c r="P161" s="86"/>
      <c r="Q161" s="86"/>
      <c r="R161" s="86"/>
      <c r="S161" s="86"/>
      <c r="T161" s="86"/>
      <c r="U161" s="86"/>
      <c r="V161" s="86"/>
      <c r="W161" s="86"/>
      <c r="X161" s="86"/>
      <c r="Y161" s="86"/>
      <c r="Z161" s="86"/>
    </row>
    <row r="162" spans="1:26" ht="15.75" customHeight="1">
      <c r="A162" s="3" t="s">
        <v>169</v>
      </c>
      <c r="B162" s="13" t="s">
        <v>170</v>
      </c>
      <c r="C162" s="91" t="s">
        <v>1708</v>
      </c>
      <c r="D162" s="91" t="s">
        <v>1931</v>
      </c>
      <c r="E162" s="86"/>
      <c r="F162" s="86"/>
      <c r="G162" s="86"/>
      <c r="H162" s="86"/>
      <c r="I162" s="86"/>
      <c r="J162" s="86"/>
      <c r="K162" s="86"/>
      <c r="L162" s="86"/>
      <c r="M162" s="86"/>
      <c r="N162" s="86"/>
      <c r="O162" s="86"/>
      <c r="P162" s="86"/>
      <c r="Q162" s="86"/>
      <c r="R162" s="86"/>
      <c r="S162" s="86"/>
      <c r="T162" s="86"/>
      <c r="U162" s="86"/>
      <c r="V162" s="86"/>
      <c r="W162" s="86"/>
      <c r="X162" s="86"/>
      <c r="Y162" s="86"/>
      <c r="Z162" s="86"/>
    </row>
    <row r="163" spans="1:26" ht="15.75" customHeight="1">
      <c r="A163" s="109" t="s">
        <v>970</v>
      </c>
      <c r="B163" s="13" t="s">
        <v>971</v>
      </c>
      <c r="C163" s="91" t="s">
        <v>1870</v>
      </c>
      <c r="D163" s="91" t="s">
        <v>1932</v>
      </c>
      <c r="E163" s="86"/>
      <c r="F163" s="86"/>
      <c r="G163" s="86"/>
      <c r="H163" s="86"/>
      <c r="I163" s="86"/>
      <c r="J163" s="86"/>
      <c r="K163" s="86"/>
      <c r="L163" s="86"/>
      <c r="M163" s="86"/>
      <c r="N163" s="86"/>
      <c r="O163" s="86"/>
      <c r="P163" s="86"/>
      <c r="Q163" s="86"/>
      <c r="R163" s="86"/>
      <c r="S163" s="86"/>
      <c r="T163" s="86"/>
      <c r="U163" s="86"/>
      <c r="V163" s="86"/>
      <c r="W163" s="86"/>
      <c r="X163" s="86"/>
      <c r="Y163" s="86"/>
      <c r="Z163" s="86"/>
    </row>
    <row r="164" spans="1:26" ht="15.75" customHeight="1">
      <c r="A164" s="86" t="s">
        <v>1186</v>
      </c>
      <c r="B164" s="13" t="s">
        <v>1187</v>
      </c>
      <c r="C164" s="91" t="s">
        <v>1870</v>
      </c>
      <c r="D164" s="91" t="s">
        <v>1933</v>
      </c>
      <c r="E164" s="86"/>
      <c r="F164" s="86"/>
      <c r="G164" s="86"/>
      <c r="H164" s="86"/>
      <c r="I164" s="86"/>
      <c r="J164" s="86"/>
      <c r="K164" s="86"/>
      <c r="L164" s="86"/>
      <c r="M164" s="86"/>
      <c r="N164" s="86"/>
      <c r="O164" s="86"/>
      <c r="P164" s="86"/>
      <c r="Q164" s="86"/>
      <c r="R164" s="86"/>
      <c r="S164" s="86"/>
      <c r="T164" s="86"/>
      <c r="U164" s="86"/>
      <c r="V164" s="86"/>
      <c r="W164" s="86"/>
      <c r="X164" s="86"/>
      <c r="Y164" s="86"/>
      <c r="Z164" s="86"/>
    </row>
    <row r="165" spans="1:26" ht="15.75" customHeight="1">
      <c r="A165" s="86" t="s">
        <v>747</v>
      </c>
      <c r="B165" s="13" t="s">
        <v>748</v>
      </c>
      <c r="C165" s="91" t="s">
        <v>1870</v>
      </c>
      <c r="D165" s="91" t="s">
        <v>1934</v>
      </c>
      <c r="E165" s="86"/>
      <c r="F165" s="86"/>
      <c r="G165" s="86"/>
      <c r="H165" s="86"/>
      <c r="I165" s="86"/>
      <c r="J165" s="86"/>
      <c r="K165" s="86"/>
      <c r="L165" s="86"/>
      <c r="M165" s="86"/>
      <c r="N165" s="86"/>
      <c r="O165" s="86"/>
      <c r="P165" s="86"/>
      <c r="Q165" s="86"/>
      <c r="R165" s="86"/>
      <c r="S165" s="86"/>
      <c r="T165" s="86"/>
      <c r="U165" s="86"/>
      <c r="V165" s="86"/>
      <c r="W165" s="86"/>
      <c r="X165" s="86"/>
      <c r="Y165" s="86"/>
      <c r="Z165" s="86"/>
    </row>
    <row r="166" spans="1:26" ht="15.75" customHeight="1">
      <c r="A166" s="109" t="s">
        <v>1658</v>
      </c>
      <c r="B166" s="13" t="s">
        <v>1659</v>
      </c>
      <c r="C166" s="91" t="s">
        <v>1870</v>
      </c>
      <c r="D166" s="91" t="s">
        <v>1935</v>
      </c>
      <c r="E166" s="86"/>
      <c r="F166" s="86"/>
      <c r="G166" s="86"/>
      <c r="H166" s="86"/>
      <c r="I166" s="86"/>
      <c r="J166" s="86"/>
      <c r="K166" s="86"/>
      <c r="L166" s="86"/>
      <c r="M166" s="86"/>
      <c r="N166" s="86"/>
      <c r="O166" s="86"/>
      <c r="P166" s="86"/>
      <c r="Q166" s="86"/>
      <c r="R166" s="86"/>
      <c r="S166" s="86"/>
      <c r="T166" s="86"/>
      <c r="U166" s="86"/>
      <c r="V166" s="86"/>
      <c r="W166" s="86"/>
      <c r="X166" s="86"/>
      <c r="Y166" s="86"/>
      <c r="Z166" s="86"/>
    </row>
    <row r="167" spans="1:26" ht="15.75" customHeight="1">
      <c r="A167" s="109" t="s">
        <v>967</v>
      </c>
      <c r="B167" s="13" t="s">
        <v>968</v>
      </c>
      <c r="C167" s="91" t="s">
        <v>1870</v>
      </c>
      <c r="D167" s="91" t="s">
        <v>1936</v>
      </c>
      <c r="E167" s="86"/>
      <c r="F167" s="86"/>
      <c r="G167" s="86"/>
      <c r="H167" s="86"/>
      <c r="I167" s="86"/>
      <c r="J167" s="86"/>
      <c r="K167" s="86"/>
      <c r="L167" s="86"/>
      <c r="M167" s="86"/>
      <c r="N167" s="86"/>
      <c r="O167" s="86"/>
      <c r="P167" s="86"/>
      <c r="Q167" s="86"/>
      <c r="R167" s="86"/>
      <c r="S167" s="86"/>
      <c r="T167" s="86"/>
      <c r="U167" s="86"/>
      <c r="V167" s="86"/>
      <c r="W167" s="86"/>
      <c r="X167" s="86"/>
      <c r="Y167" s="86"/>
      <c r="Z167" s="86"/>
    </row>
    <row r="168" spans="1:26" ht="15.75" customHeight="1">
      <c r="A168" s="86" t="s">
        <v>1661</v>
      </c>
      <c r="B168" s="13" t="s">
        <v>1662</v>
      </c>
      <c r="C168" s="91" t="s">
        <v>1870</v>
      </c>
      <c r="D168" s="91" t="s">
        <v>1937</v>
      </c>
      <c r="E168" s="86"/>
      <c r="F168" s="86"/>
      <c r="G168" s="86"/>
      <c r="H168" s="86"/>
      <c r="I168" s="86"/>
      <c r="J168" s="86"/>
      <c r="K168" s="86"/>
      <c r="L168" s="86"/>
      <c r="M168" s="86"/>
      <c r="N168" s="86"/>
      <c r="O168" s="86"/>
      <c r="P168" s="86"/>
      <c r="Q168" s="86"/>
      <c r="R168" s="86"/>
      <c r="S168" s="86"/>
      <c r="T168" s="86"/>
      <c r="U168" s="86"/>
      <c r="V168" s="86"/>
      <c r="W168" s="86"/>
      <c r="X168" s="86"/>
      <c r="Y168" s="86"/>
      <c r="Z168" s="86"/>
    </row>
    <row r="169" spans="1:26" ht="15.75" customHeight="1">
      <c r="A169" s="109" t="s">
        <v>1578</v>
      </c>
      <c r="B169" s="13" t="s">
        <v>1579</v>
      </c>
      <c r="C169" s="91" t="s">
        <v>1870</v>
      </c>
      <c r="D169" s="91" t="s">
        <v>1938</v>
      </c>
      <c r="E169" s="86"/>
      <c r="F169" s="86"/>
      <c r="G169" s="86"/>
      <c r="H169" s="86"/>
      <c r="I169" s="86"/>
      <c r="J169" s="86"/>
      <c r="K169" s="86"/>
      <c r="L169" s="86"/>
      <c r="M169" s="86"/>
      <c r="N169" s="86"/>
      <c r="O169" s="86"/>
      <c r="P169" s="86"/>
      <c r="Q169" s="86"/>
      <c r="R169" s="86"/>
      <c r="S169" s="86"/>
      <c r="T169" s="86"/>
      <c r="U169" s="86"/>
      <c r="V169" s="86"/>
      <c r="W169" s="86"/>
      <c r="X169" s="86"/>
      <c r="Y169" s="86"/>
      <c r="Z169" s="86"/>
    </row>
    <row r="170" spans="1:26" ht="15.75" customHeight="1">
      <c r="A170" s="109" t="s">
        <v>826</v>
      </c>
      <c r="B170" s="13" t="s">
        <v>827</v>
      </c>
      <c r="C170" s="91" t="s">
        <v>179</v>
      </c>
      <c r="D170" s="91" t="s">
        <v>1939</v>
      </c>
      <c r="E170" s="86"/>
      <c r="F170" s="86"/>
      <c r="G170" s="86"/>
      <c r="H170" s="86"/>
      <c r="I170" s="86"/>
      <c r="J170" s="86"/>
      <c r="K170" s="86"/>
      <c r="L170" s="86"/>
      <c r="M170" s="86"/>
      <c r="N170" s="86"/>
      <c r="O170" s="86"/>
      <c r="P170" s="86"/>
      <c r="Q170" s="86"/>
      <c r="R170" s="86"/>
      <c r="S170" s="86"/>
      <c r="T170" s="86"/>
      <c r="U170" s="86"/>
      <c r="V170" s="86"/>
      <c r="W170" s="86"/>
      <c r="X170" s="86"/>
      <c r="Y170" s="86"/>
      <c r="Z170" s="86"/>
    </row>
    <row r="171" spans="1:26" ht="15.75" customHeight="1">
      <c r="A171" s="86" t="s">
        <v>1066</v>
      </c>
      <c r="B171" s="13" t="s">
        <v>1067</v>
      </c>
      <c r="C171" s="91" t="s">
        <v>179</v>
      </c>
      <c r="D171" s="89" t="s">
        <v>1940</v>
      </c>
      <c r="E171" s="86"/>
      <c r="F171" s="86"/>
      <c r="G171" s="86"/>
      <c r="H171" s="86"/>
      <c r="I171" s="86"/>
      <c r="J171" s="86"/>
      <c r="K171" s="86"/>
      <c r="L171" s="86"/>
      <c r="M171" s="86"/>
      <c r="N171" s="86"/>
      <c r="O171" s="86"/>
      <c r="P171" s="86"/>
      <c r="Q171" s="86"/>
      <c r="R171" s="86"/>
      <c r="S171" s="86"/>
      <c r="T171" s="86"/>
      <c r="U171" s="86"/>
      <c r="V171" s="86"/>
      <c r="W171" s="86"/>
      <c r="X171" s="86"/>
      <c r="Y171" s="86"/>
      <c r="Z171" s="86"/>
    </row>
    <row r="172" spans="1:26" ht="15.75" customHeight="1">
      <c r="A172" s="86" t="s">
        <v>1495</v>
      </c>
      <c r="B172" s="13" t="s">
        <v>1496</v>
      </c>
      <c r="C172" s="86" t="s">
        <v>682</v>
      </c>
      <c r="D172" s="91" t="s">
        <v>1941</v>
      </c>
      <c r="E172" s="86"/>
      <c r="F172" s="86"/>
      <c r="G172" s="86"/>
      <c r="H172" s="86"/>
      <c r="I172" s="86"/>
      <c r="J172" s="86"/>
      <c r="K172" s="86"/>
      <c r="L172" s="86"/>
      <c r="M172" s="86"/>
      <c r="N172" s="86"/>
      <c r="O172" s="86"/>
      <c r="P172" s="86"/>
      <c r="Q172" s="86"/>
      <c r="R172" s="86"/>
      <c r="S172" s="86"/>
      <c r="T172" s="86"/>
      <c r="U172" s="86"/>
      <c r="V172" s="86"/>
      <c r="W172" s="86"/>
      <c r="X172" s="86"/>
      <c r="Y172" s="86"/>
      <c r="Z172" s="86"/>
    </row>
    <row r="173" spans="1:26" ht="15.75" customHeight="1">
      <c r="A173" s="109" t="s">
        <v>361</v>
      </c>
      <c r="B173" s="13" t="s">
        <v>362</v>
      </c>
      <c r="C173" s="91" t="s">
        <v>353</v>
      </c>
      <c r="D173" s="91" t="s">
        <v>1942</v>
      </c>
      <c r="E173" s="86"/>
      <c r="F173" s="86"/>
      <c r="G173" s="86"/>
      <c r="H173" s="86"/>
      <c r="I173" s="86"/>
      <c r="J173" s="86"/>
      <c r="K173" s="86"/>
      <c r="L173" s="86"/>
      <c r="M173" s="86"/>
      <c r="N173" s="86"/>
      <c r="O173" s="86"/>
      <c r="P173" s="86"/>
      <c r="Q173" s="86"/>
      <c r="R173" s="86"/>
      <c r="S173" s="86"/>
      <c r="T173" s="86"/>
      <c r="U173" s="86"/>
      <c r="V173" s="86"/>
      <c r="W173" s="86"/>
      <c r="X173" s="86"/>
      <c r="Y173" s="86"/>
      <c r="Z173" s="86"/>
    </row>
    <row r="174" spans="1:26" ht="15.75" customHeight="1">
      <c r="A174" s="86" t="s">
        <v>1943</v>
      </c>
      <c r="B174" s="92" t="s">
        <v>508</v>
      </c>
      <c r="C174" s="91" t="s">
        <v>488</v>
      </c>
      <c r="D174" s="117" t="s">
        <v>1944</v>
      </c>
      <c r="E174" s="86"/>
      <c r="F174" s="86"/>
      <c r="G174" s="86"/>
      <c r="H174" s="86"/>
      <c r="I174" s="86"/>
      <c r="J174" s="86"/>
      <c r="K174" s="86"/>
      <c r="L174" s="86"/>
      <c r="M174" s="86"/>
      <c r="N174" s="86"/>
      <c r="O174" s="86"/>
      <c r="P174" s="86"/>
      <c r="Q174" s="86"/>
      <c r="R174" s="86"/>
      <c r="S174" s="86"/>
      <c r="T174" s="86"/>
      <c r="U174" s="86"/>
      <c r="V174" s="86"/>
      <c r="W174" s="86"/>
      <c r="X174" s="86"/>
      <c r="Y174" s="86"/>
      <c r="Z174" s="86"/>
    </row>
    <row r="175" spans="1:26" ht="15.75" customHeight="1">
      <c r="A175" s="109" t="s">
        <v>1574</v>
      </c>
      <c r="B175" s="13" t="s">
        <v>1575</v>
      </c>
      <c r="C175" s="91" t="s">
        <v>1870</v>
      </c>
      <c r="D175" s="91" t="s">
        <v>1945</v>
      </c>
      <c r="E175" s="86"/>
      <c r="F175" s="86"/>
      <c r="G175" s="86"/>
      <c r="H175" s="86"/>
      <c r="I175" s="86"/>
      <c r="J175" s="86"/>
      <c r="K175" s="86"/>
      <c r="L175" s="86"/>
      <c r="M175" s="86"/>
      <c r="N175" s="86"/>
      <c r="O175" s="86"/>
      <c r="P175" s="86"/>
      <c r="Q175" s="86"/>
      <c r="R175" s="86"/>
      <c r="S175" s="86"/>
      <c r="T175" s="86"/>
      <c r="U175" s="86"/>
      <c r="V175" s="86"/>
      <c r="W175" s="86"/>
      <c r="X175" s="86"/>
      <c r="Y175" s="86"/>
      <c r="Z175" s="86"/>
    </row>
    <row r="176" spans="1:26" ht="15.75" customHeight="1">
      <c r="A176" s="86" t="s">
        <v>761</v>
      </c>
      <c r="B176" s="13" t="s">
        <v>762</v>
      </c>
      <c r="C176" s="91" t="s">
        <v>1870</v>
      </c>
      <c r="D176" s="91" t="s">
        <v>1946</v>
      </c>
      <c r="E176" s="86"/>
      <c r="F176" s="86"/>
      <c r="G176" s="86"/>
      <c r="H176" s="86"/>
      <c r="I176" s="86"/>
      <c r="J176" s="86"/>
      <c r="K176" s="86"/>
      <c r="L176" s="86"/>
      <c r="M176" s="86"/>
      <c r="N176" s="86"/>
      <c r="O176" s="86"/>
      <c r="P176" s="86"/>
      <c r="Q176" s="86"/>
      <c r="R176" s="86"/>
      <c r="S176" s="86"/>
      <c r="T176" s="86"/>
      <c r="U176" s="86"/>
      <c r="V176" s="86"/>
      <c r="W176" s="86"/>
      <c r="X176" s="86"/>
      <c r="Y176" s="86"/>
      <c r="Z176" s="86"/>
    </row>
    <row r="177" spans="1:26" ht="15.75" customHeight="1">
      <c r="A177" s="109" t="s">
        <v>525</v>
      </c>
      <c r="B177" s="13" t="s">
        <v>526</v>
      </c>
      <c r="C177" s="91" t="s">
        <v>1870</v>
      </c>
      <c r="D177" s="91" t="s">
        <v>1947</v>
      </c>
      <c r="E177" s="86"/>
      <c r="F177" s="86"/>
      <c r="G177" s="86"/>
      <c r="H177" s="86"/>
      <c r="I177" s="86"/>
      <c r="J177" s="86"/>
      <c r="K177" s="86"/>
      <c r="L177" s="86"/>
      <c r="M177" s="86"/>
      <c r="N177" s="86"/>
      <c r="O177" s="86"/>
      <c r="P177" s="86"/>
      <c r="Q177" s="86"/>
      <c r="R177" s="86"/>
      <c r="S177" s="86"/>
      <c r="T177" s="86"/>
      <c r="U177" s="86"/>
      <c r="V177" s="86"/>
      <c r="W177" s="86"/>
      <c r="X177" s="86"/>
      <c r="Y177" s="86"/>
      <c r="Z177" s="86"/>
    </row>
    <row r="178" spans="1:26" ht="15.75" customHeight="1">
      <c r="A178" s="109" t="s">
        <v>1396</v>
      </c>
      <c r="B178" s="13" t="s">
        <v>1397</v>
      </c>
      <c r="C178" s="91" t="s">
        <v>1870</v>
      </c>
      <c r="D178" s="91" t="s">
        <v>1948</v>
      </c>
      <c r="E178" s="86"/>
      <c r="F178" s="86"/>
      <c r="G178" s="86"/>
      <c r="H178" s="86"/>
      <c r="I178" s="86"/>
      <c r="J178" s="86"/>
      <c r="K178" s="86"/>
      <c r="L178" s="86"/>
      <c r="M178" s="86"/>
      <c r="N178" s="86"/>
      <c r="O178" s="86"/>
      <c r="P178" s="86"/>
      <c r="Q178" s="86"/>
      <c r="R178" s="86"/>
      <c r="S178" s="86"/>
      <c r="T178" s="86"/>
      <c r="U178" s="86"/>
      <c r="V178" s="86"/>
      <c r="W178" s="86"/>
      <c r="X178" s="86"/>
      <c r="Y178" s="86"/>
      <c r="Z178" s="86"/>
    </row>
    <row r="179" spans="1:26" ht="15.75" customHeight="1">
      <c r="A179" s="109" t="s">
        <v>1686</v>
      </c>
      <c r="B179" s="13" t="s">
        <v>1687</v>
      </c>
      <c r="C179" s="91" t="s">
        <v>1870</v>
      </c>
      <c r="D179" s="91" t="s">
        <v>1949</v>
      </c>
      <c r="E179" s="86"/>
      <c r="F179" s="86"/>
      <c r="G179" s="86"/>
      <c r="H179" s="86"/>
      <c r="I179" s="86"/>
      <c r="J179" s="86"/>
      <c r="K179" s="86"/>
      <c r="L179" s="86"/>
      <c r="M179" s="86"/>
      <c r="N179" s="86"/>
      <c r="O179" s="86"/>
      <c r="P179" s="86"/>
      <c r="Q179" s="86"/>
      <c r="R179" s="86"/>
      <c r="S179" s="86"/>
      <c r="T179" s="86"/>
      <c r="U179" s="86"/>
      <c r="V179" s="86"/>
      <c r="W179" s="86"/>
      <c r="X179" s="86"/>
      <c r="Y179" s="86"/>
      <c r="Z179" s="86"/>
    </row>
    <row r="180" spans="1:26" ht="16.5" customHeight="1">
      <c r="A180" s="109" t="s">
        <v>789</v>
      </c>
      <c r="B180" s="13" t="s">
        <v>790</v>
      </c>
      <c r="C180" s="91" t="s">
        <v>1870</v>
      </c>
      <c r="D180" s="91" t="s">
        <v>1950</v>
      </c>
      <c r="E180" s="86"/>
      <c r="F180" s="86"/>
      <c r="G180" s="86"/>
      <c r="H180" s="86"/>
      <c r="I180" s="86"/>
      <c r="J180" s="86"/>
      <c r="K180" s="86"/>
      <c r="L180" s="86"/>
      <c r="M180" s="86"/>
      <c r="N180" s="86"/>
      <c r="O180" s="86"/>
      <c r="P180" s="86"/>
      <c r="Q180" s="86"/>
      <c r="R180" s="86"/>
      <c r="S180" s="86"/>
      <c r="T180" s="86"/>
      <c r="U180" s="86"/>
      <c r="V180" s="86"/>
      <c r="W180" s="86"/>
      <c r="X180" s="86"/>
      <c r="Y180" s="86"/>
      <c r="Z180" s="86"/>
    </row>
    <row r="181" spans="1:26" ht="15.75" customHeight="1">
      <c r="A181" s="109" t="s">
        <v>1566</v>
      </c>
      <c r="B181" s="13" t="s">
        <v>1567</v>
      </c>
      <c r="C181" s="91" t="s">
        <v>1870</v>
      </c>
      <c r="D181" s="91" t="s">
        <v>1951</v>
      </c>
      <c r="E181" s="86"/>
      <c r="F181" s="86"/>
      <c r="G181" s="86"/>
      <c r="H181" s="86"/>
      <c r="I181" s="86"/>
      <c r="J181" s="86"/>
      <c r="K181" s="86"/>
      <c r="L181" s="86"/>
      <c r="M181" s="86"/>
      <c r="N181" s="86"/>
      <c r="O181" s="86"/>
      <c r="P181" s="86"/>
      <c r="Q181" s="86"/>
      <c r="R181" s="86"/>
      <c r="S181" s="86"/>
      <c r="T181" s="86"/>
      <c r="U181" s="86"/>
      <c r="V181" s="86"/>
      <c r="W181" s="86"/>
      <c r="X181" s="86"/>
      <c r="Y181" s="86"/>
      <c r="Z181" s="86"/>
    </row>
    <row r="182" spans="1:26" ht="15.75" customHeight="1">
      <c r="A182" s="109" t="s">
        <v>1231</v>
      </c>
      <c r="B182" s="13" t="s">
        <v>1232</v>
      </c>
      <c r="C182" s="91" t="s">
        <v>179</v>
      </c>
      <c r="D182" s="91" t="s">
        <v>1952</v>
      </c>
      <c r="E182" s="86"/>
      <c r="F182" s="86"/>
      <c r="G182" s="86"/>
      <c r="H182" s="86"/>
      <c r="I182" s="86"/>
      <c r="J182" s="86"/>
      <c r="K182" s="86"/>
      <c r="L182" s="86"/>
      <c r="M182" s="86"/>
      <c r="N182" s="86"/>
      <c r="O182" s="86"/>
      <c r="P182" s="86"/>
      <c r="Q182" s="86"/>
      <c r="R182" s="86"/>
      <c r="S182" s="86"/>
      <c r="T182" s="86"/>
      <c r="U182" s="86"/>
      <c r="V182" s="86"/>
      <c r="W182" s="86"/>
      <c r="X182" s="86"/>
      <c r="Y182" s="86"/>
      <c r="Z182" s="86"/>
    </row>
    <row r="183" spans="1:26" ht="15.75" customHeight="1">
      <c r="A183" s="89" t="s">
        <v>838</v>
      </c>
      <c r="B183" s="13" t="s">
        <v>193</v>
      </c>
      <c r="C183" s="89" t="s">
        <v>191</v>
      </c>
      <c r="D183" s="112" t="s">
        <v>1953</v>
      </c>
      <c r="E183" s="89"/>
      <c r="F183" s="89"/>
      <c r="G183" s="89"/>
      <c r="H183" s="89"/>
      <c r="I183" s="89"/>
      <c r="J183" s="89"/>
      <c r="K183" s="89"/>
      <c r="L183" s="89"/>
      <c r="M183" s="89"/>
      <c r="N183" s="89"/>
      <c r="O183" s="89"/>
      <c r="P183" s="89"/>
      <c r="Q183" s="89"/>
      <c r="R183" s="89"/>
      <c r="S183" s="89"/>
      <c r="T183" s="89"/>
      <c r="U183" s="89"/>
      <c r="V183" s="89"/>
      <c r="W183" s="89"/>
      <c r="X183" s="89"/>
      <c r="Y183" s="89"/>
      <c r="Z183" s="89"/>
    </row>
    <row r="184" spans="1:26" ht="15.75" customHeight="1">
      <c r="A184" s="11" t="s">
        <v>1954</v>
      </c>
      <c r="B184" s="13" t="s">
        <v>1820</v>
      </c>
      <c r="C184" s="91" t="s">
        <v>1708</v>
      </c>
      <c r="D184" s="91" t="s">
        <v>1955</v>
      </c>
      <c r="E184" s="86"/>
      <c r="F184" s="86"/>
      <c r="G184" s="86"/>
      <c r="H184" s="86"/>
      <c r="I184" s="86"/>
      <c r="J184" s="86"/>
      <c r="K184" s="86"/>
      <c r="L184" s="86"/>
      <c r="M184" s="86"/>
      <c r="N184" s="86"/>
      <c r="O184" s="86"/>
      <c r="P184" s="86"/>
      <c r="Q184" s="86"/>
      <c r="R184" s="86"/>
      <c r="S184" s="86"/>
      <c r="T184" s="86"/>
      <c r="U184" s="86"/>
      <c r="V184" s="86"/>
      <c r="W184" s="86"/>
      <c r="X184" s="86"/>
      <c r="Y184" s="86"/>
      <c r="Z184" s="86"/>
    </row>
    <row r="185" spans="1:26" ht="15.75" customHeight="1">
      <c r="A185" s="89" t="s">
        <v>486</v>
      </c>
      <c r="B185" s="13" t="s">
        <v>487</v>
      </c>
      <c r="C185" s="89" t="s">
        <v>1708</v>
      </c>
      <c r="D185" s="112" t="s">
        <v>1956</v>
      </c>
      <c r="E185" s="89"/>
      <c r="F185" s="89"/>
      <c r="G185" s="89"/>
      <c r="H185" s="89"/>
      <c r="I185" s="89"/>
      <c r="J185" s="89"/>
      <c r="K185" s="89"/>
      <c r="L185" s="89"/>
      <c r="M185" s="89"/>
      <c r="N185" s="89"/>
      <c r="O185" s="89"/>
      <c r="P185" s="89"/>
      <c r="Q185" s="89"/>
      <c r="R185" s="89"/>
      <c r="S185" s="89"/>
      <c r="T185" s="89"/>
      <c r="U185" s="89"/>
      <c r="V185" s="89"/>
      <c r="W185" s="89"/>
      <c r="X185" s="89"/>
      <c r="Y185" s="89"/>
      <c r="Z185" s="89"/>
    </row>
    <row r="186" spans="1:26" ht="15.75" customHeight="1">
      <c r="A186" s="3" t="s">
        <v>295</v>
      </c>
      <c r="B186" s="13" t="s">
        <v>296</v>
      </c>
      <c r="C186" s="91" t="s">
        <v>1708</v>
      </c>
      <c r="D186" s="91" t="s">
        <v>1957</v>
      </c>
      <c r="E186" s="86"/>
      <c r="F186" s="86"/>
      <c r="G186" s="86"/>
      <c r="H186" s="86"/>
      <c r="I186" s="86"/>
      <c r="J186" s="86"/>
      <c r="K186" s="86"/>
      <c r="L186" s="86"/>
      <c r="M186" s="86"/>
      <c r="N186" s="86"/>
      <c r="O186" s="86"/>
      <c r="P186" s="86"/>
      <c r="Q186" s="86"/>
      <c r="R186" s="86"/>
      <c r="S186" s="86"/>
      <c r="T186" s="86"/>
      <c r="U186" s="86"/>
      <c r="V186" s="86"/>
      <c r="W186" s="86"/>
      <c r="X186" s="86"/>
      <c r="Y186" s="86"/>
      <c r="Z186" s="86"/>
    </row>
    <row r="187" spans="1:26" ht="15.75" customHeight="1">
      <c r="A187" s="86" t="s">
        <v>283</v>
      </c>
      <c r="B187" s="13" t="s">
        <v>284</v>
      </c>
      <c r="C187" s="91" t="s">
        <v>1708</v>
      </c>
      <c r="D187" s="91" t="s">
        <v>1958</v>
      </c>
      <c r="E187" s="86"/>
      <c r="F187" s="86"/>
      <c r="G187" s="86"/>
      <c r="H187" s="86"/>
      <c r="I187" s="86"/>
      <c r="J187" s="86"/>
      <c r="K187" s="86"/>
      <c r="L187" s="86"/>
      <c r="M187" s="86"/>
      <c r="N187" s="86"/>
      <c r="O187" s="86"/>
      <c r="P187" s="86"/>
      <c r="Q187" s="86"/>
      <c r="R187" s="86"/>
      <c r="S187" s="86"/>
      <c r="T187" s="86"/>
      <c r="U187" s="86"/>
      <c r="V187" s="86"/>
      <c r="W187" s="86"/>
      <c r="X187" s="86"/>
      <c r="Y187" s="86"/>
      <c r="Z187" s="86"/>
    </row>
    <row r="188" spans="1:26" ht="15.75" customHeight="1">
      <c r="A188" s="3" t="s">
        <v>289</v>
      </c>
      <c r="B188" s="13" t="s">
        <v>290</v>
      </c>
      <c r="C188" s="91" t="s">
        <v>1708</v>
      </c>
      <c r="D188" s="91" t="s">
        <v>1959</v>
      </c>
      <c r="E188" s="86"/>
      <c r="F188" s="86"/>
      <c r="G188" s="86"/>
      <c r="H188" s="86"/>
      <c r="I188" s="86"/>
      <c r="J188" s="86"/>
      <c r="K188" s="86"/>
      <c r="L188" s="86"/>
      <c r="M188" s="86"/>
      <c r="N188" s="86"/>
      <c r="O188" s="86"/>
      <c r="P188" s="86"/>
      <c r="Q188" s="86"/>
      <c r="R188" s="86"/>
      <c r="S188" s="86"/>
      <c r="T188" s="86"/>
      <c r="U188" s="86"/>
      <c r="V188" s="86"/>
      <c r="W188" s="86"/>
      <c r="X188" s="86"/>
      <c r="Y188" s="86"/>
      <c r="Z188" s="86"/>
    </row>
    <row r="189" spans="1:26" ht="15.75" customHeight="1">
      <c r="A189" s="109" t="s">
        <v>773</v>
      </c>
      <c r="B189" s="13" t="s">
        <v>1411</v>
      </c>
      <c r="C189" s="91" t="s">
        <v>1763</v>
      </c>
      <c r="D189" s="91" t="s">
        <v>1960</v>
      </c>
      <c r="E189" s="86"/>
      <c r="F189" s="86"/>
      <c r="G189" s="86"/>
      <c r="H189" s="86"/>
      <c r="I189" s="86"/>
      <c r="J189" s="86"/>
      <c r="K189" s="86"/>
      <c r="L189" s="86"/>
      <c r="M189" s="86"/>
      <c r="N189" s="86"/>
      <c r="O189" s="86"/>
      <c r="P189" s="86"/>
      <c r="Q189" s="86"/>
      <c r="R189" s="86"/>
      <c r="S189" s="86"/>
      <c r="T189" s="86"/>
      <c r="U189" s="86"/>
      <c r="V189" s="86"/>
      <c r="W189" s="86"/>
      <c r="X189" s="86"/>
      <c r="Y189" s="86"/>
      <c r="Z189" s="86"/>
    </row>
    <row r="190" spans="1:26" ht="15.75" customHeight="1">
      <c r="A190" s="86" t="s">
        <v>1961</v>
      </c>
      <c r="B190" s="13" t="s">
        <v>1014</v>
      </c>
      <c r="C190" s="86" t="s">
        <v>1763</v>
      </c>
      <c r="D190" s="112" t="s">
        <v>1962</v>
      </c>
      <c r="E190" s="86"/>
      <c r="F190" s="86"/>
      <c r="G190" s="86"/>
      <c r="H190" s="86"/>
      <c r="I190" s="86"/>
      <c r="J190" s="86"/>
      <c r="K190" s="86"/>
      <c r="L190" s="86"/>
      <c r="M190" s="86"/>
      <c r="N190" s="86"/>
      <c r="O190" s="86"/>
      <c r="P190" s="86"/>
      <c r="Q190" s="86"/>
      <c r="R190" s="86"/>
      <c r="S190" s="86"/>
      <c r="T190" s="86"/>
      <c r="U190" s="86"/>
      <c r="V190" s="86"/>
      <c r="W190" s="86"/>
      <c r="X190" s="86"/>
      <c r="Y190" s="86"/>
      <c r="Z190" s="86"/>
    </row>
    <row r="191" spans="1:26" ht="15.75" customHeight="1">
      <c r="A191" s="109" t="s">
        <v>1516</v>
      </c>
      <c r="B191" s="13" t="s">
        <v>1517</v>
      </c>
      <c r="C191" s="91" t="s">
        <v>116</v>
      </c>
      <c r="D191" s="91" t="s">
        <v>1963</v>
      </c>
      <c r="E191" s="86"/>
      <c r="F191" s="86"/>
      <c r="G191" s="86"/>
      <c r="H191" s="86"/>
      <c r="I191" s="86"/>
      <c r="J191" s="86"/>
      <c r="K191" s="86"/>
      <c r="L191" s="86"/>
      <c r="M191" s="86"/>
      <c r="N191" s="86"/>
      <c r="O191" s="86"/>
      <c r="P191" s="86"/>
      <c r="Q191" s="86"/>
      <c r="R191" s="86"/>
      <c r="S191" s="86"/>
      <c r="T191" s="86"/>
      <c r="U191" s="86"/>
      <c r="V191" s="86"/>
      <c r="W191" s="86"/>
      <c r="X191" s="86"/>
      <c r="Y191" s="86"/>
      <c r="Z191" s="86"/>
    </row>
    <row r="192" spans="1:26" ht="15.75" customHeight="1">
      <c r="A192" s="109" t="s">
        <v>1554</v>
      </c>
      <c r="B192" s="13" t="s">
        <v>1555</v>
      </c>
      <c r="C192" s="91" t="s">
        <v>116</v>
      </c>
      <c r="D192" s="91" t="s">
        <v>1964</v>
      </c>
      <c r="E192" s="86"/>
      <c r="F192" s="86"/>
      <c r="G192" s="86"/>
      <c r="H192" s="86"/>
      <c r="I192" s="86"/>
      <c r="J192" s="86"/>
      <c r="K192" s="86"/>
      <c r="L192" s="86"/>
      <c r="M192" s="86"/>
      <c r="N192" s="86"/>
      <c r="O192" s="86"/>
      <c r="P192" s="86"/>
      <c r="Q192" s="86"/>
      <c r="R192" s="86"/>
      <c r="S192" s="86"/>
      <c r="T192" s="86"/>
      <c r="U192" s="86"/>
      <c r="V192" s="86"/>
      <c r="W192" s="86"/>
      <c r="X192" s="86"/>
      <c r="Y192" s="86"/>
      <c r="Z192" s="86"/>
    </row>
    <row r="193" spans="1:26" ht="15.75" customHeight="1">
      <c r="A193" s="109" t="s">
        <v>472</v>
      </c>
      <c r="B193" s="13" t="s">
        <v>473</v>
      </c>
      <c r="C193" s="91" t="s">
        <v>116</v>
      </c>
      <c r="D193" s="91" t="s">
        <v>1965</v>
      </c>
      <c r="E193" s="86"/>
      <c r="F193" s="86"/>
      <c r="G193" s="86"/>
      <c r="H193" s="86"/>
      <c r="I193" s="86"/>
      <c r="J193" s="86"/>
      <c r="K193" s="86"/>
      <c r="L193" s="86"/>
      <c r="M193" s="86"/>
      <c r="N193" s="86"/>
      <c r="O193" s="86"/>
      <c r="P193" s="86"/>
      <c r="Q193" s="86"/>
      <c r="R193" s="86"/>
      <c r="S193" s="86"/>
      <c r="T193" s="86"/>
      <c r="U193" s="86"/>
      <c r="V193" s="86"/>
      <c r="W193" s="86"/>
      <c r="X193" s="86"/>
      <c r="Y193" s="86"/>
      <c r="Z193" s="86"/>
    </row>
    <row r="194" spans="1:26" ht="15.75" customHeight="1">
      <c r="A194" s="109" t="s">
        <v>1455</v>
      </c>
      <c r="B194" s="13" t="s">
        <v>1456</v>
      </c>
      <c r="C194" s="91" t="s">
        <v>1870</v>
      </c>
      <c r="D194" s="91" t="s">
        <v>1966</v>
      </c>
      <c r="E194" s="86"/>
      <c r="F194" s="86"/>
      <c r="G194" s="86"/>
      <c r="H194" s="86"/>
      <c r="I194" s="86"/>
      <c r="J194" s="86"/>
      <c r="K194" s="86"/>
      <c r="L194" s="86"/>
      <c r="M194" s="86"/>
      <c r="N194" s="86"/>
      <c r="O194" s="86"/>
      <c r="P194" s="86"/>
      <c r="Q194" s="86"/>
      <c r="R194" s="86"/>
      <c r="S194" s="86"/>
      <c r="T194" s="86"/>
      <c r="U194" s="86"/>
      <c r="V194" s="86"/>
      <c r="W194" s="86"/>
      <c r="X194" s="86"/>
      <c r="Y194" s="86"/>
      <c r="Z194" s="86"/>
    </row>
    <row r="195" spans="1:26" ht="15.75" customHeight="1">
      <c r="A195" s="92" t="s">
        <v>835</v>
      </c>
      <c r="B195" s="13" t="s">
        <v>836</v>
      </c>
      <c r="C195" s="91" t="s">
        <v>179</v>
      </c>
      <c r="D195" s="89" t="s">
        <v>1967</v>
      </c>
      <c r="E195" s="86"/>
      <c r="F195" s="86"/>
      <c r="G195" s="86"/>
      <c r="H195" s="86"/>
      <c r="I195" s="86"/>
      <c r="J195" s="86"/>
      <c r="K195" s="86"/>
      <c r="L195" s="86"/>
      <c r="M195" s="86"/>
      <c r="N195" s="86"/>
      <c r="O195" s="86"/>
      <c r="P195" s="86"/>
      <c r="Q195" s="86"/>
      <c r="R195" s="86"/>
      <c r="S195" s="86"/>
      <c r="T195" s="86"/>
      <c r="U195" s="86"/>
      <c r="V195" s="86"/>
      <c r="W195" s="86"/>
      <c r="X195" s="86"/>
      <c r="Y195" s="86"/>
      <c r="Z195" s="86"/>
    </row>
    <row r="196" spans="1:26" ht="15.75" customHeight="1">
      <c r="A196" s="118" t="s">
        <v>1611</v>
      </c>
      <c r="B196" s="13" t="s">
        <v>1612</v>
      </c>
      <c r="C196" s="89" t="s">
        <v>179</v>
      </c>
      <c r="D196" s="112" t="s">
        <v>1968</v>
      </c>
      <c r="E196" s="89"/>
      <c r="F196" s="89"/>
      <c r="G196" s="89"/>
      <c r="H196" s="89"/>
      <c r="I196" s="89"/>
      <c r="J196" s="89"/>
      <c r="K196" s="89"/>
      <c r="L196" s="89"/>
      <c r="M196" s="89"/>
      <c r="N196" s="89"/>
      <c r="O196" s="89"/>
      <c r="P196" s="89"/>
      <c r="Q196" s="89"/>
      <c r="R196" s="89"/>
      <c r="S196" s="89"/>
      <c r="T196" s="89"/>
      <c r="U196" s="89"/>
      <c r="V196" s="89"/>
      <c r="W196" s="89"/>
      <c r="X196" s="89"/>
      <c r="Y196" s="89"/>
      <c r="Z196" s="89"/>
    </row>
    <row r="197" spans="1:26" ht="15.75" customHeight="1">
      <c r="A197" s="86" t="s">
        <v>902</v>
      </c>
      <c r="B197" s="13" t="s">
        <v>903</v>
      </c>
      <c r="C197" s="86" t="s">
        <v>682</v>
      </c>
      <c r="D197" s="91" t="s">
        <v>1969</v>
      </c>
      <c r="E197" s="86"/>
      <c r="F197" s="86"/>
      <c r="G197" s="86"/>
      <c r="H197" s="86"/>
      <c r="I197" s="86"/>
      <c r="J197" s="86"/>
      <c r="K197" s="86"/>
      <c r="L197" s="86"/>
      <c r="M197" s="86"/>
      <c r="N197" s="86"/>
      <c r="O197" s="86"/>
      <c r="P197" s="86"/>
      <c r="Q197" s="86"/>
      <c r="R197" s="86"/>
      <c r="S197" s="86"/>
      <c r="T197" s="86"/>
      <c r="U197" s="86"/>
      <c r="V197" s="86"/>
      <c r="W197" s="86"/>
      <c r="X197" s="86"/>
      <c r="Y197" s="86"/>
      <c r="Z197" s="86"/>
    </row>
    <row r="198" spans="1:26" ht="15.75" customHeight="1">
      <c r="A198" s="86" t="s">
        <v>1970</v>
      </c>
      <c r="B198" s="13" t="s">
        <v>1078</v>
      </c>
      <c r="C198" s="86" t="s">
        <v>374</v>
      </c>
      <c r="D198" s="112" t="s">
        <v>1971</v>
      </c>
      <c r="E198" s="86"/>
      <c r="F198" s="86"/>
      <c r="G198" s="86"/>
      <c r="H198" s="86"/>
      <c r="I198" s="86"/>
      <c r="J198" s="86"/>
      <c r="K198" s="86"/>
      <c r="L198" s="86"/>
      <c r="M198" s="86"/>
      <c r="N198" s="86"/>
      <c r="O198" s="86"/>
      <c r="P198" s="86"/>
      <c r="Q198" s="86"/>
      <c r="R198" s="86"/>
      <c r="S198" s="86"/>
      <c r="T198" s="86"/>
      <c r="U198" s="86"/>
      <c r="V198" s="86"/>
      <c r="W198" s="86"/>
      <c r="X198" s="86"/>
      <c r="Y198" s="86"/>
      <c r="Z198" s="86"/>
    </row>
    <row r="199" spans="1:26" ht="15.75" customHeight="1">
      <c r="A199" s="109" t="s">
        <v>589</v>
      </c>
      <c r="B199" s="13" t="s">
        <v>588</v>
      </c>
      <c r="C199" s="91" t="s">
        <v>1708</v>
      </c>
      <c r="D199" s="91" t="s">
        <v>1972</v>
      </c>
      <c r="E199" s="86"/>
      <c r="F199" s="86"/>
      <c r="G199" s="86"/>
      <c r="H199" s="86"/>
      <c r="I199" s="86"/>
      <c r="J199" s="86"/>
      <c r="K199" s="86"/>
      <c r="L199" s="86"/>
      <c r="M199" s="86"/>
      <c r="N199" s="86"/>
      <c r="O199" s="86"/>
      <c r="P199" s="86"/>
      <c r="Q199" s="86"/>
      <c r="R199" s="86"/>
      <c r="S199" s="86"/>
      <c r="T199" s="86"/>
      <c r="U199" s="86"/>
      <c r="V199" s="86"/>
      <c r="W199" s="86"/>
      <c r="X199" s="86"/>
      <c r="Y199" s="86"/>
      <c r="Z199" s="86"/>
    </row>
    <row r="200" spans="1:26" ht="15.75" customHeight="1">
      <c r="A200" s="3" t="s">
        <v>429</v>
      </c>
      <c r="B200" s="13" t="s">
        <v>430</v>
      </c>
      <c r="C200" s="91" t="s">
        <v>1708</v>
      </c>
      <c r="D200" s="91" t="s">
        <v>1973</v>
      </c>
      <c r="E200" s="86"/>
      <c r="F200" s="86"/>
      <c r="G200" s="86"/>
      <c r="H200" s="86"/>
      <c r="I200" s="86"/>
      <c r="J200" s="86"/>
      <c r="K200" s="86"/>
      <c r="L200" s="86"/>
      <c r="M200" s="86"/>
      <c r="N200" s="86"/>
      <c r="O200" s="86"/>
      <c r="P200" s="86"/>
      <c r="Q200" s="86"/>
      <c r="R200" s="86"/>
      <c r="S200" s="86"/>
      <c r="T200" s="86"/>
      <c r="U200" s="86"/>
      <c r="V200" s="86"/>
      <c r="W200" s="86"/>
      <c r="X200" s="86"/>
      <c r="Y200" s="86"/>
      <c r="Z200" s="86"/>
    </row>
    <row r="201" spans="1:26" ht="15.75" customHeight="1">
      <c r="A201" s="89" t="s">
        <v>1974</v>
      </c>
      <c r="B201" s="13" t="s">
        <v>424</v>
      </c>
      <c r="C201" s="89" t="s">
        <v>417</v>
      </c>
      <c r="D201" s="112" t="s">
        <v>1975</v>
      </c>
      <c r="E201" s="89"/>
      <c r="F201" s="89"/>
      <c r="G201" s="89"/>
      <c r="H201" s="89"/>
      <c r="I201" s="89"/>
      <c r="J201" s="89"/>
      <c r="K201" s="89"/>
      <c r="L201" s="89"/>
      <c r="M201" s="89"/>
      <c r="N201" s="89"/>
      <c r="O201" s="89"/>
      <c r="P201" s="89"/>
      <c r="Q201" s="89"/>
      <c r="R201" s="89"/>
      <c r="S201" s="89"/>
      <c r="T201" s="89"/>
      <c r="U201" s="89"/>
      <c r="V201" s="89"/>
      <c r="W201" s="89"/>
      <c r="X201" s="89"/>
      <c r="Y201" s="89"/>
      <c r="Z201" s="89"/>
    </row>
    <row r="202" spans="1:26" ht="15.75" customHeight="1">
      <c r="A202" s="109" t="s">
        <v>730</v>
      </c>
      <c r="B202" s="13" t="s">
        <v>731</v>
      </c>
      <c r="C202" s="91" t="s">
        <v>116</v>
      </c>
      <c r="D202" s="91" t="s">
        <v>1976</v>
      </c>
      <c r="E202" s="86"/>
      <c r="F202" s="86"/>
      <c r="G202" s="86"/>
      <c r="H202" s="86"/>
      <c r="I202" s="86"/>
      <c r="J202" s="86"/>
      <c r="K202" s="86"/>
      <c r="L202" s="86"/>
      <c r="M202" s="86"/>
      <c r="N202" s="86"/>
      <c r="O202" s="86"/>
      <c r="P202" s="86"/>
      <c r="Q202" s="86"/>
      <c r="R202" s="86"/>
      <c r="S202" s="86"/>
      <c r="T202" s="86"/>
      <c r="U202" s="86"/>
      <c r="V202" s="86"/>
      <c r="W202" s="86"/>
      <c r="X202" s="86"/>
      <c r="Y202" s="86"/>
      <c r="Z202" s="86"/>
    </row>
    <row r="203" spans="1:26" ht="15.75" customHeight="1">
      <c r="A203" s="11" t="s">
        <v>1536</v>
      </c>
      <c r="B203" s="13" t="s">
        <v>1537</v>
      </c>
      <c r="C203" s="91" t="s">
        <v>116</v>
      </c>
      <c r="D203" s="91" t="s">
        <v>1977</v>
      </c>
      <c r="E203" s="86"/>
      <c r="F203" s="86"/>
      <c r="G203" s="86"/>
      <c r="H203" s="86"/>
      <c r="I203" s="86"/>
      <c r="J203" s="86"/>
      <c r="K203" s="86"/>
      <c r="L203" s="86"/>
      <c r="M203" s="86"/>
      <c r="N203" s="86"/>
      <c r="O203" s="86"/>
      <c r="P203" s="86"/>
      <c r="Q203" s="86"/>
      <c r="R203" s="86"/>
      <c r="S203" s="86"/>
      <c r="T203" s="86"/>
      <c r="U203" s="86"/>
      <c r="V203" s="86"/>
      <c r="W203" s="86"/>
      <c r="X203" s="86"/>
      <c r="Y203" s="86"/>
      <c r="Z203" s="86"/>
    </row>
    <row r="204" spans="1:26" ht="15.75" customHeight="1">
      <c r="A204" s="3" t="s">
        <v>529</v>
      </c>
      <c r="B204" s="13" t="s">
        <v>530</v>
      </c>
      <c r="C204" s="91" t="s">
        <v>1870</v>
      </c>
      <c r="D204" s="91" t="s">
        <v>1978</v>
      </c>
      <c r="E204" s="86"/>
      <c r="F204" s="86"/>
      <c r="G204" s="86"/>
      <c r="H204" s="86"/>
      <c r="I204" s="86"/>
      <c r="J204" s="86"/>
      <c r="K204" s="86"/>
      <c r="L204" s="86"/>
      <c r="M204" s="86"/>
      <c r="N204" s="86"/>
      <c r="O204" s="86"/>
      <c r="P204" s="86"/>
      <c r="Q204" s="86"/>
      <c r="R204" s="86"/>
      <c r="S204" s="86"/>
      <c r="T204" s="86"/>
      <c r="U204" s="86"/>
      <c r="V204" s="86"/>
      <c r="W204" s="86"/>
      <c r="X204" s="86"/>
      <c r="Y204" s="86"/>
      <c r="Z204" s="86"/>
    </row>
    <row r="205" spans="1:26" ht="15.75" customHeight="1">
      <c r="A205" s="109" t="s">
        <v>1210</v>
      </c>
      <c r="B205" s="13" t="s">
        <v>1211</v>
      </c>
      <c r="C205" s="91" t="s">
        <v>1870</v>
      </c>
      <c r="D205" s="91" t="s">
        <v>1979</v>
      </c>
      <c r="E205" s="86"/>
      <c r="F205" s="86"/>
      <c r="G205" s="86"/>
      <c r="H205" s="86"/>
      <c r="I205" s="86"/>
      <c r="J205" s="86"/>
      <c r="K205" s="86"/>
      <c r="L205" s="86"/>
      <c r="M205" s="86"/>
      <c r="N205" s="86"/>
      <c r="O205" s="86"/>
      <c r="P205" s="86"/>
      <c r="Q205" s="86"/>
      <c r="R205" s="86"/>
      <c r="S205" s="86"/>
      <c r="T205" s="86"/>
      <c r="U205" s="86"/>
      <c r="V205" s="86"/>
      <c r="W205" s="86"/>
      <c r="X205" s="86"/>
      <c r="Y205" s="86"/>
      <c r="Z205" s="86"/>
    </row>
    <row r="206" spans="1:26" ht="15.75" customHeight="1">
      <c r="A206" s="109" t="s">
        <v>1202</v>
      </c>
      <c r="B206" s="13" t="s">
        <v>1203</v>
      </c>
      <c r="C206" s="91" t="s">
        <v>1870</v>
      </c>
      <c r="D206" s="91" t="s">
        <v>1980</v>
      </c>
      <c r="E206" s="86"/>
      <c r="F206" s="86"/>
      <c r="G206" s="86"/>
      <c r="H206" s="86"/>
      <c r="I206" s="86"/>
      <c r="J206" s="86"/>
      <c r="K206" s="86"/>
      <c r="L206" s="86"/>
      <c r="M206" s="86"/>
      <c r="N206" s="86"/>
      <c r="O206" s="86"/>
      <c r="P206" s="86"/>
      <c r="Q206" s="86"/>
      <c r="R206" s="86"/>
      <c r="S206" s="86"/>
      <c r="T206" s="86"/>
      <c r="U206" s="86"/>
      <c r="V206" s="86"/>
      <c r="W206" s="86"/>
      <c r="X206" s="86"/>
      <c r="Y206" s="86"/>
      <c r="Z206" s="86"/>
    </row>
    <row r="207" spans="1:26" ht="15.75" customHeight="1">
      <c r="A207" s="109" t="s">
        <v>1439</v>
      </c>
      <c r="B207" s="13" t="s">
        <v>1440</v>
      </c>
      <c r="C207" s="91" t="s">
        <v>1870</v>
      </c>
      <c r="D207" s="91" t="s">
        <v>1981</v>
      </c>
      <c r="E207" s="86"/>
      <c r="F207" s="86"/>
      <c r="G207" s="86"/>
      <c r="H207" s="86"/>
      <c r="I207" s="86"/>
      <c r="J207" s="86"/>
      <c r="K207" s="86"/>
      <c r="L207" s="86"/>
      <c r="M207" s="86"/>
      <c r="N207" s="86"/>
      <c r="O207" s="86"/>
      <c r="P207" s="86"/>
      <c r="Q207" s="86"/>
      <c r="R207" s="86"/>
      <c r="S207" s="86"/>
      <c r="T207" s="86"/>
      <c r="U207" s="86"/>
      <c r="V207" s="86"/>
      <c r="W207" s="86"/>
      <c r="X207" s="86"/>
      <c r="Y207" s="86"/>
      <c r="Z207" s="86"/>
    </row>
    <row r="208" spans="1:26" ht="15.75" customHeight="1">
      <c r="A208" s="109" t="s">
        <v>954</v>
      </c>
      <c r="B208" s="13" t="s">
        <v>955</v>
      </c>
      <c r="C208" s="91" t="s">
        <v>1870</v>
      </c>
      <c r="D208" s="91" t="s">
        <v>1982</v>
      </c>
      <c r="E208" s="86"/>
      <c r="F208" s="86"/>
      <c r="G208" s="86"/>
      <c r="H208" s="86"/>
      <c r="I208" s="86"/>
      <c r="J208" s="86"/>
      <c r="K208" s="86"/>
      <c r="L208" s="86"/>
      <c r="M208" s="86"/>
      <c r="N208" s="86"/>
      <c r="O208" s="86"/>
      <c r="P208" s="86"/>
      <c r="Q208" s="86"/>
      <c r="R208" s="86"/>
      <c r="S208" s="86"/>
      <c r="T208" s="86"/>
      <c r="U208" s="86"/>
      <c r="V208" s="86"/>
      <c r="W208" s="86"/>
      <c r="X208" s="86"/>
      <c r="Y208" s="86"/>
      <c r="Z208" s="86"/>
    </row>
    <row r="209" spans="1:26" ht="15.75" customHeight="1">
      <c r="A209" s="109" t="s">
        <v>1090</v>
      </c>
      <c r="B209" s="13" t="s">
        <v>1091</v>
      </c>
      <c r="C209" s="91" t="s">
        <v>1846</v>
      </c>
      <c r="D209" s="91" t="s">
        <v>1983</v>
      </c>
      <c r="E209" s="86"/>
      <c r="F209" s="86"/>
      <c r="G209" s="86"/>
      <c r="H209" s="86"/>
      <c r="I209" s="86"/>
      <c r="J209" s="86"/>
      <c r="K209" s="86"/>
      <c r="L209" s="86"/>
      <c r="M209" s="86"/>
      <c r="N209" s="86"/>
      <c r="O209" s="86"/>
      <c r="P209" s="86"/>
      <c r="Q209" s="86"/>
      <c r="R209" s="86"/>
      <c r="S209" s="86"/>
      <c r="T209" s="86"/>
      <c r="U209" s="86"/>
      <c r="V209" s="86"/>
      <c r="W209" s="86"/>
      <c r="X209" s="86"/>
      <c r="Y209" s="86"/>
      <c r="Z209" s="86"/>
    </row>
    <row r="210" spans="1:26" ht="15.75" customHeight="1">
      <c r="A210" s="3" t="s">
        <v>285</v>
      </c>
      <c r="B210" s="13" t="s">
        <v>286</v>
      </c>
      <c r="C210" s="91" t="s">
        <v>1708</v>
      </c>
      <c r="D210" s="91" t="s">
        <v>1984</v>
      </c>
      <c r="E210" s="86"/>
      <c r="F210" s="86"/>
      <c r="G210" s="86"/>
      <c r="H210" s="86"/>
      <c r="I210" s="86"/>
      <c r="J210" s="86"/>
      <c r="K210" s="86"/>
      <c r="L210" s="86"/>
      <c r="M210" s="86"/>
      <c r="N210" s="86"/>
      <c r="O210" s="86"/>
      <c r="P210" s="86"/>
      <c r="Q210" s="86"/>
      <c r="R210" s="86"/>
      <c r="S210" s="86"/>
      <c r="T210" s="86"/>
      <c r="U210" s="86"/>
      <c r="V210" s="86"/>
      <c r="W210" s="86"/>
      <c r="X210" s="86"/>
      <c r="Y210" s="86"/>
      <c r="Z210" s="86"/>
    </row>
    <row r="211" spans="1:26" ht="15.75" customHeight="1">
      <c r="A211" s="109" t="s">
        <v>1550</v>
      </c>
      <c r="B211" s="13" t="s">
        <v>1551</v>
      </c>
      <c r="C211" s="91" t="s">
        <v>116</v>
      </c>
      <c r="D211" s="91" t="s">
        <v>1985</v>
      </c>
      <c r="E211" s="86"/>
      <c r="F211" s="86"/>
      <c r="G211" s="86"/>
      <c r="H211" s="86"/>
      <c r="I211" s="86"/>
      <c r="J211" s="86"/>
      <c r="K211" s="86"/>
      <c r="L211" s="86"/>
      <c r="M211" s="86"/>
      <c r="N211" s="86"/>
      <c r="O211" s="86"/>
      <c r="P211" s="86"/>
      <c r="Q211" s="86"/>
      <c r="R211" s="86"/>
      <c r="S211" s="86"/>
      <c r="T211" s="86"/>
      <c r="U211" s="86"/>
      <c r="V211" s="86"/>
      <c r="W211" s="86"/>
      <c r="X211" s="86"/>
      <c r="Y211" s="86"/>
      <c r="Z211" s="86"/>
    </row>
    <row r="212" spans="1:26" ht="15.75" customHeight="1">
      <c r="A212" s="11" t="s">
        <v>469</v>
      </c>
      <c r="B212" s="13" t="s">
        <v>1527</v>
      </c>
      <c r="C212" s="91" t="s">
        <v>116</v>
      </c>
      <c r="D212" s="91" t="s">
        <v>1986</v>
      </c>
      <c r="E212" s="86"/>
      <c r="F212" s="86"/>
      <c r="G212" s="86"/>
      <c r="H212" s="86"/>
      <c r="I212" s="86"/>
      <c r="J212" s="86"/>
      <c r="K212" s="86"/>
      <c r="L212" s="86"/>
      <c r="M212" s="86"/>
      <c r="N212" s="86"/>
      <c r="O212" s="86"/>
      <c r="P212" s="86"/>
      <c r="Q212" s="86"/>
      <c r="R212" s="86"/>
      <c r="S212" s="86"/>
      <c r="T212" s="86"/>
      <c r="U212" s="86"/>
      <c r="V212" s="86"/>
      <c r="W212" s="86"/>
      <c r="X212" s="86"/>
      <c r="Y212" s="86"/>
      <c r="Z212" s="86"/>
    </row>
    <row r="213" spans="1:26" ht="15.75" customHeight="1">
      <c r="A213" s="109" t="s">
        <v>1558</v>
      </c>
      <c r="B213" s="13" t="s">
        <v>1559</v>
      </c>
      <c r="C213" s="91" t="s">
        <v>1870</v>
      </c>
      <c r="D213" s="91" t="s">
        <v>1987</v>
      </c>
      <c r="E213" s="86"/>
      <c r="F213" s="86"/>
      <c r="G213" s="86"/>
      <c r="H213" s="86"/>
      <c r="I213" s="86"/>
      <c r="J213" s="86"/>
      <c r="K213" s="86"/>
      <c r="L213" s="86"/>
      <c r="M213" s="86"/>
      <c r="N213" s="86"/>
      <c r="O213" s="86"/>
      <c r="P213" s="86"/>
      <c r="Q213" s="86"/>
      <c r="R213" s="86"/>
      <c r="S213" s="86"/>
      <c r="T213" s="86"/>
      <c r="U213" s="86"/>
      <c r="V213" s="86"/>
      <c r="W213" s="86"/>
      <c r="X213" s="86"/>
      <c r="Y213" s="86"/>
      <c r="Z213" s="86"/>
    </row>
    <row r="214" spans="1:26" ht="15.75" customHeight="1">
      <c r="A214" s="109" t="s">
        <v>784</v>
      </c>
      <c r="B214" s="13" t="s">
        <v>785</v>
      </c>
      <c r="C214" s="91" t="s">
        <v>1870</v>
      </c>
      <c r="D214" s="91" t="s">
        <v>1988</v>
      </c>
      <c r="E214" s="86"/>
      <c r="F214" s="86"/>
      <c r="G214" s="86"/>
      <c r="H214" s="86"/>
      <c r="I214" s="86"/>
      <c r="J214" s="86"/>
      <c r="K214" s="86"/>
      <c r="L214" s="86"/>
      <c r="M214" s="86"/>
      <c r="N214" s="86"/>
      <c r="O214" s="86"/>
      <c r="P214" s="86"/>
      <c r="Q214" s="86"/>
      <c r="R214" s="86"/>
      <c r="S214" s="86"/>
      <c r="T214" s="86"/>
      <c r="U214" s="86"/>
      <c r="V214" s="86"/>
      <c r="W214" s="86"/>
      <c r="X214" s="86"/>
      <c r="Y214" s="86"/>
      <c r="Z214" s="86"/>
    </row>
    <row r="215" spans="1:26" ht="15.75" customHeight="1">
      <c r="A215" s="109" t="s">
        <v>1989</v>
      </c>
      <c r="B215" s="13" t="s">
        <v>794</v>
      </c>
      <c r="C215" s="91" t="s">
        <v>1870</v>
      </c>
      <c r="D215" s="91" t="s">
        <v>1990</v>
      </c>
      <c r="E215" s="86"/>
      <c r="F215" s="86"/>
      <c r="G215" s="86"/>
      <c r="H215" s="86"/>
      <c r="I215" s="86"/>
      <c r="J215" s="86"/>
      <c r="K215" s="86"/>
      <c r="L215" s="86"/>
      <c r="M215" s="86"/>
      <c r="N215" s="86"/>
      <c r="O215" s="86"/>
      <c r="P215" s="86"/>
      <c r="Q215" s="86"/>
      <c r="R215" s="86"/>
      <c r="S215" s="86"/>
      <c r="T215" s="86"/>
      <c r="U215" s="86"/>
      <c r="V215" s="86"/>
      <c r="W215" s="86"/>
      <c r="X215" s="86"/>
      <c r="Y215" s="86"/>
      <c r="Z215" s="86"/>
    </row>
    <row r="216" spans="1:26" ht="15.75" customHeight="1">
      <c r="A216" s="109" t="s">
        <v>1991</v>
      </c>
      <c r="B216" s="13" t="s">
        <v>1665</v>
      </c>
      <c r="C216" s="91" t="s">
        <v>1870</v>
      </c>
      <c r="D216" s="91" t="s">
        <v>1992</v>
      </c>
      <c r="E216" s="86"/>
      <c r="F216" s="86"/>
      <c r="G216" s="86"/>
      <c r="H216" s="86"/>
      <c r="I216" s="86"/>
      <c r="J216" s="86"/>
      <c r="K216" s="86"/>
      <c r="L216" s="86"/>
      <c r="M216" s="86"/>
      <c r="N216" s="86"/>
      <c r="O216" s="86"/>
      <c r="P216" s="86"/>
      <c r="Q216" s="86"/>
      <c r="R216" s="86"/>
      <c r="S216" s="86"/>
      <c r="T216" s="86"/>
      <c r="U216" s="86"/>
      <c r="V216" s="86"/>
      <c r="W216" s="86"/>
      <c r="X216" s="86"/>
      <c r="Y216" s="86"/>
      <c r="Z216" s="86"/>
    </row>
    <row r="217" spans="1:26" ht="15.75" customHeight="1">
      <c r="A217" s="109" t="s">
        <v>1163</v>
      </c>
      <c r="B217" s="13" t="s">
        <v>1164</v>
      </c>
      <c r="C217" s="91" t="s">
        <v>1870</v>
      </c>
      <c r="D217" s="91" t="s">
        <v>1993</v>
      </c>
      <c r="E217" s="86"/>
      <c r="F217" s="86"/>
      <c r="G217" s="86"/>
      <c r="H217" s="86"/>
      <c r="I217" s="86"/>
      <c r="J217" s="86"/>
      <c r="K217" s="86"/>
      <c r="L217" s="86"/>
      <c r="M217" s="86"/>
      <c r="N217" s="86"/>
      <c r="O217" s="86"/>
      <c r="P217" s="86"/>
      <c r="Q217" s="86"/>
      <c r="R217" s="86"/>
      <c r="S217" s="86"/>
      <c r="T217" s="86"/>
      <c r="U217" s="86"/>
      <c r="V217" s="86"/>
      <c r="W217" s="86"/>
      <c r="X217" s="86"/>
      <c r="Y217" s="86"/>
      <c r="Z217" s="86"/>
    </row>
    <row r="218" spans="1:26" ht="18.75" customHeight="1">
      <c r="A218" s="3" t="s">
        <v>567</v>
      </c>
      <c r="B218" s="13" t="s">
        <v>568</v>
      </c>
      <c r="C218" s="91" t="s">
        <v>566</v>
      </c>
      <c r="D218" s="91" t="s">
        <v>1994</v>
      </c>
      <c r="E218" s="86"/>
      <c r="F218" s="86"/>
      <c r="G218" s="86"/>
      <c r="H218" s="86"/>
      <c r="I218" s="86"/>
      <c r="J218" s="86"/>
      <c r="K218" s="86"/>
      <c r="L218" s="86"/>
      <c r="M218" s="86"/>
      <c r="N218" s="86"/>
      <c r="O218" s="86"/>
      <c r="P218" s="86"/>
      <c r="Q218" s="86"/>
      <c r="R218" s="86"/>
      <c r="S218" s="86"/>
      <c r="T218" s="86"/>
      <c r="U218" s="86"/>
      <c r="V218" s="86"/>
      <c r="W218" s="86"/>
      <c r="X218" s="86"/>
      <c r="Y218" s="86"/>
      <c r="Z218" s="86"/>
    </row>
    <row r="219" spans="1:26" ht="16.5" customHeight="1">
      <c r="A219" s="109" t="s">
        <v>843</v>
      </c>
      <c r="B219" s="13" t="s">
        <v>844</v>
      </c>
      <c r="C219" s="91" t="s">
        <v>191</v>
      </c>
      <c r="D219" s="91" t="s">
        <v>1995</v>
      </c>
      <c r="E219" s="86"/>
      <c r="F219" s="86"/>
      <c r="G219" s="86"/>
      <c r="H219" s="86"/>
      <c r="I219" s="86"/>
      <c r="J219" s="86"/>
      <c r="K219" s="86"/>
      <c r="L219" s="86"/>
      <c r="M219" s="86"/>
      <c r="N219" s="86"/>
      <c r="O219" s="86"/>
      <c r="P219" s="86"/>
      <c r="Q219" s="86"/>
      <c r="R219" s="86"/>
      <c r="S219" s="86"/>
      <c r="T219" s="86"/>
      <c r="U219" s="86"/>
      <c r="V219" s="86"/>
      <c r="W219" s="86"/>
      <c r="X219" s="86"/>
      <c r="Y219" s="86"/>
      <c r="Z219" s="86"/>
    </row>
    <row r="220" spans="1:26" ht="16.5" customHeight="1">
      <c r="A220" s="3" t="s">
        <v>237</v>
      </c>
      <c r="B220" s="13" t="s">
        <v>238</v>
      </c>
      <c r="C220" s="91" t="s">
        <v>191</v>
      </c>
      <c r="D220" s="91" t="s">
        <v>1996</v>
      </c>
      <c r="E220" s="86"/>
      <c r="F220" s="86"/>
      <c r="G220" s="86"/>
      <c r="H220" s="86"/>
      <c r="I220" s="86"/>
      <c r="J220" s="86"/>
      <c r="K220" s="86"/>
      <c r="L220" s="86"/>
      <c r="M220" s="86"/>
      <c r="N220" s="86"/>
      <c r="O220" s="86"/>
      <c r="P220" s="86"/>
      <c r="Q220" s="86"/>
      <c r="R220" s="86"/>
      <c r="S220" s="86"/>
      <c r="T220" s="86"/>
      <c r="U220" s="86"/>
      <c r="V220" s="86"/>
      <c r="W220" s="86"/>
      <c r="X220" s="86"/>
      <c r="Y220" s="86"/>
      <c r="Z220" s="86"/>
    </row>
    <row r="221" spans="1:26" ht="15.75" customHeight="1">
      <c r="A221" s="109" t="s">
        <v>846</v>
      </c>
      <c r="B221" s="13" t="s">
        <v>847</v>
      </c>
      <c r="C221" s="91" t="s">
        <v>191</v>
      </c>
      <c r="D221" s="91" t="s">
        <v>1997</v>
      </c>
      <c r="E221" s="86"/>
      <c r="F221" s="86"/>
      <c r="G221" s="86"/>
      <c r="H221" s="86"/>
      <c r="I221" s="86"/>
      <c r="J221" s="86"/>
      <c r="K221" s="86"/>
      <c r="L221" s="86"/>
      <c r="M221" s="86"/>
      <c r="N221" s="86"/>
      <c r="O221" s="86"/>
      <c r="P221" s="86"/>
      <c r="Q221" s="86"/>
      <c r="R221" s="86"/>
      <c r="S221" s="86"/>
      <c r="T221" s="86"/>
      <c r="U221" s="86"/>
      <c r="V221" s="86"/>
      <c r="W221" s="86"/>
      <c r="X221" s="86"/>
      <c r="Y221" s="86"/>
      <c r="Z221" s="86"/>
    </row>
    <row r="222" spans="1:26" ht="15.75" customHeight="1">
      <c r="A222" s="89" t="s">
        <v>597</v>
      </c>
      <c r="B222" s="13" t="s">
        <v>598</v>
      </c>
      <c r="C222" s="89" t="s">
        <v>205</v>
      </c>
      <c r="D222" s="112" t="s">
        <v>1998</v>
      </c>
      <c r="E222" s="89"/>
      <c r="F222" s="89"/>
      <c r="G222" s="89"/>
      <c r="H222" s="89"/>
      <c r="I222" s="89"/>
      <c r="J222" s="89"/>
      <c r="K222" s="89"/>
      <c r="L222" s="89"/>
      <c r="M222" s="89"/>
      <c r="N222" s="89"/>
      <c r="O222" s="89"/>
      <c r="P222" s="89"/>
      <c r="Q222" s="89"/>
      <c r="R222" s="89"/>
      <c r="S222" s="89"/>
      <c r="T222" s="89"/>
      <c r="U222" s="89"/>
      <c r="V222" s="89"/>
      <c r="W222" s="89"/>
      <c r="X222" s="89"/>
      <c r="Y222" s="89"/>
      <c r="Z222" s="89"/>
    </row>
    <row r="223" spans="1:26" ht="15.75" customHeight="1">
      <c r="A223" s="3" t="s">
        <v>1999</v>
      </c>
      <c r="B223" s="13" t="s">
        <v>171</v>
      </c>
      <c r="C223" s="91" t="s">
        <v>1708</v>
      </c>
      <c r="D223" s="91" t="s">
        <v>2000</v>
      </c>
      <c r="E223" s="86"/>
      <c r="F223" s="86"/>
      <c r="G223" s="86"/>
      <c r="H223" s="86"/>
      <c r="I223" s="86"/>
      <c r="J223" s="86"/>
      <c r="K223" s="86"/>
      <c r="L223" s="86"/>
      <c r="M223" s="86"/>
      <c r="N223" s="86"/>
      <c r="O223" s="86"/>
      <c r="P223" s="86"/>
      <c r="Q223" s="86"/>
      <c r="R223" s="86"/>
      <c r="S223" s="86"/>
      <c r="T223" s="86"/>
      <c r="U223" s="86"/>
      <c r="V223" s="86"/>
      <c r="W223" s="86"/>
      <c r="X223" s="86"/>
      <c r="Y223" s="86"/>
      <c r="Z223" s="86"/>
    </row>
    <row r="224" spans="1:26" ht="15.75" customHeight="1">
      <c r="A224" s="109" t="s">
        <v>195</v>
      </c>
      <c r="B224" s="13" t="s">
        <v>196</v>
      </c>
      <c r="C224" s="91" t="s">
        <v>1708</v>
      </c>
      <c r="D224" s="91" t="s">
        <v>2001</v>
      </c>
      <c r="E224" s="86"/>
      <c r="F224" s="86"/>
      <c r="G224" s="86"/>
      <c r="H224" s="86"/>
      <c r="I224" s="86"/>
      <c r="J224" s="86"/>
      <c r="K224" s="86"/>
      <c r="L224" s="86"/>
      <c r="M224" s="86"/>
      <c r="N224" s="86"/>
      <c r="O224" s="86"/>
      <c r="P224" s="86"/>
      <c r="Q224" s="86"/>
      <c r="R224" s="86"/>
      <c r="S224" s="86"/>
      <c r="T224" s="86"/>
      <c r="U224" s="86"/>
      <c r="V224" s="86"/>
      <c r="W224" s="86"/>
      <c r="X224" s="86"/>
      <c r="Y224" s="86"/>
      <c r="Z224" s="86"/>
    </row>
    <row r="225" spans="1:26" ht="16.5" customHeight="1">
      <c r="A225" s="3" t="s">
        <v>603</v>
      </c>
      <c r="B225" s="13" t="s">
        <v>604</v>
      </c>
      <c r="C225" s="91" t="s">
        <v>1708</v>
      </c>
      <c r="D225" s="91" t="s">
        <v>2002</v>
      </c>
      <c r="E225" s="86"/>
      <c r="F225" s="86"/>
      <c r="G225" s="86"/>
      <c r="H225" s="86"/>
      <c r="I225" s="86"/>
      <c r="J225" s="86"/>
      <c r="K225" s="86"/>
      <c r="L225" s="86"/>
      <c r="M225" s="86"/>
      <c r="N225" s="86"/>
      <c r="O225" s="86"/>
      <c r="P225" s="86"/>
      <c r="Q225" s="86"/>
      <c r="R225" s="86"/>
      <c r="S225" s="86"/>
      <c r="T225" s="86"/>
      <c r="U225" s="86"/>
      <c r="V225" s="86"/>
      <c r="W225" s="86"/>
      <c r="X225" s="86"/>
      <c r="Y225" s="86"/>
      <c r="Z225" s="86"/>
    </row>
    <row r="226" spans="1:26" ht="15.75" customHeight="1">
      <c r="A226" s="3" t="s">
        <v>393</v>
      </c>
      <c r="B226" s="13" t="s">
        <v>394</v>
      </c>
      <c r="C226" s="91" t="s">
        <v>1708</v>
      </c>
      <c r="D226" s="91" t="s">
        <v>2003</v>
      </c>
      <c r="E226" s="86"/>
      <c r="F226" s="86"/>
      <c r="G226" s="86"/>
      <c r="H226" s="86"/>
      <c r="I226" s="86"/>
      <c r="J226" s="86"/>
      <c r="K226" s="86"/>
      <c r="L226" s="86"/>
      <c r="M226" s="86"/>
      <c r="N226" s="86"/>
      <c r="O226" s="86"/>
      <c r="P226" s="86"/>
      <c r="Q226" s="86"/>
      <c r="R226" s="86"/>
      <c r="S226" s="86"/>
      <c r="T226" s="86"/>
      <c r="U226" s="86"/>
      <c r="V226" s="86"/>
      <c r="W226" s="86"/>
      <c r="X226" s="86"/>
      <c r="Y226" s="86"/>
      <c r="Z226" s="86"/>
    </row>
    <row r="227" spans="1:26" ht="15.75" customHeight="1">
      <c r="A227" s="86" t="s">
        <v>2004</v>
      </c>
      <c r="B227" s="13" t="s">
        <v>1331</v>
      </c>
      <c r="C227" s="86" t="s">
        <v>1708</v>
      </c>
      <c r="D227" s="86" t="s">
        <v>2005</v>
      </c>
      <c r="E227" s="86"/>
      <c r="F227" s="86"/>
      <c r="G227" s="86"/>
      <c r="H227" s="86"/>
      <c r="I227" s="86"/>
      <c r="J227" s="86"/>
      <c r="K227" s="86"/>
      <c r="L227" s="86"/>
      <c r="M227" s="86"/>
      <c r="N227" s="86"/>
      <c r="O227" s="86"/>
      <c r="P227" s="86"/>
      <c r="Q227" s="86"/>
      <c r="R227" s="86"/>
      <c r="S227" s="86"/>
      <c r="T227" s="86"/>
      <c r="U227" s="86"/>
      <c r="V227" s="86"/>
      <c r="W227" s="86"/>
      <c r="X227" s="86"/>
      <c r="Y227" s="86"/>
      <c r="Z227" s="86"/>
    </row>
    <row r="228" spans="1:26" ht="15.75" customHeight="1">
      <c r="A228" s="109" t="s">
        <v>1179</v>
      </c>
      <c r="B228" s="13" t="s">
        <v>1180</v>
      </c>
      <c r="C228" s="91" t="s">
        <v>1763</v>
      </c>
      <c r="D228" s="91" t="s">
        <v>2006</v>
      </c>
      <c r="E228" s="86"/>
      <c r="F228" s="86"/>
      <c r="G228" s="86"/>
      <c r="H228" s="86"/>
      <c r="I228" s="86"/>
      <c r="J228" s="86"/>
      <c r="K228" s="86"/>
      <c r="L228" s="86"/>
      <c r="M228" s="86"/>
      <c r="N228" s="86"/>
      <c r="O228" s="86"/>
      <c r="P228" s="86"/>
      <c r="Q228" s="86"/>
      <c r="R228" s="86"/>
      <c r="S228" s="86"/>
      <c r="T228" s="86"/>
      <c r="U228" s="86"/>
      <c r="V228" s="86"/>
      <c r="W228" s="86"/>
      <c r="X228" s="86"/>
      <c r="Y228" s="86"/>
      <c r="Z228" s="86"/>
    </row>
    <row r="229" spans="1:26" ht="15.75" customHeight="1">
      <c r="A229" s="109" t="s">
        <v>459</v>
      </c>
      <c r="B229" s="13" t="s">
        <v>460</v>
      </c>
      <c r="C229" s="91" t="s">
        <v>1763</v>
      </c>
      <c r="D229" s="91" t="s">
        <v>2007</v>
      </c>
      <c r="E229" s="86"/>
      <c r="F229" s="86"/>
      <c r="G229" s="86"/>
      <c r="H229" s="86"/>
      <c r="I229" s="86"/>
      <c r="J229" s="86"/>
      <c r="K229" s="86"/>
      <c r="L229" s="86"/>
      <c r="M229" s="86"/>
      <c r="N229" s="86"/>
      <c r="O229" s="86"/>
      <c r="P229" s="86"/>
      <c r="Q229" s="86"/>
      <c r="R229" s="86"/>
      <c r="S229" s="86"/>
      <c r="T229" s="86"/>
      <c r="U229" s="86"/>
      <c r="V229" s="86"/>
      <c r="W229" s="86"/>
      <c r="X229" s="86"/>
      <c r="Y229" s="86"/>
      <c r="Z229" s="86"/>
    </row>
    <row r="230" spans="1:26" ht="15.75" customHeight="1">
      <c r="A230" s="109" t="s">
        <v>475</v>
      </c>
      <c r="B230" s="13" t="s">
        <v>476</v>
      </c>
      <c r="C230" s="91" t="s">
        <v>116</v>
      </c>
      <c r="D230" s="91" t="s">
        <v>2008</v>
      </c>
      <c r="E230" s="86"/>
      <c r="F230" s="86"/>
      <c r="G230" s="86"/>
      <c r="H230" s="86"/>
      <c r="I230" s="86"/>
      <c r="J230" s="86"/>
      <c r="K230" s="86"/>
      <c r="L230" s="86"/>
      <c r="M230" s="86"/>
      <c r="N230" s="86"/>
      <c r="O230" s="86"/>
      <c r="P230" s="86"/>
      <c r="Q230" s="86"/>
      <c r="R230" s="86"/>
      <c r="S230" s="86"/>
      <c r="T230" s="86"/>
      <c r="U230" s="86"/>
      <c r="V230" s="86"/>
      <c r="W230" s="86"/>
      <c r="X230" s="86"/>
      <c r="Y230" s="86"/>
      <c r="Z230" s="86"/>
    </row>
    <row r="231" spans="1:26" ht="15.75" customHeight="1">
      <c r="A231" s="109" t="s">
        <v>736</v>
      </c>
      <c r="B231" s="13" t="s">
        <v>737</v>
      </c>
      <c r="C231" s="91" t="s">
        <v>116</v>
      </c>
      <c r="D231" s="91" t="s">
        <v>2009</v>
      </c>
      <c r="E231" s="86"/>
      <c r="F231" s="86"/>
      <c r="G231" s="86"/>
      <c r="H231" s="86"/>
      <c r="I231" s="86"/>
      <c r="J231" s="86"/>
      <c r="K231" s="86"/>
      <c r="L231" s="86"/>
      <c r="M231" s="86"/>
      <c r="N231" s="86"/>
      <c r="O231" s="86"/>
      <c r="P231" s="86"/>
      <c r="Q231" s="86"/>
      <c r="R231" s="86"/>
      <c r="S231" s="86"/>
      <c r="T231" s="86"/>
      <c r="U231" s="86"/>
      <c r="V231" s="86"/>
      <c r="W231" s="86"/>
      <c r="X231" s="86"/>
      <c r="Y231" s="86"/>
      <c r="Z231" s="86"/>
    </row>
    <row r="232" spans="1:26" ht="15.75" customHeight="1">
      <c r="A232" s="109" t="s">
        <v>1420</v>
      </c>
      <c r="B232" s="13" t="s">
        <v>1421</v>
      </c>
      <c r="C232" s="91" t="s">
        <v>1870</v>
      </c>
      <c r="D232" s="91" t="s">
        <v>2010</v>
      </c>
      <c r="E232" s="86"/>
      <c r="F232" s="86"/>
      <c r="G232" s="86"/>
      <c r="H232" s="86"/>
      <c r="I232" s="86"/>
      <c r="J232" s="86"/>
      <c r="K232" s="86"/>
      <c r="L232" s="86"/>
      <c r="M232" s="86"/>
      <c r="N232" s="86"/>
      <c r="O232" s="86"/>
      <c r="P232" s="86"/>
      <c r="Q232" s="86"/>
      <c r="R232" s="86"/>
      <c r="S232" s="86"/>
      <c r="T232" s="86"/>
      <c r="U232" s="86"/>
      <c r="V232" s="86"/>
      <c r="W232" s="86"/>
      <c r="X232" s="86"/>
      <c r="Y232" s="86"/>
      <c r="Z232" s="86"/>
    </row>
    <row r="233" spans="1:26" ht="15.75" customHeight="1">
      <c r="A233" s="109" t="s">
        <v>745</v>
      </c>
      <c r="B233" s="13" t="s">
        <v>746</v>
      </c>
      <c r="C233" s="91" t="s">
        <v>1870</v>
      </c>
      <c r="D233" s="91" t="s">
        <v>2011</v>
      </c>
      <c r="E233" s="86"/>
      <c r="F233" s="86"/>
      <c r="G233" s="86"/>
      <c r="H233" s="86"/>
      <c r="I233" s="86"/>
      <c r="J233" s="86"/>
      <c r="K233" s="86"/>
      <c r="L233" s="86"/>
      <c r="M233" s="86"/>
      <c r="N233" s="86"/>
      <c r="O233" s="86"/>
      <c r="P233" s="86"/>
      <c r="Q233" s="86"/>
      <c r="R233" s="86"/>
      <c r="S233" s="86"/>
      <c r="T233" s="86"/>
      <c r="U233" s="86"/>
      <c r="V233" s="86"/>
      <c r="W233" s="86"/>
      <c r="X233" s="86"/>
      <c r="Y233" s="86"/>
      <c r="Z233" s="86"/>
    </row>
    <row r="234" spans="1:26" ht="15.75" customHeight="1">
      <c r="A234" s="109" t="s">
        <v>547</v>
      </c>
      <c r="B234" s="13" t="s">
        <v>548</v>
      </c>
      <c r="C234" s="91" t="s">
        <v>544</v>
      </c>
      <c r="D234" s="91" t="s">
        <v>2012</v>
      </c>
      <c r="E234" s="86"/>
      <c r="F234" s="86"/>
      <c r="G234" s="86"/>
      <c r="H234" s="86"/>
      <c r="I234" s="86"/>
      <c r="J234" s="86"/>
      <c r="K234" s="86"/>
      <c r="L234" s="86"/>
      <c r="M234" s="86"/>
      <c r="N234" s="86"/>
      <c r="O234" s="86"/>
      <c r="P234" s="86"/>
      <c r="Q234" s="86"/>
      <c r="R234" s="86"/>
      <c r="S234" s="86"/>
      <c r="T234" s="86"/>
      <c r="U234" s="86"/>
      <c r="V234" s="86"/>
      <c r="W234" s="86"/>
      <c r="X234" s="86"/>
      <c r="Y234" s="86"/>
      <c r="Z234" s="86"/>
    </row>
    <row r="235" spans="1:26" ht="15.75" customHeight="1">
      <c r="A235" s="109" t="s">
        <v>823</v>
      </c>
      <c r="B235" s="13" t="s">
        <v>824</v>
      </c>
      <c r="C235" s="91" t="s">
        <v>179</v>
      </c>
      <c r="D235" s="91" t="s">
        <v>2013</v>
      </c>
      <c r="E235" s="86"/>
      <c r="F235" s="86"/>
      <c r="G235" s="86"/>
      <c r="H235" s="86"/>
      <c r="I235" s="86"/>
      <c r="J235" s="86"/>
      <c r="K235" s="86"/>
      <c r="L235" s="86"/>
      <c r="M235" s="86"/>
      <c r="N235" s="86"/>
      <c r="O235" s="86"/>
      <c r="P235" s="86"/>
      <c r="Q235" s="86"/>
      <c r="R235" s="86"/>
      <c r="S235" s="86"/>
      <c r="T235" s="86"/>
      <c r="U235" s="86"/>
      <c r="V235" s="86"/>
      <c r="W235" s="86"/>
      <c r="X235" s="86"/>
      <c r="Y235" s="86"/>
      <c r="Z235" s="86"/>
    </row>
    <row r="236" spans="1:26" ht="15.75" customHeight="1">
      <c r="A236" s="109" t="s">
        <v>1619</v>
      </c>
      <c r="B236" s="13" t="s">
        <v>1620</v>
      </c>
      <c r="C236" s="91" t="s">
        <v>191</v>
      </c>
      <c r="D236" s="91" t="s">
        <v>2014</v>
      </c>
      <c r="E236" s="86"/>
      <c r="F236" s="86"/>
      <c r="G236" s="86"/>
      <c r="H236" s="86"/>
      <c r="I236" s="86"/>
      <c r="J236" s="86"/>
      <c r="K236" s="86"/>
      <c r="L236" s="86"/>
      <c r="M236" s="86"/>
      <c r="N236" s="86"/>
      <c r="O236" s="86"/>
      <c r="P236" s="86"/>
      <c r="Q236" s="86"/>
      <c r="R236" s="86"/>
      <c r="S236" s="86"/>
      <c r="T236" s="86"/>
      <c r="U236" s="86"/>
      <c r="V236" s="86"/>
      <c r="W236" s="86"/>
      <c r="X236" s="86"/>
      <c r="Y236" s="86"/>
      <c r="Z236" s="86"/>
    </row>
    <row r="237" spans="1:26" ht="15.75" customHeight="1">
      <c r="A237" s="109" t="s">
        <v>306</v>
      </c>
      <c r="B237" s="13" t="s">
        <v>874</v>
      </c>
      <c r="C237" s="86" t="s">
        <v>672</v>
      </c>
      <c r="D237" s="93" t="s">
        <v>2015</v>
      </c>
      <c r="E237" s="86"/>
      <c r="F237" s="86"/>
      <c r="G237" s="86"/>
      <c r="H237" s="86"/>
      <c r="I237" s="86"/>
      <c r="J237" s="86"/>
      <c r="K237" s="86"/>
      <c r="L237" s="86"/>
      <c r="M237" s="86"/>
      <c r="N237" s="86"/>
      <c r="O237" s="86"/>
      <c r="P237" s="86"/>
      <c r="Q237" s="86"/>
      <c r="R237" s="86"/>
      <c r="S237" s="86"/>
      <c r="T237" s="86"/>
      <c r="U237" s="86"/>
      <c r="V237" s="86"/>
      <c r="W237" s="86"/>
      <c r="X237" s="86"/>
      <c r="Y237" s="86"/>
      <c r="Z237" s="86"/>
    </row>
    <row r="238" spans="1:26" ht="15.75" customHeight="1">
      <c r="A238" s="86" t="s">
        <v>329</v>
      </c>
      <c r="B238" s="13" t="s">
        <v>330</v>
      </c>
      <c r="C238" s="91" t="s">
        <v>682</v>
      </c>
      <c r="D238" s="91" t="s">
        <v>2016</v>
      </c>
      <c r="E238" s="86"/>
      <c r="F238" s="86"/>
      <c r="G238" s="86"/>
      <c r="H238" s="86"/>
      <c r="I238" s="86"/>
      <c r="J238" s="86"/>
      <c r="K238" s="86"/>
      <c r="L238" s="86"/>
      <c r="M238" s="86"/>
      <c r="N238" s="86"/>
      <c r="O238" s="86"/>
      <c r="P238" s="86"/>
      <c r="Q238" s="86"/>
      <c r="R238" s="86"/>
      <c r="S238" s="86"/>
      <c r="T238" s="86"/>
      <c r="U238" s="86"/>
      <c r="V238" s="86"/>
      <c r="W238" s="86"/>
      <c r="X238" s="86"/>
      <c r="Y238" s="86"/>
      <c r="Z238" s="86"/>
    </row>
    <row r="239" spans="1:26" ht="15.75" customHeight="1">
      <c r="A239" s="119" t="s">
        <v>712</v>
      </c>
      <c r="B239" s="13" t="s">
        <v>713</v>
      </c>
      <c r="C239" s="86" t="s">
        <v>629</v>
      </c>
      <c r="D239" s="91" t="s">
        <v>2017</v>
      </c>
      <c r="E239" s="86"/>
      <c r="F239" s="86"/>
      <c r="G239" s="86"/>
      <c r="H239" s="86"/>
      <c r="I239" s="86"/>
      <c r="J239" s="86"/>
      <c r="K239" s="86"/>
      <c r="L239" s="86"/>
      <c r="M239" s="86"/>
      <c r="N239" s="86"/>
      <c r="O239" s="86"/>
      <c r="P239" s="86"/>
      <c r="Q239" s="86"/>
      <c r="R239" s="86"/>
      <c r="S239" s="86"/>
      <c r="T239" s="86"/>
      <c r="U239" s="86"/>
      <c r="V239" s="86"/>
      <c r="W239" s="86"/>
      <c r="X239" s="86"/>
      <c r="Y239" s="86"/>
      <c r="Z239" s="86"/>
    </row>
    <row r="240" spans="1:26" ht="15.75" customHeight="1">
      <c r="A240" s="109" t="s">
        <v>470</v>
      </c>
      <c r="B240" s="13" t="s">
        <v>471</v>
      </c>
      <c r="C240" s="91" t="s">
        <v>1763</v>
      </c>
      <c r="D240" s="91" t="s">
        <v>2018</v>
      </c>
      <c r="E240" s="86"/>
      <c r="F240" s="86"/>
      <c r="G240" s="86"/>
      <c r="H240" s="86"/>
      <c r="I240" s="86"/>
      <c r="J240" s="86"/>
      <c r="K240" s="86"/>
      <c r="L240" s="86"/>
      <c r="M240" s="86"/>
      <c r="N240" s="86"/>
      <c r="O240" s="86"/>
      <c r="P240" s="86"/>
      <c r="Q240" s="86"/>
      <c r="R240" s="86"/>
      <c r="S240" s="86"/>
      <c r="T240" s="86"/>
      <c r="U240" s="86"/>
      <c r="V240" s="86"/>
      <c r="W240" s="86"/>
      <c r="X240" s="86"/>
      <c r="Y240" s="86"/>
      <c r="Z240" s="86"/>
    </row>
    <row r="241" spans="1:26" ht="15.75" customHeight="1">
      <c r="A241" s="89" t="s">
        <v>1693</v>
      </c>
      <c r="B241" s="13" t="s">
        <v>1694</v>
      </c>
      <c r="C241" s="89" t="s">
        <v>1870</v>
      </c>
      <c r="D241" s="112" t="s">
        <v>2019</v>
      </c>
      <c r="E241" s="89"/>
      <c r="F241" s="89"/>
      <c r="G241" s="89"/>
      <c r="H241" s="89"/>
      <c r="I241" s="89"/>
      <c r="J241" s="89"/>
      <c r="K241" s="89"/>
      <c r="L241" s="89"/>
      <c r="M241" s="89"/>
      <c r="N241" s="89"/>
      <c r="O241" s="89"/>
      <c r="P241" s="89"/>
      <c r="Q241" s="89"/>
      <c r="R241" s="89"/>
      <c r="S241" s="89"/>
      <c r="T241" s="89"/>
      <c r="U241" s="89"/>
      <c r="V241" s="89"/>
      <c r="W241" s="89"/>
      <c r="X241" s="89"/>
      <c r="Y241" s="89"/>
      <c r="Z241" s="89"/>
    </row>
    <row r="242" spans="1:26" ht="15.75" customHeight="1">
      <c r="A242" s="86" t="s">
        <v>1586</v>
      </c>
      <c r="B242" s="13" t="s">
        <v>1587</v>
      </c>
      <c r="C242" s="91" t="s">
        <v>1870</v>
      </c>
      <c r="D242" s="91" t="s">
        <v>2020</v>
      </c>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5.75" customHeight="1">
      <c r="A243" s="120" t="s">
        <v>1458</v>
      </c>
      <c r="B243" s="13" t="s">
        <v>1459</v>
      </c>
      <c r="C243" s="91" t="s">
        <v>1870</v>
      </c>
      <c r="D243" s="91" t="s">
        <v>2021</v>
      </c>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5.75" customHeight="1">
      <c r="A244" s="109" t="s">
        <v>976</v>
      </c>
      <c r="B244" s="13" t="s">
        <v>977</v>
      </c>
      <c r="C244" s="91" t="s">
        <v>1870</v>
      </c>
      <c r="D244" s="91" t="s">
        <v>2022</v>
      </c>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5.75" customHeight="1">
      <c r="A245" s="89" t="s">
        <v>527</v>
      </c>
      <c r="B245" s="13" t="s">
        <v>528</v>
      </c>
      <c r="C245" s="89" t="s">
        <v>1870</v>
      </c>
      <c r="D245" s="112" t="s">
        <v>2023</v>
      </c>
      <c r="E245" s="89"/>
      <c r="F245" s="89"/>
      <c r="G245" s="89"/>
      <c r="H245" s="89"/>
      <c r="I245" s="89"/>
      <c r="J245" s="89"/>
      <c r="K245" s="89"/>
      <c r="L245" s="89"/>
      <c r="M245" s="89"/>
      <c r="N245" s="89"/>
      <c r="O245" s="89"/>
      <c r="P245" s="89"/>
      <c r="Q245" s="89"/>
      <c r="R245" s="89"/>
      <c r="S245" s="89"/>
      <c r="T245" s="89"/>
      <c r="U245" s="89"/>
      <c r="V245" s="89"/>
      <c r="W245" s="89"/>
      <c r="X245" s="89"/>
      <c r="Y245" s="89"/>
      <c r="Z245" s="89"/>
    </row>
    <row r="246" spans="1:26" ht="15.75" customHeight="1">
      <c r="A246" s="109" t="s">
        <v>1594</v>
      </c>
      <c r="B246" s="13" t="s">
        <v>1595</v>
      </c>
      <c r="C246" s="91" t="s">
        <v>1870</v>
      </c>
      <c r="D246" s="91" t="s">
        <v>2024</v>
      </c>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5.75" customHeight="1">
      <c r="A247" s="109" t="s">
        <v>512</v>
      </c>
      <c r="B247" s="13" t="s">
        <v>513</v>
      </c>
      <c r="C247" s="91" t="s">
        <v>1870</v>
      </c>
      <c r="D247" s="91" t="s">
        <v>2025</v>
      </c>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5.75" customHeight="1">
      <c r="A248" s="109" t="s">
        <v>136</v>
      </c>
      <c r="B248" s="13" t="s">
        <v>137</v>
      </c>
      <c r="C248" s="91" t="s">
        <v>126</v>
      </c>
      <c r="D248" s="91" t="s">
        <v>2026</v>
      </c>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5.75" customHeight="1">
      <c r="A249" s="86" t="s">
        <v>1322</v>
      </c>
      <c r="B249" s="13" t="s">
        <v>1323</v>
      </c>
      <c r="C249" s="86" t="s">
        <v>353</v>
      </c>
      <c r="D249" s="86" t="s">
        <v>2027</v>
      </c>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5.75" customHeight="1">
      <c r="A250" s="109" t="s">
        <v>375</v>
      </c>
      <c r="B250" s="115" t="s">
        <v>376</v>
      </c>
      <c r="C250" s="114" t="s">
        <v>374</v>
      </c>
      <c r="D250" s="114" t="s">
        <v>2028</v>
      </c>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5.75" customHeight="1">
      <c r="A251" s="3" t="s">
        <v>267</v>
      </c>
      <c r="B251" s="13" t="s">
        <v>268</v>
      </c>
      <c r="C251" s="91" t="s">
        <v>1708</v>
      </c>
      <c r="D251" s="91" t="s">
        <v>2029</v>
      </c>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5.75" customHeight="1">
      <c r="A252" s="3" t="s">
        <v>167</v>
      </c>
      <c r="B252" s="13" t="s">
        <v>168</v>
      </c>
      <c r="C252" s="91" t="s">
        <v>1708</v>
      </c>
      <c r="D252" s="91" t="s">
        <v>2030</v>
      </c>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5.75" customHeight="1">
      <c r="A253" s="86" t="s">
        <v>175</v>
      </c>
      <c r="B253" s="13" t="s">
        <v>176</v>
      </c>
      <c r="C253" s="91" t="s">
        <v>1708</v>
      </c>
      <c r="D253" s="91" t="s">
        <v>2031</v>
      </c>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5.75" customHeight="1">
      <c r="A254" s="109" t="s">
        <v>542</v>
      </c>
      <c r="B254" s="13" t="s">
        <v>543</v>
      </c>
      <c r="C254" s="91" t="s">
        <v>1708</v>
      </c>
      <c r="D254" s="91" t="s">
        <v>2032</v>
      </c>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5.75" customHeight="1">
      <c r="A255" s="89" t="s">
        <v>443</v>
      </c>
      <c r="B255" s="13" t="s">
        <v>444</v>
      </c>
      <c r="C255" s="89" t="s">
        <v>629</v>
      </c>
      <c r="D255" s="112" t="s">
        <v>2033</v>
      </c>
      <c r="E255" s="89"/>
      <c r="F255" s="89"/>
      <c r="G255" s="89"/>
      <c r="H255" s="89"/>
      <c r="I255" s="89"/>
      <c r="J255" s="89"/>
      <c r="K255" s="89"/>
      <c r="L255" s="89"/>
      <c r="M255" s="89"/>
      <c r="N255" s="89"/>
      <c r="O255" s="89"/>
      <c r="P255" s="89"/>
      <c r="Q255" s="89"/>
      <c r="R255" s="89"/>
      <c r="S255" s="89"/>
      <c r="T255" s="89"/>
      <c r="U255" s="89"/>
      <c r="V255" s="89"/>
      <c r="W255" s="89"/>
      <c r="X255" s="89"/>
      <c r="Y255" s="89"/>
      <c r="Z255" s="89"/>
    </row>
    <row r="256" spans="1:26" ht="15.75" customHeight="1">
      <c r="A256" s="49" t="s">
        <v>935</v>
      </c>
      <c r="B256" s="13" t="s">
        <v>936</v>
      </c>
      <c r="C256" s="86" t="s">
        <v>629</v>
      </c>
      <c r="D256" s="91" t="s">
        <v>2034</v>
      </c>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5.75" customHeight="1">
      <c r="A257" s="119" t="s">
        <v>923</v>
      </c>
      <c r="B257" s="13" t="s">
        <v>924</v>
      </c>
      <c r="C257" s="86" t="s">
        <v>629</v>
      </c>
      <c r="D257" s="91" t="s">
        <v>2035</v>
      </c>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5.75" customHeight="1">
      <c r="A258" s="86" t="s">
        <v>938</v>
      </c>
      <c r="B258" s="13" t="s">
        <v>939</v>
      </c>
      <c r="C258" s="86" t="s">
        <v>629</v>
      </c>
      <c r="D258" s="91" t="s">
        <v>2036</v>
      </c>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5.75" customHeight="1">
      <c r="A259" s="109" t="s">
        <v>270</v>
      </c>
      <c r="B259" s="13" t="s">
        <v>271</v>
      </c>
      <c r="C259" s="91" t="s">
        <v>1763</v>
      </c>
      <c r="D259" s="91" t="s">
        <v>2037</v>
      </c>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5.75" customHeight="1">
      <c r="A260" s="11" t="s">
        <v>1530</v>
      </c>
      <c r="B260" s="13" t="s">
        <v>1531</v>
      </c>
      <c r="C260" s="91" t="s">
        <v>116</v>
      </c>
      <c r="D260" s="91" t="s">
        <v>2038</v>
      </c>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5.75" customHeight="1">
      <c r="A261" s="109" t="s">
        <v>481</v>
      </c>
      <c r="B261" s="13" t="s">
        <v>482</v>
      </c>
      <c r="C261" s="91" t="s">
        <v>116</v>
      </c>
      <c r="D261" s="91" t="s">
        <v>2039</v>
      </c>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5.75" customHeight="1">
      <c r="A262" s="3" t="s">
        <v>514</v>
      </c>
      <c r="B262" s="13" t="s">
        <v>515</v>
      </c>
      <c r="C262" s="91" t="s">
        <v>1870</v>
      </c>
      <c r="D262" s="91" t="s">
        <v>2040</v>
      </c>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5.75" customHeight="1">
      <c r="A263" s="109" t="s">
        <v>1433</v>
      </c>
      <c r="B263" s="13" t="s">
        <v>1434</v>
      </c>
      <c r="C263" s="91" t="s">
        <v>1870</v>
      </c>
      <c r="D263" s="91" t="s">
        <v>2041</v>
      </c>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5.75" customHeight="1">
      <c r="A264" s="109" t="s">
        <v>1159</v>
      </c>
      <c r="B264" s="13" t="s">
        <v>1160</v>
      </c>
      <c r="C264" s="91" t="s">
        <v>1870</v>
      </c>
      <c r="D264" s="91" t="s">
        <v>2042</v>
      </c>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5.75" customHeight="1">
      <c r="A265" s="3" t="s">
        <v>122</v>
      </c>
      <c r="B265" s="13" t="s">
        <v>123</v>
      </c>
      <c r="C265" s="91" t="s">
        <v>1831</v>
      </c>
      <c r="D265" s="91" t="s">
        <v>2043</v>
      </c>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5.75" customHeight="1">
      <c r="A266" s="109" t="s">
        <v>142</v>
      </c>
      <c r="B266" s="13" t="s">
        <v>2044</v>
      </c>
      <c r="C266" s="91" t="s">
        <v>126</v>
      </c>
      <c r="D266" s="91" t="s">
        <v>2045</v>
      </c>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5.75" customHeight="1">
      <c r="A267" s="109" t="s">
        <v>131</v>
      </c>
      <c r="B267" s="13" t="s">
        <v>132</v>
      </c>
      <c r="C267" s="91" t="s">
        <v>126</v>
      </c>
      <c r="D267" s="91" t="s">
        <v>2046</v>
      </c>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5.75" customHeight="1">
      <c r="A268" s="109" t="s">
        <v>817</v>
      </c>
      <c r="B268" s="13" t="s">
        <v>818</v>
      </c>
      <c r="C268" s="91" t="s">
        <v>179</v>
      </c>
      <c r="D268" s="91" t="s">
        <v>2047</v>
      </c>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5.75" customHeight="1">
      <c r="A269" s="109" t="s">
        <v>194</v>
      </c>
      <c r="B269" s="13" t="s">
        <v>651</v>
      </c>
      <c r="C269" s="91" t="s">
        <v>191</v>
      </c>
      <c r="D269" s="91" t="s">
        <v>2048</v>
      </c>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5.75" customHeight="1">
      <c r="A270" s="3" t="s">
        <v>298</v>
      </c>
      <c r="B270" s="13" t="s">
        <v>299</v>
      </c>
      <c r="C270" s="91" t="s">
        <v>672</v>
      </c>
      <c r="D270" s="91" t="s">
        <v>2049</v>
      </c>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5.75" customHeight="1">
      <c r="A271" s="120" t="s">
        <v>868</v>
      </c>
      <c r="B271" s="13" t="s">
        <v>869</v>
      </c>
      <c r="C271" s="91" t="s">
        <v>672</v>
      </c>
      <c r="D271" s="91" t="s">
        <v>2050</v>
      </c>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5.75" customHeight="1">
      <c r="A272" s="120" t="s">
        <v>871</v>
      </c>
      <c r="B272" s="13" t="s">
        <v>872</v>
      </c>
      <c r="C272" s="86" t="s">
        <v>672</v>
      </c>
      <c r="D272" s="91" t="s">
        <v>2051</v>
      </c>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5.75" customHeight="1">
      <c r="A273" s="3" t="s">
        <v>124</v>
      </c>
      <c r="B273" s="13" t="s">
        <v>125</v>
      </c>
      <c r="C273" s="91" t="s">
        <v>1708</v>
      </c>
      <c r="D273" s="91" t="s">
        <v>2052</v>
      </c>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5.75" customHeight="1">
      <c r="A274" s="109" t="s">
        <v>341</v>
      </c>
      <c r="B274" s="13" t="s">
        <v>342</v>
      </c>
      <c r="C274" s="91" t="s">
        <v>1708</v>
      </c>
      <c r="D274" s="91" t="s">
        <v>2053</v>
      </c>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5.75" customHeight="1">
      <c r="A275" s="3" t="s">
        <v>349</v>
      </c>
      <c r="B275" s="13" t="s">
        <v>350</v>
      </c>
      <c r="C275" s="91" t="s">
        <v>1708</v>
      </c>
      <c r="D275" s="91" t="s">
        <v>2054</v>
      </c>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5.75" customHeight="1">
      <c r="A276" s="3" t="s">
        <v>234</v>
      </c>
      <c r="B276" s="13" t="s">
        <v>235</v>
      </c>
      <c r="C276" s="91" t="s">
        <v>1708</v>
      </c>
      <c r="D276" s="91" t="s">
        <v>2055</v>
      </c>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5.75" customHeight="1">
      <c r="A277" s="119" t="s">
        <v>435</v>
      </c>
      <c r="B277" s="13" t="s">
        <v>708</v>
      </c>
      <c r="C277" s="86" t="s">
        <v>629</v>
      </c>
      <c r="D277" s="91" t="s">
        <v>2056</v>
      </c>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5.75" customHeight="1">
      <c r="A278" s="109" t="s">
        <v>484</v>
      </c>
      <c r="B278" s="13" t="s">
        <v>485</v>
      </c>
      <c r="C278" s="91" t="s">
        <v>1870</v>
      </c>
      <c r="D278" s="91" t="s">
        <v>2057</v>
      </c>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5.75" customHeight="1">
      <c r="A279" s="109" t="s">
        <v>1470</v>
      </c>
      <c r="B279" s="13" t="s">
        <v>1471</v>
      </c>
      <c r="C279" s="91" t="s">
        <v>1870</v>
      </c>
      <c r="D279" s="91" t="s">
        <v>2058</v>
      </c>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5.75" customHeight="1">
      <c r="A280" s="109" t="s">
        <v>1175</v>
      </c>
      <c r="B280" s="13" t="s">
        <v>1176</v>
      </c>
      <c r="C280" s="91" t="s">
        <v>1870</v>
      </c>
      <c r="D280" s="91" t="s">
        <v>2059</v>
      </c>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5.75" customHeight="1">
      <c r="A281" s="109" t="s">
        <v>333</v>
      </c>
      <c r="B281" s="13" t="s">
        <v>334</v>
      </c>
      <c r="C281" s="91" t="s">
        <v>682</v>
      </c>
      <c r="D281" s="91" t="s">
        <v>2060</v>
      </c>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5.75" customHeight="1">
      <c r="A282" s="86" t="s">
        <v>325</v>
      </c>
      <c r="B282" s="13" t="s">
        <v>326</v>
      </c>
      <c r="C282" s="91" t="s">
        <v>682</v>
      </c>
      <c r="D282" s="91" t="s">
        <v>2061</v>
      </c>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5.75" customHeight="1">
      <c r="A283" s="109" t="s">
        <v>887</v>
      </c>
      <c r="B283" s="13" t="s">
        <v>888</v>
      </c>
      <c r="C283" s="86" t="s">
        <v>682</v>
      </c>
      <c r="D283" s="91" t="s">
        <v>2062</v>
      </c>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5.75" customHeight="1">
      <c r="A284" s="109" t="s">
        <v>363</v>
      </c>
      <c r="B284" s="13" t="s">
        <v>364</v>
      </c>
      <c r="C284" s="91" t="s">
        <v>353</v>
      </c>
      <c r="D284" s="91" t="s">
        <v>2064</v>
      </c>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5.75" customHeight="1">
      <c r="A285" s="109" t="s">
        <v>112</v>
      </c>
      <c r="B285" s="13" t="s">
        <v>113</v>
      </c>
      <c r="C285" s="91" t="s">
        <v>107</v>
      </c>
      <c r="D285" s="91" t="s">
        <v>2065</v>
      </c>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5.75" customHeight="1">
      <c r="A286" s="109" t="s">
        <v>161</v>
      </c>
      <c r="B286" s="13" t="s">
        <v>162</v>
      </c>
      <c r="C286" s="91" t="s">
        <v>1708</v>
      </c>
      <c r="D286" s="91" t="s">
        <v>2066</v>
      </c>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5.75" customHeight="1">
      <c r="A287" s="109" t="s">
        <v>432</v>
      </c>
      <c r="B287" s="13" t="s">
        <v>433</v>
      </c>
      <c r="C287" s="91" t="s">
        <v>1708</v>
      </c>
      <c r="D287" s="86" t="s">
        <v>2067</v>
      </c>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5.75" customHeight="1">
      <c r="A288" s="3" t="s">
        <v>391</v>
      </c>
      <c r="B288" s="13" t="s">
        <v>392</v>
      </c>
      <c r="C288" s="91" t="s">
        <v>1708</v>
      </c>
      <c r="D288" s="91" t="s">
        <v>2068</v>
      </c>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5.75" customHeight="1">
      <c r="A289" s="89" t="s">
        <v>177</v>
      </c>
      <c r="B289" s="13" t="s">
        <v>178</v>
      </c>
      <c r="C289" s="89" t="s">
        <v>1708</v>
      </c>
      <c r="D289" s="112" t="s">
        <v>2069</v>
      </c>
      <c r="E289" s="89"/>
      <c r="F289" s="89"/>
      <c r="G289" s="89"/>
      <c r="H289" s="89"/>
      <c r="I289" s="89"/>
      <c r="J289" s="89"/>
      <c r="K289" s="89"/>
      <c r="L289" s="89"/>
      <c r="M289" s="89"/>
      <c r="N289" s="89"/>
      <c r="O289" s="89"/>
      <c r="P289" s="89"/>
      <c r="Q289" s="89"/>
      <c r="R289" s="89"/>
      <c r="S289" s="89"/>
      <c r="T289" s="89"/>
      <c r="U289" s="89"/>
      <c r="V289" s="89"/>
      <c r="W289" s="89"/>
      <c r="X289" s="89"/>
      <c r="Y289" s="89"/>
      <c r="Z289" s="89"/>
    </row>
    <row r="290" spans="1:26" ht="15.75" customHeight="1">
      <c r="A290" s="109" t="s">
        <v>717</v>
      </c>
      <c r="B290" s="13" t="s">
        <v>927</v>
      </c>
      <c r="C290" s="86" t="s">
        <v>629</v>
      </c>
      <c r="D290" s="91" t="s">
        <v>2070</v>
      </c>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5.75" customHeight="1">
      <c r="A291" s="109" t="s">
        <v>118</v>
      </c>
      <c r="B291" s="13" t="s">
        <v>119</v>
      </c>
      <c r="C291" s="91" t="s">
        <v>1763</v>
      </c>
      <c r="D291" s="91" t="s">
        <v>2071</v>
      </c>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5.75" customHeight="1">
      <c r="A292" s="86" t="s">
        <v>759</v>
      </c>
      <c r="B292" s="13" t="s">
        <v>760</v>
      </c>
      <c r="C292" s="91" t="s">
        <v>1763</v>
      </c>
      <c r="D292" s="91" t="s">
        <v>2072</v>
      </c>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5.75" customHeight="1">
      <c r="A293" s="109" t="s">
        <v>464</v>
      </c>
      <c r="B293" s="13" t="s">
        <v>465</v>
      </c>
      <c r="C293" s="91" t="s">
        <v>116</v>
      </c>
      <c r="D293" s="91" t="s">
        <v>2073</v>
      </c>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5.75" customHeight="1">
      <c r="A294" s="109" t="s">
        <v>948</v>
      </c>
      <c r="B294" s="13" t="s">
        <v>949</v>
      </c>
      <c r="C294" s="91" t="s">
        <v>1870</v>
      </c>
      <c r="D294" s="91" t="s">
        <v>2074</v>
      </c>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5.75" customHeight="1">
      <c r="A295" s="109" t="s">
        <v>520</v>
      </c>
      <c r="B295" s="13" t="s">
        <v>1427</v>
      </c>
      <c r="C295" s="91" t="s">
        <v>1870</v>
      </c>
      <c r="D295" s="91" t="s">
        <v>2075</v>
      </c>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5.75" customHeight="1">
      <c r="A296" s="3" t="s">
        <v>531</v>
      </c>
      <c r="B296" s="13" t="s">
        <v>532</v>
      </c>
      <c r="C296" s="91" t="s">
        <v>1870</v>
      </c>
      <c r="D296" s="91" t="s">
        <v>2076</v>
      </c>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5.75" customHeight="1">
      <c r="A297" s="86" t="s">
        <v>1391</v>
      </c>
      <c r="B297" s="13" t="s">
        <v>1392</v>
      </c>
      <c r="C297" s="91" t="s">
        <v>1870</v>
      </c>
      <c r="D297" s="91" t="s">
        <v>2077</v>
      </c>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5.75" customHeight="1">
      <c r="A298" s="109" t="s">
        <v>551</v>
      </c>
      <c r="B298" s="13" t="s">
        <v>552</v>
      </c>
      <c r="C298" s="91" t="s">
        <v>544</v>
      </c>
      <c r="D298" s="91" t="s">
        <v>2078</v>
      </c>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5.75" customHeight="1">
      <c r="A299" s="109" t="s">
        <v>553</v>
      </c>
      <c r="B299" s="13" t="s">
        <v>554</v>
      </c>
      <c r="C299" s="91" t="s">
        <v>544</v>
      </c>
      <c r="D299" s="91" t="s">
        <v>2079</v>
      </c>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5.75" customHeight="1">
      <c r="A300" s="89" t="s">
        <v>135</v>
      </c>
      <c r="B300" s="13" t="s">
        <v>147</v>
      </c>
      <c r="C300" s="89" t="s">
        <v>126</v>
      </c>
      <c r="D300" s="112" t="s">
        <v>2080</v>
      </c>
      <c r="E300" s="89"/>
      <c r="F300" s="89"/>
      <c r="G300" s="89"/>
      <c r="H300" s="89"/>
      <c r="I300" s="89"/>
      <c r="J300" s="89"/>
      <c r="K300" s="89"/>
      <c r="L300" s="89"/>
      <c r="M300" s="89"/>
      <c r="N300" s="89"/>
      <c r="O300" s="89"/>
      <c r="P300" s="89"/>
      <c r="Q300" s="89"/>
      <c r="R300" s="89"/>
      <c r="S300" s="89"/>
      <c r="T300" s="89"/>
      <c r="U300" s="89"/>
      <c r="V300" s="89"/>
      <c r="W300" s="89"/>
      <c r="X300" s="89"/>
      <c r="Y300" s="89"/>
      <c r="Z300" s="89"/>
    </row>
    <row r="301" spans="1:26" ht="15.75" customHeight="1">
      <c r="A301" s="109" t="s">
        <v>840</v>
      </c>
      <c r="B301" s="13" t="s">
        <v>841</v>
      </c>
      <c r="C301" s="91" t="s">
        <v>191</v>
      </c>
      <c r="D301" s="91" t="s">
        <v>2081</v>
      </c>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5.75" customHeight="1">
      <c r="A302" s="109" t="s">
        <v>655</v>
      </c>
      <c r="B302" s="13" t="s">
        <v>656</v>
      </c>
      <c r="C302" s="91" t="s">
        <v>191</v>
      </c>
      <c r="D302" s="91" t="s">
        <v>2082</v>
      </c>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5.75" customHeight="1">
      <c r="A303" s="109" t="s">
        <v>1287</v>
      </c>
      <c r="B303" s="13" t="s">
        <v>1288</v>
      </c>
      <c r="C303" s="91" t="s">
        <v>191</v>
      </c>
      <c r="D303" s="91" t="s">
        <v>2083</v>
      </c>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5.75" customHeight="1">
      <c r="A304" s="86" t="s">
        <v>337</v>
      </c>
      <c r="B304" s="13" t="s">
        <v>338</v>
      </c>
      <c r="C304" s="86" t="s">
        <v>682</v>
      </c>
      <c r="D304" s="91" t="s">
        <v>2084</v>
      </c>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5.75" customHeight="1">
      <c r="A305" s="3" t="s">
        <v>173</v>
      </c>
      <c r="B305" s="13" t="s">
        <v>174</v>
      </c>
      <c r="C305" s="91" t="s">
        <v>1708</v>
      </c>
      <c r="D305" s="91" t="s">
        <v>2085</v>
      </c>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5.75" customHeight="1">
      <c r="A306" s="3" t="s">
        <v>599</v>
      </c>
      <c r="B306" s="13" t="s">
        <v>600</v>
      </c>
      <c r="C306" s="91" t="s">
        <v>1708</v>
      </c>
      <c r="D306" s="91" t="s">
        <v>2086</v>
      </c>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5.75" customHeight="1">
      <c r="A307" s="89" t="s">
        <v>383</v>
      </c>
      <c r="B307" s="13" t="s">
        <v>384</v>
      </c>
      <c r="C307" s="89" t="s">
        <v>1708</v>
      </c>
      <c r="D307" s="112" t="s">
        <v>2087</v>
      </c>
      <c r="E307" s="89"/>
      <c r="F307" s="89"/>
      <c r="G307" s="89"/>
      <c r="H307" s="89"/>
      <c r="I307" s="89"/>
      <c r="J307" s="89"/>
      <c r="K307" s="89"/>
      <c r="L307" s="89"/>
      <c r="M307" s="89"/>
      <c r="N307" s="89"/>
      <c r="O307" s="89"/>
      <c r="P307" s="89"/>
      <c r="Q307" s="89"/>
      <c r="R307" s="89"/>
      <c r="S307" s="89"/>
      <c r="T307" s="89"/>
      <c r="U307" s="89"/>
      <c r="V307" s="89"/>
      <c r="W307" s="89"/>
      <c r="X307" s="89"/>
      <c r="Y307" s="89"/>
      <c r="Z307" s="89"/>
    </row>
    <row r="308" spans="1:26" ht="15.75" customHeight="1">
      <c r="A308" s="89" t="s">
        <v>381</v>
      </c>
      <c r="B308" s="13" t="s">
        <v>382</v>
      </c>
      <c r="C308" s="89" t="s">
        <v>1708</v>
      </c>
      <c r="D308" s="112" t="s">
        <v>2088</v>
      </c>
      <c r="E308" s="89"/>
      <c r="F308" s="89"/>
      <c r="G308" s="89"/>
      <c r="H308" s="89"/>
      <c r="I308" s="89"/>
      <c r="J308" s="89"/>
      <c r="K308" s="89"/>
      <c r="L308" s="89"/>
      <c r="M308" s="89"/>
      <c r="N308" s="89"/>
      <c r="O308" s="89"/>
      <c r="P308" s="89"/>
      <c r="Q308" s="89"/>
      <c r="R308" s="89"/>
      <c r="S308" s="89"/>
      <c r="T308" s="89"/>
      <c r="U308" s="89"/>
      <c r="V308" s="89"/>
      <c r="W308" s="89"/>
      <c r="X308" s="89"/>
      <c r="Y308" s="89"/>
      <c r="Z308" s="89"/>
    </row>
    <row r="309" spans="1:26" ht="15.75" customHeight="1">
      <c r="A309" s="49" t="s">
        <v>942</v>
      </c>
      <c r="B309" s="13" t="s">
        <v>943</v>
      </c>
      <c r="C309" s="86" t="s">
        <v>629</v>
      </c>
      <c r="D309" s="91" t="s">
        <v>2089</v>
      </c>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5.75" customHeight="1">
      <c r="A310" s="49" t="s">
        <v>436</v>
      </c>
      <c r="B310" s="13" t="s">
        <v>920</v>
      </c>
      <c r="C310" s="86" t="s">
        <v>629</v>
      </c>
      <c r="D310" s="91" t="s">
        <v>2090</v>
      </c>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5.75" customHeight="1">
      <c r="A311" s="109" t="s">
        <v>479</v>
      </c>
      <c r="B311" s="13" t="s">
        <v>480</v>
      </c>
      <c r="C311" s="91" t="s">
        <v>116</v>
      </c>
      <c r="D311" s="91" t="s">
        <v>2091</v>
      </c>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5.75" customHeight="1">
      <c r="A312" s="109" t="s">
        <v>764</v>
      </c>
      <c r="B312" s="13" t="s">
        <v>765</v>
      </c>
      <c r="C312" s="91" t="s">
        <v>1870</v>
      </c>
      <c r="D312" s="91" t="s">
        <v>2092</v>
      </c>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5.75" customHeight="1">
      <c r="A313" s="89" t="s">
        <v>1679</v>
      </c>
      <c r="B313" s="13" t="s">
        <v>1680</v>
      </c>
      <c r="C313" s="89" t="s">
        <v>1870</v>
      </c>
      <c r="D313" s="112" t="s">
        <v>2093</v>
      </c>
      <c r="E313" s="89"/>
      <c r="F313" s="89"/>
      <c r="G313" s="89"/>
      <c r="H313" s="89"/>
      <c r="I313" s="89"/>
      <c r="J313" s="89"/>
      <c r="K313" s="89"/>
      <c r="L313" s="89"/>
      <c r="M313" s="89"/>
      <c r="N313" s="89"/>
      <c r="O313" s="89"/>
      <c r="P313" s="89"/>
      <c r="Q313" s="89"/>
      <c r="R313" s="89"/>
      <c r="S313" s="89"/>
      <c r="T313" s="89"/>
      <c r="U313" s="89"/>
      <c r="V313" s="89"/>
      <c r="W313" s="89"/>
      <c r="X313" s="89"/>
      <c r="Y313" s="89"/>
      <c r="Z313" s="89"/>
    </row>
    <row r="314" spans="1:26" ht="15.75" customHeight="1">
      <c r="A314" s="109" t="s">
        <v>973</v>
      </c>
      <c r="B314" s="13" t="s">
        <v>974</v>
      </c>
      <c r="C314" s="91" t="s">
        <v>1870</v>
      </c>
      <c r="D314" s="91" t="s">
        <v>2094</v>
      </c>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5.75" customHeight="1">
      <c r="A315" s="86" t="s">
        <v>1464</v>
      </c>
      <c r="B315" s="13" t="s">
        <v>1465</v>
      </c>
      <c r="C315" s="91" t="s">
        <v>1870</v>
      </c>
      <c r="D315" s="91" t="s">
        <v>2095</v>
      </c>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5.75" customHeight="1">
      <c r="A316" s="109" t="s">
        <v>780</v>
      </c>
      <c r="B316" s="13" t="s">
        <v>781</v>
      </c>
      <c r="C316" s="91" t="s">
        <v>1870</v>
      </c>
      <c r="D316" s="91" t="s">
        <v>2096</v>
      </c>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5.75" customHeight="1">
      <c r="A317" s="109" t="s">
        <v>613</v>
      </c>
      <c r="B317" s="13" t="s">
        <v>614</v>
      </c>
      <c r="C317" s="91" t="s">
        <v>1831</v>
      </c>
      <c r="D317" s="91" t="s">
        <v>2097</v>
      </c>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5.75" customHeight="1">
      <c r="A318" s="109" t="s">
        <v>1486</v>
      </c>
      <c r="B318" s="13" t="s">
        <v>1487</v>
      </c>
      <c r="C318" s="91" t="s">
        <v>191</v>
      </c>
      <c r="D318" s="91" t="s">
        <v>2098</v>
      </c>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5.75" customHeight="1">
      <c r="A319" s="109" t="s">
        <v>219</v>
      </c>
      <c r="B319" s="13" t="s">
        <v>220</v>
      </c>
      <c r="C319" s="91" t="s">
        <v>205</v>
      </c>
      <c r="D319" s="91" t="s">
        <v>2099</v>
      </c>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5.75" customHeight="1">
      <c r="A320" s="89" t="s">
        <v>309</v>
      </c>
      <c r="B320" s="13" t="s">
        <v>310</v>
      </c>
      <c r="C320" s="89" t="s">
        <v>672</v>
      </c>
      <c r="D320" s="112" t="s">
        <v>2100</v>
      </c>
      <c r="E320" s="89"/>
      <c r="F320" s="89"/>
      <c r="G320" s="89"/>
      <c r="H320" s="89"/>
      <c r="I320" s="89"/>
      <c r="J320" s="89"/>
      <c r="K320" s="89"/>
      <c r="L320" s="89"/>
      <c r="M320" s="89"/>
      <c r="N320" s="89"/>
      <c r="O320" s="89"/>
      <c r="P320" s="89"/>
      <c r="Q320" s="89"/>
      <c r="R320" s="89"/>
      <c r="S320" s="89"/>
      <c r="T320" s="89"/>
      <c r="U320" s="89"/>
      <c r="V320" s="89"/>
      <c r="W320" s="89"/>
      <c r="X320" s="89"/>
      <c r="Y320" s="89"/>
      <c r="Z320" s="89"/>
    </row>
    <row r="321" spans="1:26" ht="15.75" customHeight="1">
      <c r="A321" s="120" t="s">
        <v>676</v>
      </c>
      <c r="B321" s="13" t="s">
        <v>677</v>
      </c>
      <c r="C321" s="86" t="s">
        <v>672</v>
      </c>
      <c r="D321" s="114" t="s">
        <v>2101</v>
      </c>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5.75" customHeight="1">
      <c r="A322" s="121" t="s">
        <v>2102</v>
      </c>
      <c r="B322" s="122" t="s">
        <v>989</v>
      </c>
      <c r="C322" s="86" t="s">
        <v>353</v>
      </c>
      <c r="D322" s="91" t="s">
        <v>2103</v>
      </c>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5.75" customHeight="1">
      <c r="A323" s="3" t="s">
        <v>411</v>
      </c>
      <c r="B323" s="13" t="s">
        <v>412</v>
      </c>
      <c r="C323" s="91" t="s">
        <v>1708</v>
      </c>
      <c r="D323" s="91" t="s">
        <v>2104</v>
      </c>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5.75" customHeight="1">
      <c r="A324" s="109" t="s">
        <v>199</v>
      </c>
      <c r="B324" s="13" t="s">
        <v>200</v>
      </c>
      <c r="C324" s="91" t="s">
        <v>1708</v>
      </c>
      <c r="D324" s="91" t="s">
        <v>2105</v>
      </c>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5.75" customHeight="1">
      <c r="A325" s="89" t="s">
        <v>159</v>
      </c>
      <c r="B325" s="13" t="s">
        <v>160</v>
      </c>
      <c r="C325" s="89" t="s">
        <v>1708</v>
      </c>
      <c r="D325" s="112" t="s">
        <v>2106</v>
      </c>
      <c r="E325" s="89"/>
      <c r="F325" s="89"/>
      <c r="G325" s="89"/>
      <c r="H325" s="89"/>
      <c r="I325" s="89"/>
      <c r="J325" s="89"/>
      <c r="K325" s="89"/>
      <c r="L325" s="89"/>
      <c r="M325" s="89"/>
      <c r="N325" s="89"/>
      <c r="O325" s="89"/>
      <c r="P325" s="89"/>
      <c r="Q325" s="89"/>
      <c r="R325" s="89"/>
      <c r="S325" s="89"/>
      <c r="T325" s="89"/>
      <c r="U325" s="89"/>
      <c r="V325" s="89"/>
      <c r="W325" s="89"/>
      <c r="X325" s="89"/>
      <c r="Y325" s="89"/>
      <c r="Z325" s="89"/>
    </row>
    <row r="326" spans="1:26" ht="15.75" customHeight="1">
      <c r="A326" s="3" t="s">
        <v>395</v>
      </c>
      <c r="B326" s="13" t="s">
        <v>396</v>
      </c>
      <c r="C326" s="91" t="s">
        <v>1841</v>
      </c>
      <c r="D326" s="91" t="s">
        <v>2107</v>
      </c>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5.75" customHeight="1">
      <c r="A327" s="109" t="s">
        <v>420</v>
      </c>
      <c r="B327" s="13" t="s">
        <v>421</v>
      </c>
      <c r="C327" s="91" t="s">
        <v>417</v>
      </c>
      <c r="D327" s="91" t="s">
        <v>2108</v>
      </c>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5.75" customHeight="1">
      <c r="A328" s="49" t="s">
        <v>1370</v>
      </c>
      <c r="B328" s="13" t="s">
        <v>1371</v>
      </c>
      <c r="C328" s="86" t="s">
        <v>629</v>
      </c>
      <c r="D328" s="91" t="s">
        <v>2109</v>
      </c>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5.75" customHeight="1">
      <c r="A329" s="86" t="s">
        <v>1036</v>
      </c>
      <c r="B329" s="13" t="s">
        <v>1022</v>
      </c>
      <c r="C329" s="86" t="s">
        <v>629</v>
      </c>
      <c r="D329" s="91" t="s">
        <v>2110</v>
      </c>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5.75" customHeight="1">
      <c r="A330" s="109" t="s">
        <v>1522</v>
      </c>
      <c r="B330" s="13" t="s">
        <v>1523</v>
      </c>
      <c r="C330" s="91" t="s">
        <v>116</v>
      </c>
      <c r="D330" s="91" t="s">
        <v>2111</v>
      </c>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5.75" customHeight="1">
      <c r="A331" s="109" t="s">
        <v>501</v>
      </c>
      <c r="B331" s="13" t="s">
        <v>502</v>
      </c>
      <c r="C331" s="91" t="s">
        <v>488</v>
      </c>
      <c r="D331" s="91" t="s">
        <v>2112</v>
      </c>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5.75" customHeight="1">
      <c r="A332" s="109" t="s">
        <v>769</v>
      </c>
      <c r="B332" s="13" t="s">
        <v>770</v>
      </c>
      <c r="C332" s="91" t="s">
        <v>1870</v>
      </c>
      <c r="D332" s="91" t="s">
        <v>2113</v>
      </c>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5.75" customHeight="1">
      <c r="A333" s="3" t="s">
        <v>536</v>
      </c>
      <c r="B333" s="13" t="s">
        <v>537</v>
      </c>
      <c r="C333" s="91" t="s">
        <v>1870</v>
      </c>
      <c r="D333" s="91" t="s">
        <v>2114</v>
      </c>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5.75" customHeight="1">
      <c r="A334" s="3" t="s">
        <v>804</v>
      </c>
      <c r="B334" s="13" t="s">
        <v>805</v>
      </c>
      <c r="C334" s="91" t="s">
        <v>1846</v>
      </c>
      <c r="D334" s="91" t="s">
        <v>2115</v>
      </c>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5.75" customHeight="1">
      <c r="A335" s="109" t="s">
        <v>1599</v>
      </c>
      <c r="B335" s="13" t="s">
        <v>1600</v>
      </c>
      <c r="C335" s="91" t="s">
        <v>1846</v>
      </c>
      <c r="D335" s="91" t="s">
        <v>2116</v>
      </c>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5.75" customHeight="1">
      <c r="A336" s="109" t="s">
        <v>182</v>
      </c>
      <c r="B336" s="13" t="s">
        <v>183</v>
      </c>
      <c r="C336" s="91" t="s">
        <v>179</v>
      </c>
      <c r="D336" s="91" t="s">
        <v>2117</v>
      </c>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5.75" customHeight="1">
      <c r="A337" s="86" t="s">
        <v>1049</v>
      </c>
      <c r="B337" s="13" t="s">
        <v>1050</v>
      </c>
      <c r="C337" s="91" t="s">
        <v>179</v>
      </c>
      <c r="D337" s="89" t="s">
        <v>2118</v>
      </c>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5.75" customHeight="1">
      <c r="A338" s="109" t="s">
        <v>670</v>
      </c>
      <c r="B338" s="13" t="s">
        <v>671</v>
      </c>
      <c r="C338" s="91" t="s">
        <v>191</v>
      </c>
      <c r="D338" s="91" t="s">
        <v>2119</v>
      </c>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5.75" customHeight="1">
      <c r="A339" s="86" t="s">
        <v>1480</v>
      </c>
      <c r="B339" s="13" t="s">
        <v>1481</v>
      </c>
      <c r="C339" s="91" t="s">
        <v>191</v>
      </c>
      <c r="D339" s="91" t="s">
        <v>2120</v>
      </c>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5.75" customHeight="1">
      <c r="A340" s="109" t="s">
        <v>211</v>
      </c>
      <c r="B340" s="13" t="s">
        <v>212</v>
      </c>
      <c r="C340" s="91" t="s">
        <v>205</v>
      </c>
      <c r="D340" s="91" t="s">
        <v>2121</v>
      </c>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5.75" customHeight="1">
      <c r="A341" s="109" t="s">
        <v>215</v>
      </c>
      <c r="B341" s="13" t="s">
        <v>216</v>
      </c>
      <c r="C341" s="91" t="s">
        <v>205</v>
      </c>
      <c r="D341" s="91" t="s">
        <v>2122</v>
      </c>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5.75" customHeight="1">
      <c r="A342" s="86" t="s">
        <v>2123</v>
      </c>
      <c r="B342" s="92" t="s">
        <v>224</v>
      </c>
      <c r="C342" s="91" t="s">
        <v>205</v>
      </c>
      <c r="D342" s="89" t="s">
        <v>2124</v>
      </c>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5.75" customHeight="1">
      <c r="A343" s="86" t="s">
        <v>688</v>
      </c>
      <c r="B343" s="13" t="s">
        <v>689</v>
      </c>
      <c r="C343" s="86" t="s">
        <v>682</v>
      </c>
      <c r="D343" s="91" t="s">
        <v>2125</v>
      </c>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5.75" customHeight="1">
      <c r="A344" s="89" t="s">
        <v>595</v>
      </c>
      <c r="B344" s="13" t="s">
        <v>596</v>
      </c>
      <c r="C344" s="89" t="s">
        <v>1708</v>
      </c>
      <c r="D344" s="112" t="s">
        <v>2126</v>
      </c>
      <c r="E344" s="89"/>
      <c r="F344" s="89"/>
      <c r="G344" s="89"/>
      <c r="H344" s="89"/>
      <c r="I344" s="89"/>
      <c r="J344" s="89"/>
      <c r="K344" s="89"/>
      <c r="L344" s="89"/>
      <c r="M344" s="89"/>
      <c r="N344" s="89"/>
      <c r="O344" s="89"/>
      <c r="P344" s="89"/>
      <c r="Q344" s="89"/>
      <c r="R344" s="89"/>
      <c r="S344" s="89"/>
      <c r="T344" s="89"/>
      <c r="U344" s="89"/>
      <c r="V344" s="89"/>
      <c r="W344" s="89"/>
      <c r="X344" s="89"/>
      <c r="Y344" s="89"/>
      <c r="Z344" s="89"/>
    </row>
    <row r="345" spans="1:26" ht="15.75" customHeight="1">
      <c r="A345" s="3" t="s">
        <v>2127</v>
      </c>
      <c r="B345" s="13" t="s">
        <v>2128</v>
      </c>
      <c r="C345" s="91" t="s">
        <v>1708</v>
      </c>
      <c r="D345" s="91" t="s">
        <v>2129</v>
      </c>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5.75" customHeight="1">
      <c r="A346" s="109" t="s">
        <v>261</v>
      </c>
      <c r="B346" s="13" t="s">
        <v>262</v>
      </c>
      <c r="C346" s="91" t="s">
        <v>1708</v>
      </c>
      <c r="D346" s="91" t="s">
        <v>2130</v>
      </c>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5.75" customHeight="1">
      <c r="A347" s="89" t="s">
        <v>263</v>
      </c>
      <c r="B347" s="13" t="s">
        <v>264</v>
      </c>
      <c r="C347" s="89" t="s">
        <v>1708</v>
      </c>
      <c r="D347" s="112" t="s">
        <v>2131</v>
      </c>
      <c r="E347" s="89"/>
      <c r="F347" s="89"/>
      <c r="G347" s="89"/>
      <c r="H347" s="89"/>
      <c r="I347" s="89"/>
      <c r="J347" s="89"/>
      <c r="K347" s="89"/>
      <c r="L347" s="89"/>
      <c r="M347" s="89"/>
      <c r="N347" s="89"/>
      <c r="O347" s="89"/>
      <c r="P347" s="89"/>
      <c r="Q347" s="89"/>
      <c r="R347" s="89"/>
      <c r="S347" s="89"/>
      <c r="T347" s="89"/>
      <c r="U347" s="89"/>
      <c r="V347" s="89"/>
      <c r="W347" s="89"/>
      <c r="X347" s="89"/>
      <c r="Y347" s="89"/>
      <c r="Z347" s="89"/>
    </row>
    <row r="348" spans="1:26" ht="15.75" customHeight="1">
      <c r="A348" s="89" t="s">
        <v>540</v>
      </c>
      <c r="B348" s="13" t="s">
        <v>541</v>
      </c>
      <c r="C348" s="89" t="s">
        <v>1708</v>
      </c>
      <c r="D348" s="112" t="s">
        <v>2132</v>
      </c>
      <c r="E348" s="89"/>
      <c r="F348" s="89"/>
      <c r="G348" s="89"/>
      <c r="H348" s="89"/>
      <c r="I348" s="89"/>
      <c r="J348" s="89"/>
      <c r="K348" s="89"/>
      <c r="L348" s="89"/>
      <c r="M348" s="89"/>
      <c r="N348" s="89"/>
      <c r="O348" s="89"/>
      <c r="P348" s="89"/>
      <c r="Q348" s="89"/>
      <c r="R348" s="89"/>
      <c r="S348" s="89"/>
      <c r="T348" s="89"/>
      <c r="U348" s="89"/>
      <c r="V348" s="89"/>
      <c r="W348" s="89"/>
      <c r="X348" s="89"/>
      <c r="Y348" s="89"/>
      <c r="Z348" s="89"/>
    </row>
    <row r="349" spans="1:26" ht="15.75" customHeight="1">
      <c r="A349" s="109" t="s">
        <v>590</v>
      </c>
      <c r="B349" s="13" t="s">
        <v>591</v>
      </c>
      <c r="C349" s="91" t="s">
        <v>1708</v>
      </c>
      <c r="D349" s="91" t="s">
        <v>2133</v>
      </c>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5.75" customHeight="1">
      <c r="A350" s="89" t="s">
        <v>345</v>
      </c>
      <c r="B350" s="13" t="s">
        <v>346</v>
      </c>
      <c r="C350" s="89" t="s">
        <v>1708</v>
      </c>
      <c r="D350" s="112" t="s">
        <v>2134</v>
      </c>
      <c r="E350" s="89"/>
      <c r="F350" s="89"/>
      <c r="G350" s="89"/>
      <c r="H350" s="89"/>
      <c r="I350" s="89"/>
      <c r="J350" s="89"/>
      <c r="K350" s="89"/>
      <c r="L350" s="89"/>
      <c r="M350" s="89"/>
      <c r="N350" s="89"/>
      <c r="O350" s="89"/>
      <c r="P350" s="89"/>
      <c r="Q350" s="89"/>
      <c r="R350" s="89"/>
      <c r="S350" s="89"/>
      <c r="T350" s="89"/>
      <c r="U350" s="89"/>
      <c r="V350" s="89"/>
      <c r="W350" s="89"/>
      <c r="X350" s="89"/>
      <c r="Y350" s="89"/>
      <c r="Z350" s="89"/>
    </row>
    <row r="351" spans="1:26" ht="15.75" customHeight="1">
      <c r="A351" s="109" t="s">
        <v>405</v>
      </c>
      <c r="B351" s="13" t="s">
        <v>406</v>
      </c>
      <c r="C351" s="91" t="s">
        <v>1841</v>
      </c>
      <c r="D351" s="91" t="s">
        <v>2135</v>
      </c>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5.75" customHeight="1">
      <c r="A352" s="3" t="s">
        <v>418</v>
      </c>
      <c r="B352" s="13" t="s">
        <v>419</v>
      </c>
      <c r="C352" s="91" t="s">
        <v>417</v>
      </c>
      <c r="D352" s="91" t="s">
        <v>2136</v>
      </c>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5.75" customHeight="1">
      <c r="A353" s="109" t="s">
        <v>446</v>
      </c>
      <c r="B353" s="13" t="s">
        <v>447</v>
      </c>
      <c r="C353" s="91" t="s">
        <v>629</v>
      </c>
      <c r="D353" s="91" t="s">
        <v>2137</v>
      </c>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5.75" customHeight="1">
      <c r="A354" s="109" t="s">
        <v>2138</v>
      </c>
      <c r="B354" s="13" t="s">
        <v>2139</v>
      </c>
      <c r="C354" s="91" t="s">
        <v>1763</v>
      </c>
      <c r="D354" s="91" t="s">
        <v>2140</v>
      </c>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5.75" customHeight="1">
      <c r="A355" s="109" t="s">
        <v>740</v>
      </c>
      <c r="B355" s="13" t="s">
        <v>741</v>
      </c>
      <c r="C355" s="91" t="s">
        <v>116</v>
      </c>
      <c r="D355" s="91" t="s">
        <v>2141</v>
      </c>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5.75" customHeight="1">
      <c r="A356" s="109" t="s">
        <v>1671</v>
      </c>
      <c r="B356" s="13" t="s">
        <v>1672</v>
      </c>
      <c r="C356" s="91" t="s">
        <v>1870</v>
      </c>
      <c r="D356" s="91" t="s">
        <v>2142</v>
      </c>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5.75" customHeight="1">
      <c r="A357" s="109" t="s">
        <v>1668</v>
      </c>
      <c r="B357" s="13" t="s">
        <v>1669</v>
      </c>
      <c r="C357" s="91" t="s">
        <v>1870</v>
      </c>
      <c r="D357" s="91" t="s">
        <v>2143</v>
      </c>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5.75" customHeight="1">
      <c r="A358" s="89" t="s">
        <v>516</v>
      </c>
      <c r="B358" s="13" t="s">
        <v>517</v>
      </c>
      <c r="C358" s="89" t="s">
        <v>1870</v>
      </c>
      <c r="D358" s="112" t="s">
        <v>2144</v>
      </c>
      <c r="E358" s="89"/>
      <c r="F358" s="89"/>
      <c r="G358" s="89"/>
      <c r="H358" s="89"/>
      <c r="I358" s="89"/>
      <c r="J358" s="89"/>
      <c r="K358" s="89"/>
      <c r="L358" s="89"/>
      <c r="M358" s="89"/>
      <c r="N358" s="89"/>
      <c r="O358" s="89"/>
      <c r="P358" s="89"/>
      <c r="Q358" s="89"/>
      <c r="R358" s="89"/>
      <c r="S358" s="89"/>
      <c r="T358" s="89"/>
      <c r="U358" s="89"/>
      <c r="V358" s="89"/>
      <c r="W358" s="89"/>
      <c r="X358" s="89"/>
      <c r="Y358" s="89"/>
      <c r="Z358" s="89"/>
    </row>
    <row r="359" spans="1:26" ht="15.75" customHeight="1">
      <c r="A359" s="109" t="s">
        <v>555</v>
      </c>
      <c r="B359" s="13" t="s">
        <v>556</v>
      </c>
      <c r="C359" s="91" t="s">
        <v>544</v>
      </c>
      <c r="D359" s="91" t="s">
        <v>2145</v>
      </c>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5.75" customHeight="1">
      <c r="A360" s="109" t="s">
        <v>549</v>
      </c>
      <c r="B360" s="13" t="s">
        <v>550</v>
      </c>
      <c r="C360" s="91" t="s">
        <v>544</v>
      </c>
      <c r="D360" s="91" t="s">
        <v>2146</v>
      </c>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5.75" customHeight="1">
      <c r="A361" s="109" t="s">
        <v>545</v>
      </c>
      <c r="B361" s="13" t="s">
        <v>546</v>
      </c>
      <c r="C361" s="91" t="s">
        <v>544</v>
      </c>
      <c r="D361" s="91" t="s">
        <v>2147</v>
      </c>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5.75" customHeight="1">
      <c r="A362" s="109" t="s">
        <v>145</v>
      </c>
      <c r="B362" s="13" t="s">
        <v>146</v>
      </c>
      <c r="C362" s="91" t="s">
        <v>126</v>
      </c>
      <c r="D362" s="91" t="s">
        <v>2148</v>
      </c>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5.75" customHeight="1">
      <c r="A363" s="109" t="s">
        <v>813</v>
      </c>
      <c r="B363" s="13" t="s">
        <v>814</v>
      </c>
      <c r="C363" s="91" t="s">
        <v>1846</v>
      </c>
      <c r="D363" s="91" t="s">
        <v>2149</v>
      </c>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5.75" customHeight="1">
      <c r="A364" s="109" t="s">
        <v>660</v>
      </c>
      <c r="B364" s="13" t="s">
        <v>661</v>
      </c>
      <c r="C364" s="91" t="s">
        <v>191</v>
      </c>
      <c r="D364" s="91" t="s">
        <v>2150</v>
      </c>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5.75" customHeight="1">
      <c r="A365" s="109" t="s">
        <v>649</v>
      </c>
      <c r="B365" s="13" t="s">
        <v>650</v>
      </c>
      <c r="C365" s="91" t="s">
        <v>191</v>
      </c>
      <c r="D365" s="91" t="s">
        <v>2151</v>
      </c>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5.75" customHeight="1">
      <c r="A366" s="89" t="s">
        <v>2152</v>
      </c>
      <c r="B366" s="13" t="s">
        <v>206</v>
      </c>
      <c r="C366" s="89" t="s">
        <v>205</v>
      </c>
      <c r="D366" s="112" t="s">
        <v>2153</v>
      </c>
      <c r="E366" s="89"/>
      <c r="F366" s="89"/>
      <c r="G366" s="89"/>
      <c r="H366" s="89"/>
      <c r="I366" s="89"/>
      <c r="J366" s="89"/>
      <c r="K366" s="89"/>
      <c r="L366" s="89"/>
      <c r="M366" s="89"/>
      <c r="N366" s="89"/>
      <c r="O366" s="89"/>
      <c r="P366" s="89"/>
      <c r="Q366" s="89"/>
      <c r="R366" s="89"/>
      <c r="S366" s="89"/>
      <c r="T366" s="89"/>
      <c r="U366" s="89"/>
      <c r="V366" s="89"/>
      <c r="W366" s="89"/>
      <c r="X366" s="89"/>
      <c r="Y366" s="89"/>
      <c r="Z366" s="89"/>
    </row>
    <row r="367" spans="1:26" ht="15.75" customHeight="1">
      <c r="A367" s="3" t="s">
        <v>313</v>
      </c>
      <c r="B367" s="13" t="s">
        <v>314</v>
      </c>
      <c r="C367" s="91" t="s">
        <v>312</v>
      </c>
      <c r="D367" s="91" t="s">
        <v>2154</v>
      </c>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5.75" customHeight="1">
      <c r="A368" s="86" t="s">
        <v>277</v>
      </c>
      <c r="B368" s="13" t="s">
        <v>278</v>
      </c>
      <c r="C368" s="91" t="s">
        <v>1850</v>
      </c>
      <c r="D368" s="91" t="s">
        <v>2155</v>
      </c>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5.75" customHeight="1">
      <c r="A369" s="121" t="s">
        <v>1114</v>
      </c>
      <c r="B369" s="122" t="s">
        <v>1115</v>
      </c>
      <c r="C369" s="86" t="s">
        <v>353</v>
      </c>
      <c r="D369" s="91" t="s">
        <v>2156</v>
      </c>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5.75" customHeight="1">
      <c r="A370" s="121" t="s">
        <v>2157</v>
      </c>
      <c r="B370" s="122" t="s">
        <v>985</v>
      </c>
      <c r="C370" s="86" t="s">
        <v>353</v>
      </c>
      <c r="D370" s="91" t="s">
        <v>2158</v>
      </c>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5.75" customHeight="1">
      <c r="A371" s="3" t="s">
        <v>2159</v>
      </c>
      <c r="B371" s="13" t="s">
        <v>373</v>
      </c>
      <c r="C371" s="91" t="s">
        <v>374</v>
      </c>
      <c r="D371" s="91" t="s">
        <v>2160</v>
      </c>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5.75" customHeight="1">
      <c r="A372" s="89" t="s">
        <v>601</v>
      </c>
      <c r="B372" s="13" t="s">
        <v>602</v>
      </c>
      <c r="C372" s="89" t="s">
        <v>1708</v>
      </c>
      <c r="D372" s="112" t="s">
        <v>2161</v>
      </c>
      <c r="E372" s="89"/>
      <c r="F372" s="89"/>
      <c r="G372" s="89"/>
      <c r="H372" s="89"/>
      <c r="I372" s="89"/>
      <c r="J372" s="89"/>
      <c r="K372" s="89"/>
      <c r="L372" s="89"/>
      <c r="M372" s="89"/>
      <c r="N372" s="89"/>
      <c r="O372" s="89"/>
      <c r="P372" s="89"/>
      <c r="Q372" s="89"/>
      <c r="R372" s="89"/>
      <c r="S372" s="89"/>
      <c r="T372" s="89"/>
      <c r="U372" s="89"/>
      <c r="V372" s="89"/>
      <c r="W372" s="89"/>
      <c r="X372" s="89"/>
      <c r="Y372" s="89"/>
      <c r="Z372" s="89"/>
    </row>
    <row r="373" spans="1:26" ht="15.75" customHeight="1">
      <c r="A373" s="3" t="s">
        <v>605</v>
      </c>
      <c r="B373" s="13" t="s">
        <v>606</v>
      </c>
      <c r="C373" s="91" t="s">
        <v>1708</v>
      </c>
      <c r="D373" s="91" t="s">
        <v>2162</v>
      </c>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5.75" customHeight="1">
      <c r="A374" s="109" t="s">
        <v>291</v>
      </c>
      <c r="B374" s="13" t="s">
        <v>292</v>
      </c>
      <c r="C374" s="91" t="s">
        <v>1708</v>
      </c>
      <c r="D374" s="91" t="s">
        <v>2163</v>
      </c>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5.75" customHeight="1">
      <c r="A375" s="118" t="s">
        <v>351</v>
      </c>
      <c r="B375" s="13" t="s">
        <v>352</v>
      </c>
      <c r="C375" s="89" t="s">
        <v>1708</v>
      </c>
      <c r="D375" s="112" t="s">
        <v>2164</v>
      </c>
      <c r="E375" s="89"/>
      <c r="F375" s="89"/>
      <c r="G375" s="89"/>
      <c r="H375" s="89"/>
      <c r="I375" s="89"/>
      <c r="J375" s="89"/>
      <c r="K375" s="89"/>
      <c r="L375" s="89"/>
      <c r="M375" s="89"/>
      <c r="N375" s="89"/>
      <c r="O375" s="89"/>
      <c r="P375" s="89"/>
      <c r="Q375" s="89"/>
      <c r="R375" s="89"/>
      <c r="S375" s="89"/>
      <c r="T375" s="89"/>
      <c r="U375" s="89"/>
      <c r="V375" s="89"/>
      <c r="W375" s="89"/>
      <c r="X375" s="89"/>
      <c r="Y375" s="89"/>
      <c r="Z375" s="89"/>
    </row>
    <row r="376" spans="1:26" ht="15.75" customHeight="1">
      <c r="A376" s="89" t="s">
        <v>425</v>
      </c>
      <c r="B376" s="13" t="s">
        <v>426</v>
      </c>
      <c r="C376" s="89" t="s">
        <v>417</v>
      </c>
      <c r="D376" s="112" t="s">
        <v>2165</v>
      </c>
      <c r="E376" s="89"/>
      <c r="F376" s="89"/>
      <c r="G376" s="89"/>
      <c r="H376" s="89"/>
      <c r="I376" s="89"/>
      <c r="J376" s="89"/>
      <c r="K376" s="89"/>
      <c r="L376" s="89"/>
      <c r="M376" s="89"/>
      <c r="N376" s="89"/>
      <c r="O376" s="89"/>
      <c r="P376" s="89"/>
      <c r="Q376" s="89"/>
      <c r="R376" s="89"/>
      <c r="S376" s="89"/>
      <c r="T376" s="89"/>
      <c r="U376" s="89"/>
      <c r="V376" s="89"/>
      <c r="W376" s="89"/>
      <c r="X376" s="89"/>
      <c r="Y376" s="89"/>
      <c r="Z376" s="89"/>
    </row>
    <row r="377" spans="1:26" ht="15.75" customHeight="1">
      <c r="A377" s="109" t="s">
        <v>422</v>
      </c>
      <c r="B377" s="13" t="s">
        <v>423</v>
      </c>
      <c r="C377" s="91" t="s">
        <v>417</v>
      </c>
      <c r="D377" s="91" t="s">
        <v>2166</v>
      </c>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5.75" customHeight="1">
      <c r="A378" s="86" t="s">
        <v>1032</v>
      </c>
      <c r="B378" s="13" t="s">
        <v>1033</v>
      </c>
      <c r="C378" s="86" t="s">
        <v>629</v>
      </c>
      <c r="D378" s="91" t="s">
        <v>2167</v>
      </c>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5.75" customHeight="1">
      <c r="A379" s="109" t="s">
        <v>438</v>
      </c>
      <c r="B379" s="13" t="s">
        <v>439</v>
      </c>
      <c r="C379" s="91" t="s">
        <v>629</v>
      </c>
      <c r="D379" s="91" t="s">
        <v>2168</v>
      </c>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5.75" customHeight="1">
      <c r="A380" s="109" t="s">
        <v>497</v>
      </c>
      <c r="B380" s="13" t="s">
        <v>500</v>
      </c>
      <c r="C380" s="91" t="s">
        <v>629</v>
      </c>
      <c r="D380" s="91" t="s">
        <v>2169</v>
      </c>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5.75" customHeight="1">
      <c r="A381" s="86" t="s">
        <v>1363</v>
      </c>
      <c r="B381" s="13" t="s">
        <v>1364</v>
      </c>
      <c r="C381" s="86" t="s">
        <v>629</v>
      </c>
      <c r="D381" s="91" t="s">
        <v>2170</v>
      </c>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5.75" customHeight="1">
      <c r="A382" s="89" t="s">
        <v>2171</v>
      </c>
      <c r="B382" s="13" t="s">
        <v>2172</v>
      </c>
      <c r="C382" s="89" t="s">
        <v>1763</v>
      </c>
      <c r="D382" s="112" t="s">
        <v>2173</v>
      </c>
      <c r="E382" s="89"/>
      <c r="F382" s="89"/>
      <c r="G382" s="89"/>
      <c r="H382" s="89"/>
      <c r="I382" s="89"/>
      <c r="J382" s="89"/>
      <c r="K382" s="89"/>
      <c r="L382" s="89"/>
      <c r="M382" s="89"/>
      <c r="N382" s="89"/>
      <c r="O382" s="89"/>
      <c r="P382" s="89"/>
      <c r="Q382" s="89"/>
      <c r="R382" s="89"/>
      <c r="S382" s="89"/>
      <c r="T382" s="89"/>
      <c r="U382" s="89"/>
      <c r="V382" s="89"/>
      <c r="W382" s="89"/>
      <c r="X382" s="89"/>
      <c r="Y382" s="89"/>
      <c r="Z382" s="89"/>
    </row>
    <row r="383" spans="1:26" ht="15.75" customHeight="1">
      <c r="A383" s="109" t="s">
        <v>463</v>
      </c>
      <c r="B383" s="13" t="s">
        <v>2174</v>
      </c>
      <c r="C383" s="91" t="s">
        <v>116</v>
      </c>
      <c r="D383" s="91" t="s">
        <v>2175</v>
      </c>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5.75" customHeight="1">
      <c r="A384" s="3" t="s">
        <v>503</v>
      </c>
      <c r="B384" s="13" t="s">
        <v>504</v>
      </c>
      <c r="C384" s="91" t="s">
        <v>488</v>
      </c>
      <c r="D384" s="91" t="s">
        <v>2176</v>
      </c>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5.75" customHeight="1">
      <c r="A385" s="109" t="s">
        <v>961</v>
      </c>
      <c r="B385" s="13" t="s">
        <v>962</v>
      </c>
      <c r="C385" s="91" t="s">
        <v>1870</v>
      </c>
      <c r="D385" s="91" t="s">
        <v>2177</v>
      </c>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5.75" customHeight="1">
      <c r="A386" s="3" t="s">
        <v>578</v>
      </c>
      <c r="B386" s="13" t="s">
        <v>579</v>
      </c>
      <c r="C386" s="91" t="s">
        <v>566</v>
      </c>
      <c r="D386" s="91" t="s">
        <v>2178</v>
      </c>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5.75" customHeight="1">
      <c r="A387" s="89" t="s">
        <v>221</v>
      </c>
      <c r="B387" s="13" t="s">
        <v>222</v>
      </c>
      <c r="C387" s="89" t="s">
        <v>205</v>
      </c>
      <c r="D387" s="112" t="s">
        <v>2179</v>
      </c>
      <c r="E387" s="89"/>
      <c r="F387" s="89"/>
      <c r="G387" s="89"/>
      <c r="H387" s="89"/>
      <c r="I387" s="89"/>
      <c r="J387" s="89"/>
      <c r="K387" s="89"/>
      <c r="L387" s="89"/>
      <c r="M387" s="89"/>
      <c r="N387" s="89"/>
      <c r="O387" s="89"/>
      <c r="P387" s="89"/>
      <c r="Q387" s="89"/>
      <c r="R387" s="89"/>
      <c r="S387" s="89"/>
      <c r="T387" s="89"/>
      <c r="U387" s="89"/>
      <c r="V387" s="89"/>
      <c r="W387" s="89"/>
      <c r="X387" s="89"/>
      <c r="Y387" s="89"/>
      <c r="Z387" s="89"/>
    </row>
    <row r="388" spans="1:26" ht="15.75" customHeight="1">
      <c r="A388" s="89" t="s">
        <v>223</v>
      </c>
      <c r="B388" s="13" t="s">
        <v>227</v>
      </c>
      <c r="C388" s="89" t="s">
        <v>205</v>
      </c>
      <c r="D388" s="112" t="s">
        <v>2180</v>
      </c>
      <c r="E388" s="89"/>
      <c r="F388" s="89"/>
      <c r="G388" s="89"/>
      <c r="H388" s="89"/>
      <c r="I388" s="89"/>
      <c r="J388" s="89"/>
      <c r="K388" s="89"/>
      <c r="L388" s="89"/>
      <c r="M388" s="89"/>
      <c r="N388" s="89"/>
      <c r="O388" s="89"/>
      <c r="P388" s="89"/>
      <c r="Q388" s="89"/>
      <c r="R388" s="89"/>
      <c r="S388" s="89"/>
      <c r="T388" s="89"/>
      <c r="U388" s="89"/>
      <c r="V388" s="89"/>
      <c r="W388" s="89"/>
      <c r="X388" s="89"/>
      <c r="Y388" s="89"/>
      <c r="Z388" s="89"/>
    </row>
    <row r="389" spans="1:26" ht="15.75" customHeight="1">
      <c r="A389" s="86" t="s">
        <v>300</v>
      </c>
      <c r="B389" s="13" t="s">
        <v>301</v>
      </c>
      <c r="C389" s="86" t="s">
        <v>672</v>
      </c>
      <c r="D389" s="91" t="s">
        <v>2181</v>
      </c>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5.75" customHeight="1">
      <c r="A390" s="86" t="s">
        <v>327</v>
      </c>
      <c r="B390" s="13" t="s">
        <v>328</v>
      </c>
      <c r="C390" s="91" t="s">
        <v>682</v>
      </c>
      <c r="D390" s="91" t="s">
        <v>2182</v>
      </c>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5.75" customHeight="1">
      <c r="A391" s="86" t="s">
        <v>692</v>
      </c>
      <c r="B391" s="13" t="s">
        <v>693</v>
      </c>
      <c r="C391" s="86" t="s">
        <v>682</v>
      </c>
      <c r="D391" s="91" t="s">
        <v>2183</v>
      </c>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5.75" customHeight="1">
      <c r="A392" s="109" t="s">
        <v>996</v>
      </c>
      <c r="B392" s="13" t="s">
        <v>997</v>
      </c>
      <c r="C392" s="86" t="s">
        <v>374</v>
      </c>
      <c r="D392" s="112" t="s">
        <v>2184</v>
      </c>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5.75" customHeight="1">
      <c r="A393" s="109" t="s">
        <v>377</v>
      </c>
      <c r="B393" s="13" t="s">
        <v>378</v>
      </c>
      <c r="C393" s="91" t="s">
        <v>107</v>
      </c>
      <c r="D393" s="91" t="s">
        <v>2185</v>
      </c>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5.75" customHeight="1">
      <c r="A394" s="109" t="s">
        <v>403</v>
      </c>
      <c r="B394" s="13" t="s">
        <v>404</v>
      </c>
      <c r="C394" s="91" t="s">
        <v>1841</v>
      </c>
      <c r="D394" s="91" t="s">
        <v>2186</v>
      </c>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5.75" customHeight="1">
      <c r="A395" s="109" t="s">
        <v>335</v>
      </c>
      <c r="B395" s="13" t="s">
        <v>336</v>
      </c>
      <c r="C395" s="91" t="s">
        <v>1763</v>
      </c>
      <c r="D395" s="91" t="s">
        <v>2187</v>
      </c>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5.75" customHeight="1">
      <c r="A396" s="109" t="s">
        <v>498</v>
      </c>
      <c r="B396" s="13" t="s">
        <v>499</v>
      </c>
      <c r="C396" s="91" t="s">
        <v>488</v>
      </c>
      <c r="D396" s="91" t="s">
        <v>2188</v>
      </c>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5.75" customHeight="1">
      <c r="A397" s="109" t="s">
        <v>945</v>
      </c>
      <c r="B397" s="13" t="s">
        <v>946</v>
      </c>
      <c r="C397" s="91" t="s">
        <v>1870</v>
      </c>
      <c r="D397" s="91" t="s">
        <v>2189</v>
      </c>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5.75" customHeight="1">
      <c r="A398" s="109" t="s">
        <v>143</v>
      </c>
      <c r="B398" s="13" t="s">
        <v>144</v>
      </c>
      <c r="C398" s="91" t="s">
        <v>126</v>
      </c>
      <c r="D398" s="91" t="s">
        <v>2190</v>
      </c>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5.75" customHeight="1">
      <c r="A399" s="109" t="s">
        <v>165</v>
      </c>
      <c r="B399" s="13" t="s">
        <v>166</v>
      </c>
      <c r="C399" s="91" t="s">
        <v>1846</v>
      </c>
      <c r="D399" s="91" t="s">
        <v>2191</v>
      </c>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5.75" customHeight="1">
      <c r="A400" s="109" t="s">
        <v>1216</v>
      </c>
      <c r="B400" s="13" t="s">
        <v>1217</v>
      </c>
      <c r="C400" s="91" t="s">
        <v>1846</v>
      </c>
      <c r="D400" s="91" t="s">
        <v>2192</v>
      </c>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5.75" customHeight="1">
      <c r="A401" s="86" t="s">
        <v>185</v>
      </c>
      <c r="B401" s="13" t="s">
        <v>186</v>
      </c>
      <c r="C401" s="91" t="s">
        <v>179</v>
      </c>
      <c r="D401" s="89" t="s">
        <v>2193</v>
      </c>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5.75" customHeight="1">
      <c r="A402" s="3" t="s">
        <v>293</v>
      </c>
      <c r="B402" s="13" t="s">
        <v>294</v>
      </c>
      <c r="C402" s="91" t="s">
        <v>191</v>
      </c>
      <c r="D402" s="91" t="s">
        <v>2194</v>
      </c>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5.75" customHeight="1">
      <c r="A403" s="109" t="s">
        <v>213</v>
      </c>
      <c r="B403" s="13" t="s">
        <v>214</v>
      </c>
      <c r="C403" s="91" t="s">
        <v>205</v>
      </c>
      <c r="D403" s="91" t="s">
        <v>2195</v>
      </c>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5.75" customHeight="1">
      <c r="A404" s="109" t="s">
        <v>217</v>
      </c>
      <c r="B404" s="13" t="s">
        <v>218</v>
      </c>
      <c r="C404" s="91" t="s">
        <v>205</v>
      </c>
      <c r="D404" s="91" t="s">
        <v>2196</v>
      </c>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5.75" customHeight="1">
      <c r="A405" s="109" t="s">
        <v>225</v>
      </c>
      <c r="B405" s="13" t="s">
        <v>226</v>
      </c>
      <c r="C405" s="91" t="s">
        <v>205</v>
      </c>
      <c r="D405" s="91" t="s">
        <v>2197</v>
      </c>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5.75" customHeight="1">
      <c r="A406" s="109" t="s">
        <v>257</v>
      </c>
      <c r="B406" s="13" t="s">
        <v>258</v>
      </c>
      <c r="C406" s="91" t="s">
        <v>52</v>
      </c>
      <c r="D406" s="91" t="s">
        <v>2198</v>
      </c>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5.75" customHeight="1">
      <c r="A407" s="86" t="s">
        <v>877</v>
      </c>
      <c r="B407" s="13" t="s">
        <v>878</v>
      </c>
      <c r="C407" s="86" t="s">
        <v>672</v>
      </c>
      <c r="D407" s="91" t="s">
        <v>2199</v>
      </c>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5.75" customHeight="1">
      <c r="A408" s="86" t="s">
        <v>854</v>
      </c>
      <c r="B408" s="13" t="s">
        <v>855</v>
      </c>
      <c r="C408" s="86" t="s">
        <v>672</v>
      </c>
      <c r="D408" s="91" t="s">
        <v>2200</v>
      </c>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5.75" customHeight="1">
      <c r="A409" s="109" t="s">
        <v>275</v>
      </c>
      <c r="B409" s="13" t="s">
        <v>276</v>
      </c>
      <c r="C409" s="91" t="s">
        <v>1850</v>
      </c>
      <c r="D409" s="91" t="s">
        <v>2201</v>
      </c>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5.75" customHeight="1">
      <c r="A410" s="86" t="s">
        <v>339</v>
      </c>
      <c r="B410" s="13" t="s">
        <v>340</v>
      </c>
      <c r="C410" s="86" t="s">
        <v>682</v>
      </c>
      <c r="D410" s="91" t="s">
        <v>2202</v>
      </c>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5.75" customHeight="1">
      <c r="A411" s="86" t="s">
        <v>906</v>
      </c>
      <c r="B411" s="13" t="s">
        <v>907</v>
      </c>
      <c r="C411" s="86" t="s">
        <v>353</v>
      </c>
      <c r="D411" s="112" t="s">
        <v>2203</v>
      </c>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5.75" customHeight="1">
      <c r="A412" s="89" t="s">
        <v>241</v>
      </c>
      <c r="B412" s="13" t="s">
        <v>242</v>
      </c>
      <c r="C412" s="89" t="s">
        <v>1708</v>
      </c>
      <c r="D412" s="112" t="s">
        <v>2204</v>
      </c>
      <c r="E412" s="89"/>
      <c r="F412" s="89"/>
      <c r="G412" s="89"/>
      <c r="H412" s="89"/>
      <c r="I412" s="89"/>
      <c r="J412" s="89"/>
      <c r="K412" s="89"/>
      <c r="L412" s="89"/>
      <c r="M412" s="89"/>
      <c r="N412" s="89"/>
      <c r="O412" s="89"/>
      <c r="P412" s="89"/>
      <c r="Q412" s="89"/>
      <c r="R412" s="89"/>
      <c r="S412" s="89"/>
      <c r="T412" s="89"/>
      <c r="U412" s="89"/>
      <c r="V412" s="89"/>
      <c r="W412" s="89"/>
      <c r="X412" s="89"/>
      <c r="Y412" s="89"/>
      <c r="Z412" s="89"/>
    </row>
    <row r="413" spans="1:26" ht="15.75" customHeight="1">
      <c r="A413" s="3" t="s">
        <v>586</v>
      </c>
      <c r="B413" s="13" t="s">
        <v>587</v>
      </c>
      <c r="C413" s="91" t="s">
        <v>1708</v>
      </c>
      <c r="D413" s="91" t="s">
        <v>2205</v>
      </c>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5.75" customHeight="1">
      <c r="A414" s="89" t="s">
        <v>120</v>
      </c>
      <c r="B414" s="13" t="s">
        <v>121</v>
      </c>
      <c r="C414" s="89" t="s">
        <v>1708</v>
      </c>
      <c r="D414" s="112" t="s">
        <v>2206</v>
      </c>
      <c r="E414" s="89"/>
      <c r="F414" s="89"/>
      <c r="G414" s="89"/>
      <c r="H414" s="89"/>
      <c r="I414" s="89"/>
      <c r="J414" s="89"/>
      <c r="K414" s="89"/>
      <c r="L414" s="89"/>
      <c r="M414" s="89"/>
      <c r="N414" s="89"/>
      <c r="O414" s="89"/>
      <c r="P414" s="89"/>
      <c r="Q414" s="89"/>
      <c r="R414" s="89"/>
      <c r="S414" s="89"/>
      <c r="T414" s="89"/>
      <c r="U414" s="89"/>
      <c r="V414" s="89"/>
      <c r="W414" s="89"/>
      <c r="X414" s="89"/>
      <c r="Y414" s="89"/>
      <c r="Z414" s="89"/>
    </row>
    <row r="415" spans="1:26" ht="15.75" customHeight="1">
      <c r="A415" s="109" t="s">
        <v>399</v>
      </c>
      <c r="B415" s="13" t="s">
        <v>400</v>
      </c>
      <c r="C415" s="91" t="s">
        <v>1841</v>
      </c>
      <c r="D415" s="91" t="s">
        <v>2207</v>
      </c>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5.75" customHeight="1">
      <c r="A416" s="109" t="s">
        <v>407</v>
      </c>
      <c r="B416" s="13" t="s">
        <v>408</v>
      </c>
      <c r="C416" s="91" t="s">
        <v>1841</v>
      </c>
      <c r="D416" s="91" t="s">
        <v>2208</v>
      </c>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5.75" customHeight="1">
      <c r="A417" s="89" t="s">
        <v>427</v>
      </c>
      <c r="B417" s="13" t="s">
        <v>428</v>
      </c>
      <c r="C417" s="89" t="s">
        <v>417</v>
      </c>
      <c r="D417" s="112" t="s">
        <v>2209</v>
      </c>
      <c r="E417" s="89"/>
      <c r="F417" s="89"/>
      <c r="G417" s="89"/>
      <c r="H417" s="89"/>
      <c r="I417" s="89"/>
      <c r="J417" s="89"/>
      <c r="K417" s="89"/>
      <c r="L417" s="89"/>
      <c r="M417" s="89"/>
      <c r="N417" s="89"/>
      <c r="O417" s="89"/>
      <c r="P417" s="89"/>
      <c r="Q417" s="89"/>
      <c r="R417" s="89"/>
      <c r="S417" s="89"/>
      <c r="T417" s="89"/>
      <c r="U417" s="89"/>
      <c r="V417" s="89"/>
      <c r="W417" s="89"/>
      <c r="X417" s="89"/>
      <c r="Y417" s="89"/>
      <c r="Z417" s="89"/>
    </row>
    <row r="418" spans="1:26" ht="15.75" customHeight="1">
      <c r="A418" s="109" t="s">
        <v>265</v>
      </c>
      <c r="B418" s="13" t="s">
        <v>266</v>
      </c>
      <c r="C418" s="91" t="s">
        <v>629</v>
      </c>
      <c r="D418" s="91" t="s">
        <v>2210</v>
      </c>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5.75" customHeight="1">
      <c r="A419" s="118" t="s">
        <v>930</v>
      </c>
      <c r="B419" s="13" t="s">
        <v>931</v>
      </c>
      <c r="C419" s="89" t="s">
        <v>629</v>
      </c>
      <c r="D419" s="112" t="s">
        <v>2211</v>
      </c>
      <c r="E419" s="89"/>
      <c r="F419" s="89"/>
      <c r="G419" s="89"/>
      <c r="H419" s="89"/>
      <c r="I419" s="89"/>
      <c r="J419" s="89"/>
      <c r="K419" s="89"/>
      <c r="L419" s="89"/>
      <c r="M419" s="89"/>
      <c r="N419" s="89"/>
      <c r="O419" s="89"/>
      <c r="P419" s="89"/>
      <c r="Q419" s="89"/>
      <c r="R419" s="89"/>
      <c r="S419" s="89"/>
      <c r="T419" s="89"/>
      <c r="U419" s="89"/>
      <c r="V419" s="89"/>
      <c r="W419" s="89"/>
      <c r="X419" s="89"/>
      <c r="Y419" s="89"/>
      <c r="Z419" s="89"/>
    </row>
    <row r="420" spans="1:26" ht="15.75" customHeight="1">
      <c r="A420" s="89" t="s">
        <v>2212</v>
      </c>
      <c r="B420" s="13" t="s">
        <v>117</v>
      </c>
      <c r="C420" s="89" t="s">
        <v>116</v>
      </c>
      <c r="D420" s="112" t="s">
        <v>2213</v>
      </c>
      <c r="E420" s="89"/>
      <c r="F420" s="89"/>
      <c r="G420" s="89"/>
      <c r="H420" s="89"/>
      <c r="I420" s="89"/>
      <c r="J420" s="89"/>
      <c r="K420" s="89"/>
      <c r="L420" s="89"/>
      <c r="M420" s="89"/>
      <c r="N420" s="89"/>
      <c r="O420" s="89"/>
      <c r="P420" s="89"/>
      <c r="Q420" s="89"/>
      <c r="R420" s="89"/>
      <c r="S420" s="89"/>
      <c r="T420" s="89"/>
      <c r="U420" s="89"/>
      <c r="V420" s="89"/>
      <c r="W420" s="89"/>
      <c r="X420" s="89"/>
      <c r="Y420" s="89"/>
      <c r="Z420" s="89"/>
    </row>
    <row r="421" spans="1:26" ht="15.75" customHeight="1">
      <c r="A421" s="86" t="s">
        <v>1155</v>
      </c>
      <c r="B421" s="13" t="s">
        <v>1156</v>
      </c>
      <c r="C421" s="91" t="s">
        <v>116</v>
      </c>
      <c r="D421" s="91" t="s">
        <v>2214</v>
      </c>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5.75" customHeight="1">
      <c r="A422" s="109" t="s">
        <v>493</v>
      </c>
      <c r="B422" s="13" t="s">
        <v>494</v>
      </c>
      <c r="C422" s="91" t="s">
        <v>488</v>
      </c>
      <c r="D422" s="91" t="s">
        <v>2215</v>
      </c>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5.75" customHeight="1">
      <c r="A423" s="109" t="s">
        <v>495</v>
      </c>
      <c r="B423" s="13" t="s">
        <v>507</v>
      </c>
      <c r="C423" s="91" t="s">
        <v>488</v>
      </c>
      <c r="D423" s="91" t="s">
        <v>2216</v>
      </c>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5.75" customHeight="1">
      <c r="A424" s="89" t="s">
        <v>521</v>
      </c>
      <c r="B424" s="13" t="s">
        <v>522</v>
      </c>
      <c r="C424" s="89" t="s">
        <v>1870</v>
      </c>
      <c r="D424" s="112" t="s">
        <v>2217</v>
      </c>
      <c r="E424" s="89"/>
      <c r="F424" s="89"/>
      <c r="G424" s="89"/>
      <c r="H424" s="89"/>
      <c r="I424" s="89"/>
      <c r="J424" s="89"/>
      <c r="K424" s="89"/>
      <c r="L424" s="89"/>
      <c r="M424" s="89"/>
      <c r="N424" s="89"/>
      <c r="O424" s="89"/>
      <c r="P424" s="89"/>
      <c r="Q424" s="89"/>
      <c r="R424" s="89"/>
      <c r="S424" s="89"/>
      <c r="T424" s="89"/>
      <c r="U424" s="89"/>
      <c r="V424" s="89"/>
      <c r="W424" s="89"/>
      <c r="X424" s="89"/>
      <c r="Y424" s="89"/>
      <c r="Z424" s="89"/>
    </row>
    <row r="425" spans="1:26" ht="15.75" customHeight="1">
      <c r="A425" s="3" t="s">
        <v>576</v>
      </c>
      <c r="B425" s="13" t="s">
        <v>577</v>
      </c>
      <c r="C425" s="91" t="s">
        <v>566</v>
      </c>
      <c r="D425" s="91" t="s">
        <v>2218</v>
      </c>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5.75" customHeight="1">
      <c r="A426" s="109" t="s">
        <v>619</v>
      </c>
      <c r="B426" s="13" t="s">
        <v>620</v>
      </c>
      <c r="C426" s="91" t="s">
        <v>1831</v>
      </c>
      <c r="D426" s="91" t="s">
        <v>2219</v>
      </c>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5.75" customHeight="1">
      <c r="A427" s="109" t="s">
        <v>138</v>
      </c>
      <c r="B427" s="13" t="s">
        <v>139</v>
      </c>
      <c r="C427" s="91" t="s">
        <v>126</v>
      </c>
      <c r="D427" s="91" t="s">
        <v>2220</v>
      </c>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5.75" customHeight="1">
      <c r="A428" s="109" t="s">
        <v>810</v>
      </c>
      <c r="B428" s="13" t="s">
        <v>811</v>
      </c>
      <c r="C428" s="91" t="s">
        <v>1846</v>
      </c>
      <c r="D428" s="91" t="s">
        <v>2221</v>
      </c>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5.75" customHeight="1">
      <c r="A429" s="109" t="s">
        <v>1293</v>
      </c>
      <c r="B429" s="13" t="s">
        <v>1294</v>
      </c>
      <c r="C429" s="91" t="s">
        <v>191</v>
      </c>
      <c r="D429" s="91" t="s">
        <v>2222</v>
      </c>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5.75" customHeight="1">
      <c r="A430" s="109" t="s">
        <v>849</v>
      </c>
      <c r="B430" s="13" t="s">
        <v>850</v>
      </c>
      <c r="C430" s="91" t="s">
        <v>191</v>
      </c>
      <c r="D430" s="91" t="s">
        <v>2223</v>
      </c>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5.75" customHeight="1">
      <c r="A431" s="109" t="s">
        <v>307</v>
      </c>
      <c r="B431" s="13" t="s">
        <v>308</v>
      </c>
      <c r="C431" s="91" t="s">
        <v>672</v>
      </c>
      <c r="D431" s="91" t="s">
        <v>2224</v>
      </c>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5.75" customHeight="1">
      <c r="A432" s="86" t="s">
        <v>281</v>
      </c>
      <c r="B432" s="13" t="s">
        <v>282</v>
      </c>
      <c r="C432" s="91" t="s">
        <v>1850</v>
      </c>
      <c r="D432" s="91" t="s">
        <v>2225</v>
      </c>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5.75" customHeight="1">
      <c r="A433" s="121" t="s">
        <v>2226</v>
      </c>
      <c r="B433" s="122" t="s">
        <v>1112</v>
      </c>
      <c r="C433" s="86" t="s">
        <v>353</v>
      </c>
      <c r="D433" s="91" t="s">
        <v>2227</v>
      </c>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5.75" customHeight="1">
      <c r="A434" s="121" t="s">
        <v>1119</v>
      </c>
      <c r="B434" s="122" t="s">
        <v>1120</v>
      </c>
      <c r="C434" s="86" t="s">
        <v>353</v>
      </c>
      <c r="D434" s="91" t="s">
        <v>2228</v>
      </c>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5.75" customHeight="1">
      <c r="A435" s="121" t="s">
        <v>2229</v>
      </c>
      <c r="B435" s="122" t="s">
        <v>992</v>
      </c>
      <c r="C435" s="86" t="s">
        <v>353</v>
      </c>
      <c r="D435" s="91" t="s">
        <v>2230</v>
      </c>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5.75" customHeight="1">
      <c r="A436" s="109" t="s">
        <v>1072</v>
      </c>
      <c r="B436" s="13" t="s">
        <v>366</v>
      </c>
      <c r="C436" s="86" t="s">
        <v>374</v>
      </c>
      <c r="D436" s="112" t="s">
        <v>2231</v>
      </c>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5.75" customHeight="1">
      <c r="A437" s="3" t="s">
        <v>78</v>
      </c>
      <c r="B437" s="13" t="s">
        <v>79</v>
      </c>
      <c r="C437" s="91" t="s">
        <v>1708</v>
      </c>
      <c r="D437" s="91" t="s">
        <v>2232</v>
      </c>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5.75" customHeight="1">
      <c r="A438" s="3" t="s">
        <v>409</v>
      </c>
      <c r="B438" s="13" t="s">
        <v>410</v>
      </c>
      <c r="C438" s="91" t="s">
        <v>1841</v>
      </c>
      <c r="D438" s="91" t="s">
        <v>2233</v>
      </c>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5.75" customHeight="1">
      <c r="A439" s="49" t="s">
        <v>1024</v>
      </c>
      <c r="B439" s="13" t="s">
        <v>1025</v>
      </c>
      <c r="C439" s="86" t="s">
        <v>629</v>
      </c>
      <c r="D439" s="91" t="s">
        <v>2234</v>
      </c>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5.75" customHeight="1">
      <c r="A440" s="86" t="s">
        <v>909</v>
      </c>
      <c r="B440" s="13" t="s">
        <v>910</v>
      </c>
      <c r="C440" s="86" t="s">
        <v>1763</v>
      </c>
      <c r="D440" s="86" t="s">
        <v>2235</v>
      </c>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5.75" customHeight="1">
      <c r="A441" s="109" t="s">
        <v>505</v>
      </c>
      <c r="B441" s="13" t="s">
        <v>506</v>
      </c>
      <c r="C441" s="91" t="s">
        <v>488</v>
      </c>
      <c r="D441" s="91" t="s">
        <v>2236</v>
      </c>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5.75" customHeight="1">
      <c r="A442" s="109" t="s">
        <v>281</v>
      </c>
      <c r="B442" s="13" t="s">
        <v>496</v>
      </c>
      <c r="C442" s="91" t="s">
        <v>488</v>
      </c>
      <c r="D442" s="91" t="s">
        <v>2237</v>
      </c>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5.75" customHeight="1">
      <c r="A443" s="89" t="s">
        <v>523</v>
      </c>
      <c r="B443" s="13" t="s">
        <v>524</v>
      </c>
      <c r="C443" s="89" t="s">
        <v>1870</v>
      </c>
      <c r="D443" s="112" t="s">
        <v>2238</v>
      </c>
      <c r="E443" s="89"/>
      <c r="F443" s="89"/>
      <c r="G443" s="89"/>
      <c r="H443" s="89"/>
      <c r="I443" s="89"/>
      <c r="J443" s="89"/>
      <c r="K443" s="89"/>
      <c r="L443" s="89"/>
      <c r="M443" s="89"/>
      <c r="N443" s="89"/>
      <c r="O443" s="89"/>
      <c r="P443" s="89"/>
      <c r="Q443" s="89"/>
      <c r="R443" s="89"/>
      <c r="S443" s="89"/>
      <c r="T443" s="89"/>
      <c r="U443" s="89"/>
      <c r="V443" s="89"/>
      <c r="W443" s="89"/>
      <c r="X443" s="89"/>
      <c r="Y443" s="89"/>
      <c r="Z443" s="89"/>
    </row>
    <row r="444" spans="1:26" ht="15.75" customHeight="1">
      <c r="A444" s="109" t="s">
        <v>1675</v>
      </c>
      <c r="B444" s="13" t="s">
        <v>1676</v>
      </c>
      <c r="C444" s="91" t="s">
        <v>1870</v>
      </c>
      <c r="D444" s="91" t="s">
        <v>2239</v>
      </c>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5.75" customHeight="1">
      <c r="A445" s="109" t="s">
        <v>570</v>
      </c>
      <c r="B445" s="13" t="s">
        <v>571</v>
      </c>
      <c r="C445" s="91" t="s">
        <v>566</v>
      </c>
      <c r="D445" s="91" t="s">
        <v>2240</v>
      </c>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5.75" customHeight="1">
      <c r="A446" s="109" t="s">
        <v>574</v>
      </c>
      <c r="B446" s="13" t="s">
        <v>575</v>
      </c>
      <c r="C446" s="91" t="s">
        <v>566</v>
      </c>
      <c r="D446" s="91" t="s">
        <v>2241</v>
      </c>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5.75" customHeight="1">
      <c r="A447" s="86" t="s">
        <v>2242</v>
      </c>
      <c r="B447" s="13" t="s">
        <v>184</v>
      </c>
      <c r="C447" s="91" t="s">
        <v>179</v>
      </c>
      <c r="D447" s="89" t="s">
        <v>2243</v>
      </c>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5.75" customHeight="1">
      <c r="A448" s="3" t="s">
        <v>255</v>
      </c>
      <c r="B448" s="13" t="s">
        <v>256</v>
      </c>
      <c r="C448" s="91" t="s">
        <v>52</v>
      </c>
      <c r="D448" s="91" t="s">
        <v>2244</v>
      </c>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5.75" customHeight="1">
      <c r="A449" s="89" t="s">
        <v>2245</v>
      </c>
      <c r="B449" s="13" t="s">
        <v>431</v>
      </c>
      <c r="C449" s="91" t="s">
        <v>315</v>
      </c>
      <c r="D449" s="112" t="s">
        <v>2246</v>
      </c>
      <c r="E449" s="89"/>
      <c r="F449" s="89"/>
      <c r="G449" s="89"/>
      <c r="H449" s="89"/>
      <c r="I449" s="89"/>
      <c r="J449" s="89"/>
      <c r="K449" s="89"/>
      <c r="L449" s="89"/>
      <c r="M449" s="89"/>
      <c r="N449" s="89"/>
      <c r="O449" s="89"/>
      <c r="P449" s="89"/>
      <c r="Q449" s="89"/>
      <c r="R449" s="89"/>
      <c r="S449" s="89"/>
      <c r="T449" s="89"/>
      <c r="U449" s="89"/>
      <c r="V449" s="89"/>
      <c r="W449" s="89"/>
      <c r="X449" s="89"/>
      <c r="Y449" s="89"/>
      <c r="Z449" s="89"/>
    </row>
    <row r="450" spans="1:26" ht="15.75" customHeight="1">
      <c r="A450" s="86" t="s">
        <v>1745</v>
      </c>
      <c r="B450" s="13" t="s">
        <v>2247</v>
      </c>
      <c r="C450" s="91" t="s">
        <v>315</v>
      </c>
      <c r="D450" s="91" t="s">
        <v>2248</v>
      </c>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5.75" customHeight="1">
      <c r="A451" s="86" t="s">
        <v>279</v>
      </c>
      <c r="B451" s="13" t="s">
        <v>280</v>
      </c>
      <c r="C451" s="91" t="s">
        <v>1850</v>
      </c>
      <c r="D451" s="91" t="s">
        <v>2249</v>
      </c>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5.75" customHeight="1">
      <c r="A452" s="121" t="s">
        <v>1123</v>
      </c>
      <c r="B452" s="122" t="s">
        <v>1124</v>
      </c>
      <c r="C452" s="86" t="s">
        <v>353</v>
      </c>
      <c r="D452" s="91" t="s">
        <v>2250</v>
      </c>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5.75" customHeight="1">
      <c r="A453" s="121" t="s">
        <v>1127</v>
      </c>
      <c r="B453" s="122" t="s">
        <v>1128</v>
      </c>
      <c r="C453" s="86" t="s">
        <v>353</v>
      </c>
      <c r="D453" s="91" t="s">
        <v>2251</v>
      </c>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5.75" customHeight="1">
      <c r="A454" s="109" t="s">
        <v>1132</v>
      </c>
      <c r="B454" s="13" t="s">
        <v>1133</v>
      </c>
      <c r="C454" s="86" t="s">
        <v>374</v>
      </c>
      <c r="D454" s="112" t="s">
        <v>2252</v>
      </c>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5.75" customHeight="1">
      <c r="A455" s="86" t="s">
        <v>2253</v>
      </c>
      <c r="B455" s="13" t="s">
        <v>2254</v>
      </c>
      <c r="C455" s="86" t="s">
        <v>374</v>
      </c>
      <c r="D455" s="112" t="s">
        <v>2255</v>
      </c>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5.75" customHeight="1">
      <c r="A456" s="109" t="s">
        <v>2256</v>
      </c>
      <c r="B456" s="13" t="s">
        <v>1005</v>
      </c>
      <c r="C456" s="86" t="s">
        <v>374</v>
      </c>
      <c r="D456" s="112" t="s">
        <v>2257</v>
      </c>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5.75" customHeight="1">
      <c r="A457" s="109" t="s">
        <v>1016</v>
      </c>
      <c r="B457" s="13" t="s">
        <v>1017</v>
      </c>
      <c r="C457" s="86" t="s">
        <v>374</v>
      </c>
      <c r="D457" s="112" t="s">
        <v>2258</v>
      </c>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5.75" customHeight="1">
      <c r="A458" s="3" t="s">
        <v>413</v>
      </c>
      <c r="B458" s="13" t="s">
        <v>414</v>
      </c>
      <c r="C458" s="91" t="s">
        <v>1708</v>
      </c>
      <c r="D458" s="91" t="s">
        <v>2259</v>
      </c>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5.75" customHeight="1">
      <c r="A459" s="3" t="s">
        <v>385</v>
      </c>
      <c r="B459" s="13" t="s">
        <v>386</v>
      </c>
      <c r="C459" s="91" t="s">
        <v>1708</v>
      </c>
      <c r="D459" s="91" t="s">
        <v>2260</v>
      </c>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5.75" customHeight="1">
      <c r="A460" s="89" t="s">
        <v>354</v>
      </c>
      <c r="B460" s="13" t="s">
        <v>355</v>
      </c>
      <c r="C460" s="89" t="s">
        <v>1708</v>
      </c>
      <c r="D460" s="112" t="s">
        <v>2261</v>
      </c>
      <c r="E460" s="89"/>
      <c r="F460" s="89"/>
      <c r="G460" s="89"/>
      <c r="H460" s="89"/>
      <c r="I460" s="89"/>
      <c r="J460" s="89"/>
      <c r="K460" s="89"/>
      <c r="L460" s="89"/>
      <c r="M460" s="89"/>
      <c r="N460" s="89"/>
      <c r="O460" s="89"/>
      <c r="P460" s="89"/>
      <c r="Q460" s="89"/>
      <c r="R460" s="89"/>
      <c r="S460" s="89"/>
      <c r="T460" s="89"/>
      <c r="U460" s="89"/>
      <c r="V460" s="89"/>
      <c r="W460" s="89"/>
      <c r="X460" s="89"/>
      <c r="Y460" s="89"/>
      <c r="Z460" s="89"/>
    </row>
    <row r="461" spans="1:26" ht="15.75" customHeight="1">
      <c r="A461" s="11" t="s">
        <v>153</v>
      </c>
      <c r="B461" s="13" t="s">
        <v>2262</v>
      </c>
      <c r="C461" s="91" t="s">
        <v>1708</v>
      </c>
      <c r="D461" s="91" t="s">
        <v>2263</v>
      </c>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5.75" customHeight="1">
      <c r="A462" s="89" t="s">
        <v>2264</v>
      </c>
      <c r="B462" s="13" t="s">
        <v>2265</v>
      </c>
      <c r="C462" s="89" t="s">
        <v>629</v>
      </c>
      <c r="D462" s="112" t="s">
        <v>2266</v>
      </c>
      <c r="E462" s="89"/>
      <c r="F462" s="89"/>
      <c r="G462" s="89"/>
      <c r="H462" s="89"/>
      <c r="I462" s="89"/>
      <c r="J462" s="89"/>
      <c r="K462" s="89"/>
      <c r="L462" s="89"/>
      <c r="M462" s="89"/>
      <c r="N462" s="89"/>
      <c r="O462" s="89"/>
      <c r="P462" s="89"/>
      <c r="Q462" s="89"/>
      <c r="R462" s="89"/>
      <c r="S462" s="89"/>
      <c r="T462" s="89"/>
      <c r="U462" s="89"/>
      <c r="V462" s="89"/>
      <c r="W462" s="89"/>
      <c r="X462" s="89"/>
      <c r="Y462" s="89"/>
      <c r="Z462" s="89"/>
    </row>
    <row r="463" spans="1:26" ht="15.75" customHeight="1">
      <c r="A463" s="86" t="s">
        <v>1383</v>
      </c>
      <c r="B463" s="13" t="s">
        <v>1384</v>
      </c>
      <c r="C463" s="86" t="s">
        <v>629</v>
      </c>
      <c r="D463" s="91" t="s">
        <v>2267</v>
      </c>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5.75" customHeight="1">
      <c r="A464" s="86" t="s">
        <v>2268</v>
      </c>
      <c r="B464" s="13" t="s">
        <v>1039</v>
      </c>
      <c r="C464" s="86" t="s">
        <v>629</v>
      </c>
      <c r="D464" s="91" t="s">
        <v>2269</v>
      </c>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5.75" customHeight="1">
      <c r="A465" s="118" t="s">
        <v>1142</v>
      </c>
      <c r="B465" s="13" t="s">
        <v>1143</v>
      </c>
      <c r="C465" s="89" t="s">
        <v>629</v>
      </c>
      <c r="D465" s="112" t="s">
        <v>2270</v>
      </c>
      <c r="E465" s="89"/>
      <c r="F465" s="89"/>
      <c r="G465" s="89"/>
      <c r="H465" s="89"/>
      <c r="I465" s="89"/>
      <c r="J465" s="89"/>
      <c r="K465" s="89"/>
      <c r="L465" s="89"/>
      <c r="M465" s="89"/>
      <c r="N465" s="89"/>
      <c r="O465" s="89"/>
      <c r="P465" s="89"/>
      <c r="Q465" s="89"/>
      <c r="R465" s="89"/>
      <c r="S465" s="89"/>
      <c r="T465" s="89"/>
      <c r="U465" s="89"/>
      <c r="V465" s="89"/>
      <c r="W465" s="89"/>
      <c r="X465" s="89"/>
      <c r="Y465" s="89"/>
      <c r="Z465" s="89"/>
    </row>
    <row r="466" spans="1:26" ht="15.75" customHeight="1">
      <c r="A466" s="86" t="s">
        <v>2271</v>
      </c>
      <c r="B466" s="13" t="s">
        <v>1029</v>
      </c>
      <c r="C466" s="86" t="s">
        <v>629</v>
      </c>
      <c r="D466" s="91" t="s">
        <v>2272</v>
      </c>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5.75" customHeight="1">
      <c r="A467" s="3" t="s">
        <v>189</v>
      </c>
      <c r="B467" s="13" t="s">
        <v>190</v>
      </c>
      <c r="C467" s="86" t="s">
        <v>1763</v>
      </c>
      <c r="D467" s="91" t="s">
        <v>2273</v>
      </c>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5.75" customHeight="1">
      <c r="A468" s="3" t="s">
        <v>510</v>
      </c>
      <c r="B468" s="13" t="s">
        <v>511</v>
      </c>
      <c r="C468" s="91" t="s">
        <v>1870</v>
      </c>
      <c r="D468" s="91" t="s">
        <v>2274</v>
      </c>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5.75" customHeight="1">
      <c r="A469" s="3" t="s">
        <v>538</v>
      </c>
      <c r="B469" s="13" t="s">
        <v>539</v>
      </c>
      <c r="C469" s="91" t="s">
        <v>1870</v>
      </c>
      <c r="D469" s="91" t="s">
        <v>2275</v>
      </c>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5.75" customHeight="1">
      <c r="A470" s="89" t="s">
        <v>572</v>
      </c>
      <c r="B470" s="13" t="s">
        <v>573</v>
      </c>
      <c r="C470" s="89" t="s">
        <v>566</v>
      </c>
      <c r="D470" s="112" t="s">
        <v>2276</v>
      </c>
      <c r="E470" s="89"/>
      <c r="F470" s="89"/>
      <c r="G470" s="89"/>
      <c r="H470" s="89"/>
      <c r="I470" s="89"/>
      <c r="J470" s="89"/>
      <c r="K470" s="89"/>
      <c r="L470" s="89"/>
      <c r="M470" s="89"/>
      <c r="N470" s="89"/>
      <c r="O470" s="89"/>
      <c r="P470" s="89"/>
      <c r="Q470" s="89"/>
      <c r="R470" s="89"/>
      <c r="S470" s="89"/>
      <c r="T470" s="89"/>
      <c r="U470" s="89"/>
      <c r="V470" s="89"/>
      <c r="W470" s="89"/>
      <c r="X470" s="89"/>
      <c r="Y470" s="89"/>
      <c r="Z470" s="89"/>
    </row>
    <row r="471" spans="1:26" ht="15.75" customHeight="1">
      <c r="A471" s="86" t="s">
        <v>829</v>
      </c>
      <c r="B471" s="13" t="s">
        <v>830</v>
      </c>
      <c r="C471" s="91" t="s">
        <v>179</v>
      </c>
      <c r="D471" s="89" t="s">
        <v>2277</v>
      </c>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5.75" customHeight="1">
      <c r="A472" s="103" t="s">
        <v>2278</v>
      </c>
      <c r="B472" s="123" t="s">
        <v>2279</v>
      </c>
      <c r="C472" s="103" t="s">
        <v>1763</v>
      </c>
      <c r="D472" s="102" t="s">
        <v>2280</v>
      </c>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spans="1:26" ht="15.75" customHeight="1">
      <c r="A473" s="109"/>
      <c r="B473" s="95"/>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5.75" customHeight="1">
      <c r="A474" s="109"/>
      <c r="B474" s="95"/>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5.75" customHeight="1">
      <c r="A475" s="86"/>
      <c r="B475" s="95"/>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5.75" customHeight="1">
      <c r="A476" s="86"/>
      <c r="B476" s="95"/>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5.75" customHeight="1">
      <c r="A477" s="86"/>
      <c r="B477" s="95"/>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5.75" customHeight="1">
      <c r="A478" s="86"/>
      <c r="B478" s="95"/>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5.75" customHeight="1">
      <c r="A479" s="86"/>
      <c r="B479" s="95"/>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5.75" customHeight="1">
      <c r="A480" s="109"/>
      <c r="B480" s="95"/>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5.75" customHeight="1">
      <c r="A481" s="109"/>
      <c r="B481" s="95"/>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5.75" customHeight="1">
      <c r="A482" s="86"/>
      <c r="B482" s="95"/>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5.75" customHeight="1">
      <c r="A483" s="86"/>
      <c r="B483" s="95"/>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5.75" customHeight="1">
      <c r="A484" s="86"/>
      <c r="B484" s="95"/>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5.75" customHeight="1">
      <c r="A485" s="86"/>
      <c r="B485" s="95"/>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5.75" customHeight="1">
      <c r="A486" s="86"/>
      <c r="B486" s="95"/>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5.75" customHeight="1">
      <c r="A487" s="86"/>
      <c r="B487" s="95"/>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5.75" customHeight="1">
      <c r="A488" s="86"/>
      <c r="B488" s="95"/>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5.75" customHeight="1">
      <c r="A489" s="86"/>
      <c r="B489" s="95"/>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5.75" customHeight="1">
      <c r="A490" s="86"/>
      <c r="B490" s="95"/>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5.75" customHeight="1">
      <c r="A491" s="86"/>
      <c r="B491" s="95"/>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5.75" customHeight="1">
      <c r="A492" s="86"/>
      <c r="B492" s="95"/>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5.75" customHeight="1">
      <c r="A493" s="86"/>
      <c r="B493" s="95"/>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5.75" customHeight="1">
      <c r="A494" s="86"/>
      <c r="B494" s="95"/>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5.75" customHeight="1">
      <c r="A495" s="86"/>
      <c r="B495" s="95"/>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5.75" customHeight="1">
      <c r="A496" s="86"/>
      <c r="B496" s="95"/>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5.75" customHeight="1">
      <c r="A497" s="86"/>
      <c r="B497" s="95"/>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5.75" customHeight="1">
      <c r="A498" s="86"/>
      <c r="B498" s="95"/>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5.75" customHeight="1">
      <c r="A499" s="86"/>
      <c r="B499" s="95"/>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5.75" customHeight="1">
      <c r="A500" s="86"/>
      <c r="B500" s="95"/>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5.75" customHeight="1">
      <c r="A501" s="86"/>
      <c r="B501" s="95"/>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5.75" customHeight="1">
      <c r="A502" s="86"/>
      <c r="B502" s="95"/>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5.75" customHeight="1">
      <c r="A503" s="86"/>
      <c r="B503" s="95"/>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5.75" customHeight="1">
      <c r="A504" s="86"/>
      <c r="B504" s="95"/>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5.75" customHeight="1">
      <c r="A505" s="86"/>
      <c r="B505" s="95"/>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5.75" customHeight="1">
      <c r="A506" s="86"/>
      <c r="B506" s="95"/>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5.75" customHeight="1">
      <c r="A507" s="86"/>
      <c r="B507" s="95"/>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5.75" customHeight="1">
      <c r="A508" s="86"/>
      <c r="B508" s="95"/>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5.75" customHeight="1">
      <c r="A509" s="86"/>
      <c r="B509" s="95"/>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5.75" customHeight="1">
      <c r="A510" s="86"/>
      <c r="B510" s="95"/>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5.75" customHeight="1">
      <c r="A511" s="86"/>
      <c r="B511" s="95"/>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5.75" customHeight="1">
      <c r="A512" s="86"/>
      <c r="B512" s="95"/>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5.75" customHeight="1">
      <c r="A513" s="86"/>
      <c r="B513" s="95"/>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5.75" customHeight="1">
      <c r="A514" s="109"/>
      <c r="B514" s="95"/>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5.75" customHeight="1">
      <c r="A515" s="86"/>
      <c r="B515" s="95"/>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5.75" customHeight="1">
      <c r="A516" s="86"/>
      <c r="B516" s="95"/>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5.75" customHeight="1">
      <c r="A517" s="86"/>
      <c r="B517" s="95"/>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5.75" customHeight="1">
      <c r="A518" s="86"/>
      <c r="B518" s="95"/>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5.75" customHeight="1">
      <c r="A519" s="86"/>
      <c r="B519" s="95"/>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5.75" customHeight="1">
      <c r="A520" s="86"/>
      <c r="B520" s="95"/>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5.75" customHeight="1">
      <c r="A521" s="86"/>
      <c r="B521" s="95"/>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5.75" customHeight="1">
      <c r="A522" s="86"/>
      <c r="B522" s="95"/>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5.75" customHeight="1">
      <c r="A523" s="86"/>
      <c r="B523" s="95"/>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5.75" customHeight="1">
      <c r="A524" s="109"/>
      <c r="B524" s="95"/>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5.75" customHeight="1">
      <c r="A525" s="86"/>
      <c r="B525" s="95"/>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5.75" customHeight="1">
      <c r="A526" s="86"/>
      <c r="B526" s="95"/>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5.75" customHeight="1">
      <c r="A527" s="86"/>
      <c r="B527" s="95"/>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5.75" customHeight="1">
      <c r="A528" s="86"/>
      <c r="B528" s="95"/>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5.75" customHeight="1">
      <c r="A529" s="86"/>
      <c r="B529" s="95"/>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5.75" customHeight="1">
      <c r="A530" s="86"/>
      <c r="B530" s="95"/>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5.75" customHeight="1">
      <c r="A531" s="86"/>
      <c r="B531" s="95"/>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5.75" customHeight="1">
      <c r="A532" s="86"/>
      <c r="B532" s="95"/>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5.75" customHeight="1">
      <c r="A533" s="86"/>
      <c r="B533" s="95"/>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5.75" customHeight="1">
      <c r="A534" s="86"/>
      <c r="B534" s="95"/>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5.75" customHeight="1">
      <c r="A535" s="86"/>
      <c r="B535" s="95"/>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5.75" customHeight="1">
      <c r="A536" s="86"/>
      <c r="B536" s="95"/>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5.75" customHeight="1">
      <c r="A537" s="86"/>
      <c r="B537" s="95"/>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5.75" customHeight="1">
      <c r="A538" s="86"/>
      <c r="B538" s="95"/>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5.75" customHeight="1">
      <c r="A539" s="86"/>
      <c r="B539" s="95"/>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5.75" customHeight="1">
      <c r="A540" s="86"/>
      <c r="B540" s="95"/>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5.75" customHeight="1">
      <c r="A541" s="86"/>
      <c r="B541" s="95"/>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5.75" customHeight="1">
      <c r="A542" s="86"/>
      <c r="B542" s="95"/>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5.75" customHeight="1">
      <c r="A543" s="86"/>
      <c r="B543" s="95"/>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5.75" customHeight="1">
      <c r="A544" s="86"/>
      <c r="B544" s="95"/>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5.75" customHeight="1">
      <c r="A545" s="86"/>
      <c r="B545" s="95"/>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5.75" customHeight="1">
      <c r="A546" s="86"/>
      <c r="B546" s="95"/>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5.75" customHeight="1">
      <c r="A547" s="86"/>
      <c r="B547" s="95"/>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5.75" customHeight="1">
      <c r="A548" s="86"/>
      <c r="B548" s="95"/>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5.75" customHeight="1">
      <c r="A549" s="86"/>
      <c r="B549" s="95"/>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5.75" customHeight="1">
      <c r="A550" s="86"/>
      <c r="B550" s="95"/>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5.75" customHeight="1">
      <c r="A551" s="86"/>
      <c r="B551" s="95"/>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5.75" customHeight="1">
      <c r="A552" s="86"/>
      <c r="B552" s="95"/>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5.75" customHeight="1">
      <c r="A553" s="86"/>
      <c r="B553" s="95"/>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5.75" customHeight="1">
      <c r="A554" s="86"/>
      <c r="B554" s="95"/>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5.75" customHeight="1">
      <c r="A555" s="86"/>
      <c r="B555" s="95"/>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5.75" customHeight="1">
      <c r="A556" s="86"/>
      <c r="B556" s="95"/>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5.75" customHeight="1">
      <c r="A557" s="86"/>
      <c r="B557" s="95"/>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5.75" customHeight="1">
      <c r="A558" s="86"/>
      <c r="B558" s="95"/>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5.75" customHeight="1">
      <c r="A559" s="86"/>
      <c r="B559" s="95"/>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5.75" customHeight="1">
      <c r="A560" s="86"/>
      <c r="B560" s="95"/>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5.75" customHeight="1">
      <c r="A561" s="86"/>
      <c r="B561" s="95"/>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5.75" customHeight="1">
      <c r="A562" s="86"/>
      <c r="B562" s="95"/>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5.75" customHeight="1">
      <c r="A563" s="86"/>
      <c r="B563" s="95"/>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5.75" customHeight="1">
      <c r="A564" s="86"/>
      <c r="B564" s="95"/>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5.75" customHeight="1">
      <c r="A565" s="86"/>
      <c r="B565" s="95"/>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5.75" customHeight="1">
      <c r="A566" s="86"/>
      <c r="B566" s="95"/>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5.75" customHeight="1">
      <c r="A567" s="86"/>
      <c r="B567" s="95"/>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5.75" customHeight="1">
      <c r="A568" s="86"/>
      <c r="B568" s="95"/>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5.75" customHeight="1">
      <c r="A569" s="86"/>
      <c r="B569" s="95"/>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5.75" customHeight="1">
      <c r="A570" s="86"/>
      <c r="B570" s="95"/>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5.75" customHeight="1">
      <c r="A571" s="86"/>
      <c r="B571" s="95"/>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5.75" customHeight="1">
      <c r="A572" s="86"/>
      <c r="B572" s="95"/>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5.75" customHeight="1">
      <c r="A573" s="86"/>
      <c r="B573" s="95"/>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5.75" customHeight="1">
      <c r="A574" s="86"/>
      <c r="B574" s="95"/>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5.75" customHeight="1">
      <c r="A575" s="86"/>
      <c r="B575" s="95"/>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5.75" customHeight="1">
      <c r="A576" s="86"/>
      <c r="B576" s="95"/>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5.75" customHeight="1">
      <c r="A577" s="86"/>
      <c r="B577" s="95"/>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5.75" customHeight="1">
      <c r="A578" s="86"/>
      <c r="B578" s="95"/>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5.75" customHeight="1">
      <c r="A579" s="86"/>
      <c r="B579" s="95"/>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5.75" customHeight="1">
      <c r="A580" s="86"/>
      <c r="B580" s="95"/>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5.75" customHeight="1">
      <c r="A581" s="86"/>
      <c r="B581" s="95"/>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5.75" customHeight="1">
      <c r="A582" s="86"/>
      <c r="B582" s="95"/>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5.75" customHeight="1">
      <c r="A583" s="86"/>
      <c r="B583" s="95"/>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5.75" customHeight="1">
      <c r="A584" s="86"/>
      <c r="B584" s="95"/>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5.75" customHeight="1">
      <c r="A585" s="86"/>
      <c r="B585" s="95"/>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5.75" customHeight="1">
      <c r="A586" s="86"/>
      <c r="B586" s="95"/>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5.75" customHeight="1">
      <c r="A587" s="86"/>
      <c r="B587" s="95"/>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5.75" customHeight="1">
      <c r="A588" s="86"/>
      <c r="B588" s="95"/>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5.75" customHeight="1">
      <c r="A589" s="86"/>
      <c r="B589" s="95"/>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5.75" customHeight="1">
      <c r="A590" s="86"/>
      <c r="B590" s="95"/>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5.75" customHeight="1">
      <c r="A591" s="86"/>
      <c r="B591" s="95"/>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5.75" customHeight="1">
      <c r="A592" s="86"/>
      <c r="B592" s="95"/>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5.75" customHeight="1">
      <c r="A593" s="86"/>
      <c r="B593" s="95"/>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5.75" customHeight="1">
      <c r="A594" s="86"/>
      <c r="B594" s="95"/>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5.75" customHeight="1">
      <c r="A595" s="86"/>
      <c r="B595" s="95"/>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5.75" customHeight="1">
      <c r="A596" s="86"/>
      <c r="B596" s="95"/>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5.75" customHeight="1">
      <c r="A597" s="86"/>
      <c r="B597" s="95"/>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5.75" customHeight="1">
      <c r="A598" s="86"/>
      <c r="B598" s="95"/>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5.75" customHeight="1">
      <c r="A599" s="86"/>
      <c r="B599" s="95"/>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5.75" customHeight="1">
      <c r="A600" s="86"/>
      <c r="B600" s="95"/>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5.75" customHeight="1">
      <c r="A601" s="86"/>
      <c r="B601" s="95"/>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5.75" customHeight="1">
      <c r="A602" s="86"/>
      <c r="B602" s="95"/>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5.75" customHeight="1">
      <c r="A603" s="86"/>
      <c r="B603" s="95"/>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5.75" customHeight="1">
      <c r="A604" s="86"/>
      <c r="B604" s="95"/>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5.75" customHeight="1">
      <c r="A605" s="86"/>
      <c r="B605" s="95"/>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5.75" customHeight="1">
      <c r="A606" s="86"/>
      <c r="B606" s="95"/>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5.75" customHeight="1">
      <c r="A607" s="86"/>
      <c r="B607" s="95"/>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5.75" customHeight="1">
      <c r="A608" s="86"/>
      <c r="B608" s="95"/>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5.75" customHeight="1">
      <c r="A609" s="86"/>
      <c r="B609" s="95"/>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5.75" customHeight="1">
      <c r="A610" s="86"/>
      <c r="B610" s="95"/>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5.75" customHeight="1">
      <c r="A611" s="86"/>
      <c r="B611" s="95"/>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5.75" customHeight="1">
      <c r="A612" s="86"/>
      <c r="B612" s="95"/>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5.75" customHeight="1">
      <c r="A613" s="86"/>
      <c r="B613" s="95"/>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5.75" customHeight="1">
      <c r="A614" s="86"/>
      <c r="B614" s="95"/>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5.75" customHeight="1">
      <c r="A615" s="86"/>
      <c r="B615" s="95"/>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5.75" customHeight="1">
      <c r="A616" s="86"/>
      <c r="B616" s="95"/>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5.75" customHeight="1">
      <c r="A617" s="86"/>
      <c r="B617" s="95"/>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5.75" customHeight="1">
      <c r="A618" s="86"/>
      <c r="B618" s="95"/>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5.75" customHeight="1">
      <c r="A619" s="86"/>
      <c r="B619" s="95"/>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5.75" customHeight="1">
      <c r="A620" s="86"/>
      <c r="B620" s="95"/>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5.75" customHeight="1">
      <c r="A621" s="86"/>
      <c r="B621" s="95"/>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5.75" customHeight="1">
      <c r="A622" s="86"/>
      <c r="B622" s="95"/>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5.75" customHeight="1">
      <c r="A623" s="86"/>
      <c r="B623" s="95"/>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5.75" customHeight="1">
      <c r="A624" s="86"/>
      <c r="B624" s="95"/>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5.75" customHeight="1">
      <c r="A625" s="86"/>
      <c r="B625" s="95"/>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5.75" customHeight="1">
      <c r="A626" s="86"/>
      <c r="B626" s="95"/>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5.75" customHeight="1">
      <c r="A627" s="86"/>
      <c r="B627" s="95"/>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5.75" customHeight="1">
      <c r="A628" s="86"/>
      <c r="B628" s="95"/>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5.75" customHeight="1">
      <c r="A629" s="86"/>
      <c r="B629" s="95"/>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5.75" customHeight="1">
      <c r="A630" s="86"/>
      <c r="B630" s="95"/>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5.75" customHeight="1">
      <c r="A631" s="86"/>
      <c r="B631" s="95"/>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5.75" customHeight="1">
      <c r="A632" s="86"/>
      <c r="B632" s="95"/>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5.75" customHeight="1">
      <c r="A633" s="86"/>
      <c r="B633" s="95"/>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5.75" customHeight="1">
      <c r="A634" s="86"/>
      <c r="B634" s="95"/>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5.75" customHeight="1">
      <c r="A635" s="86"/>
      <c r="B635" s="95"/>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5.75" customHeight="1">
      <c r="A636" s="86"/>
      <c r="B636" s="95"/>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5.75" customHeight="1">
      <c r="A637" s="86"/>
      <c r="B637" s="95"/>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5.75" customHeight="1">
      <c r="A638" s="86"/>
      <c r="B638" s="95"/>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5.75" customHeight="1">
      <c r="A639" s="86"/>
      <c r="B639" s="95"/>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5.75" customHeight="1">
      <c r="A640" s="86"/>
      <c r="B640" s="95"/>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5.75" customHeight="1">
      <c r="A641" s="86"/>
      <c r="B641" s="95"/>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5.75" customHeight="1">
      <c r="A642" s="86"/>
      <c r="B642" s="95"/>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5.75" customHeight="1">
      <c r="A643" s="86"/>
      <c r="B643" s="95"/>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5.75" customHeight="1">
      <c r="A644" s="86"/>
      <c r="B644" s="95"/>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5.75" customHeight="1">
      <c r="A645" s="86"/>
      <c r="B645" s="95"/>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5.75" customHeight="1">
      <c r="A646" s="86"/>
      <c r="B646" s="95"/>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5.75" customHeight="1">
      <c r="A647" s="86"/>
      <c r="B647" s="95"/>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5.75" customHeight="1">
      <c r="A648" s="86"/>
      <c r="B648" s="95"/>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5.75" customHeight="1">
      <c r="A649" s="86"/>
      <c r="B649" s="95"/>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5.75" customHeight="1">
      <c r="A650" s="86"/>
      <c r="B650" s="95"/>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5.75" customHeight="1">
      <c r="A651" s="86"/>
      <c r="B651" s="95"/>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5.75" customHeight="1">
      <c r="A652" s="86"/>
      <c r="B652" s="95"/>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5.75" customHeight="1">
      <c r="A653" s="86"/>
      <c r="B653" s="95"/>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5.75" customHeight="1">
      <c r="A654" s="86"/>
      <c r="B654" s="95"/>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5.75" customHeight="1">
      <c r="A655" s="86"/>
      <c r="B655" s="95"/>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5.75" customHeight="1">
      <c r="A656" s="86"/>
      <c r="B656" s="95"/>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5.75" customHeight="1">
      <c r="A657" s="86"/>
      <c r="B657" s="95"/>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5.75" customHeight="1">
      <c r="A658" s="86"/>
      <c r="B658" s="95"/>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5.75" customHeight="1">
      <c r="A659" s="86"/>
      <c r="B659" s="95"/>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5.75" customHeight="1">
      <c r="A660" s="86"/>
      <c r="B660" s="95"/>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5.75" customHeight="1">
      <c r="A661" s="86"/>
      <c r="B661" s="95"/>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5.75" customHeight="1">
      <c r="A662" s="86"/>
      <c r="B662" s="95"/>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5.75" customHeight="1">
      <c r="A663" s="86"/>
      <c r="B663" s="95"/>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5.75" customHeight="1">
      <c r="A664" s="86"/>
      <c r="B664" s="95"/>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5.75" customHeight="1">
      <c r="A665" s="86"/>
      <c r="B665" s="95"/>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5.75" customHeight="1">
      <c r="A666" s="86"/>
      <c r="B666" s="95"/>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5.75" customHeight="1">
      <c r="A667" s="86"/>
      <c r="B667" s="95"/>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5.75" customHeight="1">
      <c r="A668" s="86"/>
      <c r="B668" s="95"/>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5.75" customHeight="1">
      <c r="A669" s="86"/>
      <c r="B669" s="95"/>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5.75" customHeight="1">
      <c r="A670" s="86"/>
      <c r="B670" s="95"/>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5.75" customHeight="1">
      <c r="A671" s="86"/>
      <c r="B671" s="95"/>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5.75" customHeight="1">
      <c r="A672" s="86"/>
      <c r="B672" s="95"/>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 r:id="rId1" xr:uid="{00000000-0004-0000-0300-000000000000}"/>
    <hyperlink ref="B3" r:id="rId2" xr:uid="{00000000-0004-0000-0300-000001000000}"/>
    <hyperlink ref="B4" r:id="rId3" xr:uid="{00000000-0004-0000-0300-000002000000}"/>
    <hyperlink ref="B5" r:id="rId4" xr:uid="{00000000-0004-0000-0300-000003000000}"/>
    <hyperlink ref="B6" r:id="rId5" xr:uid="{00000000-0004-0000-0300-000004000000}"/>
    <hyperlink ref="B7" r:id="rId6" xr:uid="{00000000-0004-0000-0300-000005000000}"/>
    <hyperlink ref="B8" r:id="rId7" xr:uid="{00000000-0004-0000-0300-000006000000}"/>
    <hyperlink ref="B10" r:id="rId8" xr:uid="{00000000-0004-0000-0300-000007000000}"/>
    <hyperlink ref="B11" r:id="rId9" xr:uid="{00000000-0004-0000-0300-000008000000}"/>
    <hyperlink ref="B12" r:id="rId10" xr:uid="{00000000-0004-0000-0300-000009000000}"/>
    <hyperlink ref="B13" r:id="rId11" xr:uid="{00000000-0004-0000-0300-00000A000000}"/>
    <hyperlink ref="B14" r:id="rId12" location="metadata_info_tab_contents" xr:uid="{00000000-0004-0000-0300-00000B000000}"/>
    <hyperlink ref="B15" r:id="rId13" xr:uid="{00000000-0004-0000-0300-00000C000000}"/>
    <hyperlink ref="B17" r:id="rId14" xr:uid="{00000000-0004-0000-0300-00000D000000}"/>
    <hyperlink ref="B18" r:id="rId15" xr:uid="{00000000-0004-0000-0300-00000E000000}"/>
    <hyperlink ref="B19" r:id="rId16" xr:uid="{00000000-0004-0000-0300-00000F000000}"/>
    <hyperlink ref="B20" r:id="rId17" location="metadata_info_tab_contents" xr:uid="{00000000-0004-0000-0300-000010000000}"/>
    <hyperlink ref="B21" r:id="rId18" xr:uid="{00000000-0004-0000-0300-000011000000}"/>
    <hyperlink ref="B22" r:id="rId19" xr:uid="{00000000-0004-0000-0300-000012000000}"/>
    <hyperlink ref="B23" r:id="rId20" xr:uid="{00000000-0004-0000-0300-000013000000}"/>
    <hyperlink ref="B24" r:id="rId21" xr:uid="{00000000-0004-0000-0300-000014000000}"/>
    <hyperlink ref="B25" r:id="rId22" xr:uid="{00000000-0004-0000-0300-000015000000}"/>
    <hyperlink ref="B27" r:id="rId23" xr:uid="{00000000-0004-0000-0300-000016000000}"/>
    <hyperlink ref="B28" r:id="rId24" xr:uid="{00000000-0004-0000-0300-000017000000}"/>
    <hyperlink ref="B29" r:id="rId25" xr:uid="{00000000-0004-0000-0300-000018000000}"/>
    <hyperlink ref="B30" r:id="rId26" xr:uid="{00000000-0004-0000-0300-000019000000}"/>
    <hyperlink ref="B31" r:id="rId27" xr:uid="{00000000-0004-0000-0300-00001A000000}"/>
    <hyperlink ref="B32" r:id="rId28" xr:uid="{00000000-0004-0000-0300-00001B000000}"/>
    <hyperlink ref="B33" r:id="rId29" xr:uid="{00000000-0004-0000-0300-00001C000000}"/>
    <hyperlink ref="B34" r:id="rId30" xr:uid="{00000000-0004-0000-0300-00001D000000}"/>
    <hyperlink ref="B35" r:id="rId31" xr:uid="{00000000-0004-0000-0300-00001E000000}"/>
    <hyperlink ref="B36" r:id="rId32" xr:uid="{00000000-0004-0000-0300-00001F000000}"/>
    <hyperlink ref="B37" r:id="rId33" xr:uid="{00000000-0004-0000-0300-000020000000}"/>
    <hyperlink ref="B38" r:id="rId34" xr:uid="{00000000-0004-0000-0300-000021000000}"/>
    <hyperlink ref="B39" r:id="rId35" xr:uid="{00000000-0004-0000-0300-000022000000}"/>
    <hyperlink ref="B40" r:id="rId36" xr:uid="{00000000-0004-0000-0300-000023000000}"/>
    <hyperlink ref="B41" r:id="rId37" xr:uid="{00000000-0004-0000-0300-000024000000}"/>
    <hyperlink ref="B42" r:id="rId38" xr:uid="{00000000-0004-0000-0300-000025000000}"/>
    <hyperlink ref="B43" r:id="rId39" xr:uid="{00000000-0004-0000-0300-000026000000}"/>
    <hyperlink ref="B45" r:id="rId40" xr:uid="{00000000-0004-0000-0300-000027000000}"/>
    <hyperlink ref="B46" r:id="rId41" xr:uid="{00000000-0004-0000-0300-000028000000}"/>
    <hyperlink ref="B47" r:id="rId42" xr:uid="{00000000-0004-0000-0300-000029000000}"/>
    <hyperlink ref="B48" r:id="rId43" xr:uid="{00000000-0004-0000-0300-00002A000000}"/>
    <hyperlink ref="B50" r:id="rId44" xr:uid="{00000000-0004-0000-0300-00002B000000}"/>
    <hyperlink ref="B54" r:id="rId45" xr:uid="{00000000-0004-0000-0300-00002C000000}"/>
    <hyperlink ref="B55" r:id="rId46" xr:uid="{00000000-0004-0000-0300-00002D000000}"/>
    <hyperlink ref="B57" r:id="rId47" xr:uid="{00000000-0004-0000-0300-00002E000000}"/>
    <hyperlink ref="B60" r:id="rId48" xr:uid="{00000000-0004-0000-0300-00002F000000}"/>
    <hyperlink ref="B61" r:id="rId49" xr:uid="{00000000-0004-0000-0300-000030000000}"/>
    <hyperlink ref="B62" r:id="rId50" xr:uid="{00000000-0004-0000-0300-000031000000}"/>
    <hyperlink ref="B63" r:id="rId51" xr:uid="{00000000-0004-0000-0300-000032000000}"/>
    <hyperlink ref="B64" r:id="rId52" xr:uid="{00000000-0004-0000-0300-000033000000}"/>
    <hyperlink ref="B65" r:id="rId53" xr:uid="{00000000-0004-0000-0300-000034000000}"/>
    <hyperlink ref="B66" r:id="rId54" xr:uid="{00000000-0004-0000-0300-000035000000}"/>
    <hyperlink ref="B67" r:id="rId55" xr:uid="{00000000-0004-0000-0300-000036000000}"/>
    <hyperlink ref="B68" r:id="rId56" xr:uid="{00000000-0004-0000-0300-000037000000}"/>
    <hyperlink ref="B69" r:id="rId57" xr:uid="{00000000-0004-0000-0300-000038000000}"/>
    <hyperlink ref="B70" r:id="rId58" xr:uid="{00000000-0004-0000-0300-000039000000}"/>
    <hyperlink ref="B71" r:id="rId59" xr:uid="{00000000-0004-0000-0300-00003A000000}"/>
    <hyperlink ref="B72" r:id="rId60" xr:uid="{00000000-0004-0000-0300-00003B000000}"/>
    <hyperlink ref="B73" r:id="rId61" xr:uid="{00000000-0004-0000-0300-00003C000000}"/>
    <hyperlink ref="B74" r:id="rId62" xr:uid="{00000000-0004-0000-0300-00003D000000}"/>
    <hyperlink ref="B75" r:id="rId63" xr:uid="{00000000-0004-0000-0300-00003E000000}"/>
    <hyperlink ref="B77" r:id="rId64" xr:uid="{00000000-0004-0000-0300-00003F000000}"/>
    <hyperlink ref="B78" r:id="rId65" xr:uid="{00000000-0004-0000-0300-000040000000}"/>
    <hyperlink ref="B79" r:id="rId66" xr:uid="{00000000-0004-0000-0300-000041000000}"/>
    <hyperlink ref="B80" r:id="rId67" xr:uid="{00000000-0004-0000-0300-000042000000}"/>
    <hyperlink ref="B81" r:id="rId68" xr:uid="{00000000-0004-0000-0300-000043000000}"/>
    <hyperlink ref="B82" r:id="rId69" xr:uid="{00000000-0004-0000-0300-000044000000}"/>
    <hyperlink ref="B83" r:id="rId70" xr:uid="{00000000-0004-0000-0300-000045000000}"/>
    <hyperlink ref="B84" r:id="rId71" xr:uid="{00000000-0004-0000-0300-000046000000}"/>
    <hyperlink ref="B85" r:id="rId72" xr:uid="{00000000-0004-0000-0300-000047000000}"/>
    <hyperlink ref="B88" r:id="rId73" xr:uid="{00000000-0004-0000-0300-000048000000}"/>
    <hyperlink ref="B89" r:id="rId74" xr:uid="{00000000-0004-0000-0300-000049000000}"/>
    <hyperlink ref="B90" r:id="rId75" xr:uid="{00000000-0004-0000-0300-00004A000000}"/>
    <hyperlink ref="B91" r:id="rId76" xr:uid="{00000000-0004-0000-0300-00004B000000}"/>
    <hyperlink ref="B92" r:id="rId77" xr:uid="{00000000-0004-0000-0300-00004C000000}"/>
    <hyperlink ref="B93" r:id="rId78" xr:uid="{00000000-0004-0000-0300-00004D000000}"/>
    <hyperlink ref="B94" r:id="rId79" xr:uid="{00000000-0004-0000-0300-00004E000000}"/>
    <hyperlink ref="B95" r:id="rId80" xr:uid="{00000000-0004-0000-0300-00004F000000}"/>
    <hyperlink ref="B96" r:id="rId81" xr:uid="{00000000-0004-0000-0300-000050000000}"/>
    <hyperlink ref="B97" r:id="rId82" xr:uid="{00000000-0004-0000-0300-000051000000}"/>
    <hyperlink ref="B98" r:id="rId83" xr:uid="{00000000-0004-0000-0300-000052000000}"/>
    <hyperlink ref="B99" r:id="rId84" xr:uid="{00000000-0004-0000-0300-000053000000}"/>
    <hyperlink ref="B100" r:id="rId85" xr:uid="{00000000-0004-0000-0300-000054000000}"/>
    <hyperlink ref="B102" r:id="rId86" xr:uid="{00000000-0004-0000-0300-000055000000}"/>
    <hyperlink ref="B103" r:id="rId87" xr:uid="{00000000-0004-0000-0300-000056000000}"/>
    <hyperlink ref="B104" r:id="rId88" xr:uid="{00000000-0004-0000-0300-000057000000}"/>
    <hyperlink ref="B105" r:id="rId89" xr:uid="{00000000-0004-0000-0300-000058000000}"/>
    <hyperlink ref="A106" r:id="rId90" location="v=onepage&amp;q=%20Mercurialis&amp;f=false" xr:uid="{00000000-0004-0000-0300-000059000000}"/>
    <hyperlink ref="B106" r:id="rId91" xr:uid="{00000000-0004-0000-0300-00005A000000}"/>
    <hyperlink ref="B107" r:id="rId92" xr:uid="{00000000-0004-0000-0300-00005B000000}"/>
    <hyperlink ref="B108" r:id="rId93" xr:uid="{00000000-0004-0000-0300-00005C000000}"/>
    <hyperlink ref="B109" r:id="rId94" xr:uid="{00000000-0004-0000-0300-00005D000000}"/>
    <hyperlink ref="B110" r:id="rId95" xr:uid="{00000000-0004-0000-0300-00005E000000}"/>
    <hyperlink ref="B111" r:id="rId96" xr:uid="{00000000-0004-0000-0300-00005F000000}"/>
    <hyperlink ref="B112" r:id="rId97" xr:uid="{00000000-0004-0000-0300-000060000000}"/>
    <hyperlink ref="B113" r:id="rId98" xr:uid="{00000000-0004-0000-0300-000061000000}"/>
    <hyperlink ref="B114" r:id="rId99" xr:uid="{00000000-0004-0000-0300-000062000000}"/>
    <hyperlink ref="B115" r:id="rId100" xr:uid="{00000000-0004-0000-0300-000063000000}"/>
    <hyperlink ref="B116" r:id="rId101" xr:uid="{00000000-0004-0000-0300-000064000000}"/>
    <hyperlink ref="B117" r:id="rId102" xr:uid="{00000000-0004-0000-0300-000065000000}"/>
    <hyperlink ref="B118" r:id="rId103" xr:uid="{00000000-0004-0000-0300-000066000000}"/>
    <hyperlink ref="B119" r:id="rId104" xr:uid="{00000000-0004-0000-0300-000067000000}"/>
    <hyperlink ref="B120" r:id="rId105" xr:uid="{00000000-0004-0000-0300-000068000000}"/>
    <hyperlink ref="B121" r:id="rId106" xr:uid="{00000000-0004-0000-0300-000069000000}"/>
    <hyperlink ref="B122" r:id="rId107" xr:uid="{00000000-0004-0000-0300-00006A000000}"/>
    <hyperlink ref="B123" r:id="rId108" xr:uid="{00000000-0004-0000-0300-00006B000000}"/>
    <hyperlink ref="B124" r:id="rId109" xr:uid="{00000000-0004-0000-0300-00006C000000}"/>
    <hyperlink ref="B125" r:id="rId110" xr:uid="{00000000-0004-0000-0300-00006D000000}"/>
    <hyperlink ref="B126" r:id="rId111" xr:uid="{00000000-0004-0000-0300-00006E000000}"/>
    <hyperlink ref="B127" r:id="rId112" xr:uid="{00000000-0004-0000-0300-00006F000000}"/>
    <hyperlink ref="B128" r:id="rId113" xr:uid="{00000000-0004-0000-0300-000070000000}"/>
    <hyperlink ref="B129" r:id="rId114" xr:uid="{00000000-0004-0000-0300-000071000000}"/>
    <hyperlink ref="B130" r:id="rId115" xr:uid="{00000000-0004-0000-0300-000072000000}"/>
    <hyperlink ref="B131" r:id="rId116" xr:uid="{00000000-0004-0000-0300-000073000000}"/>
    <hyperlink ref="B132" r:id="rId117" xr:uid="{00000000-0004-0000-0300-000074000000}"/>
    <hyperlink ref="B133" r:id="rId118" xr:uid="{00000000-0004-0000-0300-000075000000}"/>
    <hyperlink ref="B134" r:id="rId119" xr:uid="{00000000-0004-0000-0300-000076000000}"/>
    <hyperlink ref="B135" r:id="rId120" xr:uid="{00000000-0004-0000-0300-000077000000}"/>
    <hyperlink ref="B136" r:id="rId121" xr:uid="{00000000-0004-0000-0300-000078000000}"/>
    <hyperlink ref="B137" r:id="rId122" xr:uid="{00000000-0004-0000-0300-000079000000}"/>
    <hyperlink ref="B138" r:id="rId123" xr:uid="{00000000-0004-0000-0300-00007A000000}"/>
    <hyperlink ref="B139" r:id="rId124" xr:uid="{00000000-0004-0000-0300-00007B000000}"/>
    <hyperlink ref="B140" r:id="rId125" xr:uid="{00000000-0004-0000-0300-00007C000000}"/>
    <hyperlink ref="B141" r:id="rId126" xr:uid="{00000000-0004-0000-0300-00007D000000}"/>
    <hyperlink ref="B142" r:id="rId127" xr:uid="{00000000-0004-0000-0300-00007E000000}"/>
    <hyperlink ref="B143" r:id="rId128" xr:uid="{00000000-0004-0000-0300-00007F000000}"/>
    <hyperlink ref="B144" r:id="rId129" xr:uid="{00000000-0004-0000-0300-000080000000}"/>
    <hyperlink ref="B145" r:id="rId130" xr:uid="{00000000-0004-0000-0300-000081000000}"/>
    <hyperlink ref="B146" r:id="rId131" xr:uid="{00000000-0004-0000-0300-000082000000}"/>
    <hyperlink ref="B147" r:id="rId132" xr:uid="{00000000-0004-0000-0300-000083000000}"/>
    <hyperlink ref="B148" r:id="rId133" xr:uid="{00000000-0004-0000-0300-000084000000}"/>
    <hyperlink ref="B149" r:id="rId134" xr:uid="{00000000-0004-0000-0300-000085000000}"/>
    <hyperlink ref="B150" r:id="rId135" xr:uid="{00000000-0004-0000-0300-000086000000}"/>
    <hyperlink ref="B151" r:id="rId136" xr:uid="{00000000-0004-0000-0300-000087000000}"/>
    <hyperlink ref="B152" r:id="rId137" xr:uid="{00000000-0004-0000-0300-000088000000}"/>
    <hyperlink ref="B153" r:id="rId138" xr:uid="{00000000-0004-0000-0300-000089000000}"/>
    <hyperlink ref="B154" r:id="rId139" xr:uid="{00000000-0004-0000-0300-00008A000000}"/>
    <hyperlink ref="B155" r:id="rId140" xr:uid="{00000000-0004-0000-0300-00008B000000}"/>
    <hyperlink ref="B156" r:id="rId141" xr:uid="{00000000-0004-0000-0300-00008C000000}"/>
    <hyperlink ref="B157" r:id="rId142" xr:uid="{00000000-0004-0000-0300-00008D000000}"/>
    <hyperlink ref="B158" r:id="rId143" xr:uid="{00000000-0004-0000-0300-00008E000000}"/>
    <hyperlink ref="B159" r:id="rId144" xr:uid="{00000000-0004-0000-0300-00008F000000}"/>
    <hyperlink ref="B160" r:id="rId145" xr:uid="{00000000-0004-0000-0300-000090000000}"/>
    <hyperlink ref="B161" r:id="rId146" xr:uid="{00000000-0004-0000-0300-000091000000}"/>
    <hyperlink ref="B162" r:id="rId147" xr:uid="{00000000-0004-0000-0300-000092000000}"/>
    <hyperlink ref="B163" r:id="rId148" xr:uid="{00000000-0004-0000-0300-000093000000}"/>
    <hyperlink ref="B164" r:id="rId149" xr:uid="{00000000-0004-0000-0300-000094000000}"/>
    <hyperlink ref="B165" r:id="rId150" xr:uid="{00000000-0004-0000-0300-000095000000}"/>
    <hyperlink ref="B166" r:id="rId151" xr:uid="{00000000-0004-0000-0300-000096000000}"/>
    <hyperlink ref="B167" r:id="rId152" xr:uid="{00000000-0004-0000-0300-000097000000}"/>
    <hyperlink ref="B168" r:id="rId153" xr:uid="{00000000-0004-0000-0300-000098000000}"/>
    <hyperlink ref="B169" r:id="rId154" xr:uid="{00000000-0004-0000-0300-000099000000}"/>
    <hyperlink ref="B170" r:id="rId155" xr:uid="{00000000-0004-0000-0300-00009A000000}"/>
    <hyperlink ref="B171" r:id="rId156" xr:uid="{00000000-0004-0000-0300-00009B000000}"/>
    <hyperlink ref="B172" r:id="rId157" xr:uid="{00000000-0004-0000-0300-00009C000000}"/>
    <hyperlink ref="B173" r:id="rId158" xr:uid="{00000000-0004-0000-0300-00009D000000}"/>
    <hyperlink ref="B174" r:id="rId159" xr:uid="{00000000-0004-0000-0300-00009E000000}"/>
    <hyperlink ref="B175" r:id="rId160" xr:uid="{00000000-0004-0000-0300-00009F000000}"/>
    <hyperlink ref="B176" r:id="rId161" xr:uid="{00000000-0004-0000-0300-0000A0000000}"/>
    <hyperlink ref="B177" r:id="rId162" xr:uid="{00000000-0004-0000-0300-0000A1000000}"/>
    <hyperlink ref="B178" r:id="rId163" xr:uid="{00000000-0004-0000-0300-0000A2000000}"/>
    <hyperlink ref="B179" r:id="rId164" xr:uid="{00000000-0004-0000-0300-0000A3000000}"/>
    <hyperlink ref="B180" r:id="rId165" xr:uid="{00000000-0004-0000-0300-0000A4000000}"/>
    <hyperlink ref="B181" r:id="rId166" xr:uid="{00000000-0004-0000-0300-0000A5000000}"/>
    <hyperlink ref="B182" r:id="rId167" xr:uid="{00000000-0004-0000-0300-0000A6000000}"/>
    <hyperlink ref="B183" r:id="rId168" xr:uid="{00000000-0004-0000-0300-0000A7000000}"/>
    <hyperlink ref="B184" r:id="rId169" xr:uid="{00000000-0004-0000-0300-0000A8000000}"/>
    <hyperlink ref="B185" r:id="rId170" xr:uid="{00000000-0004-0000-0300-0000A9000000}"/>
    <hyperlink ref="B186" r:id="rId171" xr:uid="{00000000-0004-0000-0300-0000AA000000}"/>
    <hyperlink ref="B187" r:id="rId172" xr:uid="{00000000-0004-0000-0300-0000AB000000}"/>
    <hyperlink ref="B188" r:id="rId173" xr:uid="{00000000-0004-0000-0300-0000AC000000}"/>
    <hyperlink ref="B189" r:id="rId174" xr:uid="{00000000-0004-0000-0300-0000AD000000}"/>
    <hyperlink ref="B190" r:id="rId175" xr:uid="{00000000-0004-0000-0300-0000AE000000}"/>
    <hyperlink ref="B191" r:id="rId176" xr:uid="{00000000-0004-0000-0300-0000AF000000}"/>
    <hyperlink ref="B192" r:id="rId177" xr:uid="{00000000-0004-0000-0300-0000B0000000}"/>
    <hyperlink ref="B193" r:id="rId178" xr:uid="{00000000-0004-0000-0300-0000B1000000}"/>
    <hyperlink ref="B194" r:id="rId179" xr:uid="{00000000-0004-0000-0300-0000B2000000}"/>
    <hyperlink ref="A195" r:id="rId180" xr:uid="{00000000-0004-0000-0300-0000B3000000}"/>
    <hyperlink ref="B195" r:id="rId181" xr:uid="{00000000-0004-0000-0300-0000B4000000}"/>
    <hyperlink ref="B196" r:id="rId182" xr:uid="{00000000-0004-0000-0300-0000B5000000}"/>
    <hyperlink ref="B197" r:id="rId183" xr:uid="{00000000-0004-0000-0300-0000B6000000}"/>
    <hyperlink ref="B198" r:id="rId184" xr:uid="{00000000-0004-0000-0300-0000B7000000}"/>
    <hyperlink ref="B199" r:id="rId185" xr:uid="{00000000-0004-0000-0300-0000B8000000}"/>
    <hyperlink ref="B200" r:id="rId186" xr:uid="{00000000-0004-0000-0300-0000B9000000}"/>
    <hyperlink ref="B201" r:id="rId187" xr:uid="{00000000-0004-0000-0300-0000BA000000}"/>
    <hyperlink ref="B202" r:id="rId188" xr:uid="{00000000-0004-0000-0300-0000BB000000}"/>
    <hyperlink ref="B203" r:id="rId189" xr:uid="{00000000-0004-0000-0300-0000BC000000}"/>
    <hyperlink ref="B204" r:id="rId190" xr:uid="{00000000-0004-0000-0300-0000BD000000}"/>
    <hyperlink ref="B205" r:id="rId191" xr:uid="{00000000-0004-0000-0300-0000BE000000}"/>
    <hyperlink ref="B206" r:id="rId192" xr:uid="{00000000-0004-0000-0300-0000BF000000}"/>
    <hyperlink ref="B207" r:id="rId193" xr:uid="{00000000-0004-0000-0300-0000C0000000}"/>
    <hyperlink ref="B208" r:id="rId194" xr:uid="{00000000-0004-0000-0300-0000C1000000}"/>
    <hyperlink ref="B209" r:id="rId195" xr:uid="{00000000-0004-0000-0300-0000C2000000}"/>
    <hyperlink ref="B210" r:id="rId196" xr:uid="{00000000-0004-0000-0300-0000C3000000}"/>
    <hyperlink ref="B211" r:id="rId197" xr:uid="{00000000-0004-0000-0300-0000C4000000}"/>
    <hyperlink ref="B212" r:id="rId198" xr:uid="{00000000-0004-0000-0300-0000C5000000}"/>
    <hyperlink ref="B213" r:id="rId199" xr:uid="{00000000-0004-0000-0300-0000C6000000}"/>
    <hyperlink ref="B214" r:id="rId200" xr:uid="{00000000-0004-0000-0300-0000C7000000}"/>
    <hyperlink ref="B215" r:id="rId201" xr:uid="{00000000-0004-0000-0300-0000C8000000}"/>
    <hyperlink ref="B216" r:id="rId202" xr:uid="{00000000-0004-0000-0300-0000C9000000}"/>
    <hyperlink ref="B217" r:id="rId203" xr:uid="{00000000-0004-0000-0300-0000CA000000}"/>
    <hyperlink ref="B218" r:id="rId204" xr:uid="{00000000-0004-0000-0300-0000CB000000}"/>
    <hyperlink ref="B219" r:id="rId205" xr:uid="{00000000-0004-0000-0300-0000CC000000}"/>
    <hyperlink ref="B220" r:id="rId206" xr:uid="{00000000-0004-0000-0300-0000CD000000}"/>
    <hyperlink ref="B221" r:id="rId207" xr:uid="{00000000-0004-0000-0300-0000CE000000}"/>
    <hyperlink ref="B222" r:id="rId208" xr:uid="{00000000-0004-0000-0300-0000CF000000}"/>
    <hyperlink ref="B223" r:id="rId209" xr:uid="{00000000-0004-0000-0300-0000D0000000}"/>
    <hyperlink ref="B224" r:id="rId210" xr:uid="{00000000-0004-0000-0300-0000D1000000}"/>
    <hyperlink ref="B225" r:id="rId211" xr:uid="{00000000-0004-0000-0300-0000D2000000}"/>
    <hyperlink ref="B226" r:id="rId212" xr:uid="{00000000-0004-0000-0300-0000D3000000}"/>
    <hyperlink ref="B227" r:id="rId213" xr:uid="{00000000-0004-0000-0300-0000D4000000}"/>
    <hyperlink ref="B228" r:id="rId214" xr:uid="{00000000-0004-0000-0300-0000D5000000}"/>
    <hyperlink ref="B229" r:id="rId215" xr:uid="{00000000-0004-0000-0300-0000D6000000}"/>
    <hyperlink ref="B230" r:id="rId216" xr:uid="{00000000-0004-0000-0300-0000D7000000}"/>
    <hyperlink ref="B231" r:id="rId217" xr:uid="{00000000-0004-0000-0300-0000D8000000}"/>
    <hyperlink ref="B232" r:id="rId218" xr:uid="{00000000-0004-0000-0300-0000D9000000}"/>
    <hyperlink ref="B233" r:id="rId219" xr:uid="{00000000-0004-0000-0300-0000DA000000}"/>
    <hyperlink ref="B234" r:id="rId220" xr:uid="{00000000-0004-0000-0300-0000DB000000}"/>
    <hyperlink ref="B235" r:id="rId221" xr:uid="{00000000-0004-0000-0300-0000DC000000}"/>
    <hyperlink ref="B236" r:id="rId222" xr:uid="{00000000-0004-0000-0300-0000DD000000}"/>
    <hyperlink ref="B237" r:id="rId223" xr:uid="{00000000-0004-0000-0300-0000DE000000}"/>
    <hyperlink ref="B238" r:id="rId224" xr:uid="{00000000-0004-0000-0300-0000DF000000}"/>
    <hyperlink ref="B239" r:id="rId225" xr:uid="{00000000-0004-0000-0300-0000E0000000}"/>
    <hyperlink ref="B240" r:id="rId226" xr:uid="{00000000-0004-0000-0300-0000E1000000}"/>
    <hyperlink ref="B241" r:id="rId227" xr:uid="{00000000-0004-0000-0300-0000E2000000}"/>
    <hyperlink ref="B242" r:id="rId228" xr:uid="{00000000-0004-0000-0300-0000E3000000}"/>
    <hyperlink ref="B243" r:id="rId229" xr:uid="{00000000-0004-0000-0300-0000E4000000}"/>
    <hyperlink ref="B244" r:id="rId230" xr:uid="{00000000-0004-0000-0300-0000E5000000}"/>
    <hyperlink ref="B245" r:id="rId231" xr:uid="{00000000-0004-0000-0300-0000E6000000}"/>
    <hyperlink ref="B246" r:id="rId232" xr:uid="{00000000-0004-0000-0300-0000E7000000}"/>
    <hyperlink ref="B247" r:id="rId233" xr:uid="{00000000-0004-0000-0300-0000E8000000}"/>
    <hyperlink ref="B248" r:id="rId234" xr:uid="{00000000-0004-0000-0300-0000E9000000}"/>
    <hyperlink ref="B249" r:id="rId235" xr:uid="{00000000-0004-0000-0300-0000EA000000}"/>
    <hyperlink ref="B250" r:id="rId236" xr:uid="{00000000-0004-0000-0300-0000EB000000}"/>
    <hyperlink ref="B251" r:id="rId237" xr:uid="{00000000-0004-0000-0300-0000EC000000}"/>
    <hyperlink ref="B252" r:id="rId238" xr:uid="{00000000-0004-0000-0300-0000ED000000}"/>
    <hyperlink ref="B253" r:id="rId239" xr:uid="{00000000-0004-0000-0300-0000EE000000}"/>
    <hyperlink ref="B254" r:id="rId240" xr:uid="{00000000-0004-0000-0300-0000EF000000}"/>
    <hyperlink ref="B255" r:id="rId241" xr:uid="{00000000-0004-0000-0300-0000F0000000}"/>
    <hyperlink ref="B256" r:id="rId242" xr:uid="{00000000-0004-0000-0300-0000F1000000}"/>
    <hyperlink ref="B257" r:id="rId243" xr:uid="{00000000-0004-0000-0300-0000F2000000}"/>
    <hyperlink ref="B258" r:id="rId244" xr:uid="{00000000-0004-0000-0300-0000F3000000}"/>
    <hyperlink ref="B259" r:id="rId245" xr:uid="{00000000-0004-0000-0300-0000F4000000}"/>
    <hyperlink ref="B260" r:id="rId246" xr:uid="{00000000-0004-0000-0300-0000F5000000}"/>
    <hyperlink ref="B261" r:id="rId247" xr:uid="{00000000-0004-0000-0300-0000F6000000}"/>
    <hyperlink ref="B262" r:id="rId248" xr:uid="{00000000-0004-0000-0300-0000F7000000}"/>
    <hyperlink ref="B263" r:id="rId249" xr:uid="{00000000-0004-0000-0300-0000F8000000}"/>
    <hyperlink ref="B264" r:id="rId250" xr:uid="{00000000-0004-0000-0300-0000F9000000}"/>
    <hyperlink ref="B265" r:id="rId251" xr:uid="{00000000-0004-0000-0300-0000FA000000}"/>
    <hyperlink ref="B266" r:id="rId252" xr:uid="{00000000-0004-0000-0300-0000FB000000}"/>
    <hyperlink ref="B267" r:id="rId253" xr:uid="{00000000-0004-0000-0300-0000FC000000}"/>
    <hyperlink ref="B268" r:id="rId254" xr:uid="{00000000-0004-0000-0300-0000FD000000}"/>
    <hyperlink ref="B269" r:id="rId255" xr:uid="{00000000-0004-0000-0300-0000FE000000}"/>
    <hyperlink ref="B270" r:id="rId256" xr:uid="{00000000-0004-0000-0300-0000FF000000}"/>
    <hyperlink ref="B271" r:id="rId257" xr:uid="{00000000-0004-0000-0300-000000010000}"/>
    <hyperlink ref="B272" r:id="rId258" xr:uid="{00000000-0004-0000-0300-000001010000}"/>
    <hyperlink ref="B273" r:id="rId259" xr:uid="{00000000-0004-0000-0300-000002010000}"/>
    <hyperlink ref="B274" r:id="rId260" xr:uid="{00000000-0004-0000-0300-000003010000}"/>
    <hyperlink ref="B275" r:id="rId261" xr:uid="{00000000-0004-0000-0300-000004010000}"/>
    <hyperlink ref="B276" r:id="rId262" xr:uid="{00000000-0004-0000-0300-000005010000}"/>
    <hyperlink ref="B277" r:id="rId263" xr:uid="{00000000-0004-0000-0300-000006010000}"/>
    <hyperlink ref="B278" r:id="rId264" xr:uid="{00000000-0004-0000-0300-000007010000}"/>
    <hyperlink ref="B279" r:id="rId265" xr:uid="{00000000-0004-0000-0300-000008010000}"/>
    <hyperlink ref="B280" r:id="rId266" xr:uid="{00000000-0004-0000-0300-000009010000}"/>
    <hyperlink ref="B281" r:id="rId267" xr:uid="{00000000-0004-0000-0300-00000A010000}"/>
    <hyperlink ref="B282" r:id="rId268" xr:uid="{00000000-0004-0000-0300-00000B010000}"/>
    <hyperlink ref="B283" r:id="rId269" xr:uid="{00000000-0004-0000-0300-00000C010000}"/>
    <hyperlink ref="B284" r:id="rId270" xr:uid="{00000000-0004-0000-0300-00000D010000}"/>
    <hyperlink ref="B285" r:id="rId271" xr:uid="{00000000-0004-0000-0300-00000E010000}"/>
    <hyperlink ref="B286" r:id="rId272" xr:uid="{00000000-0004-0000-0300-00000F010000}"/>
    <hyperlink ref="B287" r:id="rId273" xr:uid="{00000000-0004-0000-0300-000010010000}"/>
    <hyperlink ref="B288" r:id="rId274" xr:uid="{00000000-0004-0000-0300-000011010000}"/>
    <hyperlink ref="B289" r:id="rId275" xr:uid="{00000000-0004-0000-0300-000012010000}"/>
    <hyperlink ref="B290" r:id="rId276" xr:uid="{00000000-0004-0000-0300-000013010000}"/>
    <hyperlink ref="B291" r:id="rId277" xr:uid="{00000000-0004-0000-0300-000014010000}"/>
    <hyperlink ref="B292" r:id="rId278" xr:uid="{00000000-0004-0000-0300-000015010000}"/>
    <hyperlink ref="B293" r:id="rId279" xr:uid="{00000000-0004-0000-0300-000016010000}"/>
    <hyperlink ref="B294" r:id="rId280" xr:uid="{00000000-0004-0000-0300-000017010000}"/>
    <hyperlink ref="B295" r:id="rId281" xr:uid="{00000000-0004-0000-0300-000018010000}"/>
    <hyperlink ref="B296" r:id="rId282" xr:uid="{00000000-0004-0000-0300-000019010000}"/>
    <hyperlink ref="B297" r:id="rId283" xr:uid="{00000000-0004-0000-0300-00001A010000}"/>
    <hyperlink ref="B298" r:id="rId284" xr:uid="{00000000-0004-0000-0300-00001B010000}"/>
    <hyperlink ref="B299" r:id="rId285" xr:uid="{00000000-0004-0000-0300-00001C010000}"/>
    <hyperlink ref="B300" r:id="rId286" xr:uid="{00000000-0004-0000-0300-00001D010000}"/>
    <hyperlink ref="B301" r:id="rId287" xr:uid="{00000000-0004-0000-0300-00001E010000}"/>
    <hyperlink ref="B302" r:id="rId288" xr:uid="{00000000-0004-0000-0300-00001F010000}"/>
    <hyperlink ref="B303" r:id="rId289" xr:uid="{00000000-0004-0000-0300-000020010000}"/>
    <hyperlink ref="B304" r:id="rId290" xr:uid="{00000000-0004-0000-0300-000021010000}"/>
    <hyperlink ref="B305" r:id="rId291" xr:uid="{00000000-0004-0000-0300-000022010000}"/>
    <hyperlink ref="B306" r:id="rId292" xr:uid="{00000000-0004-0000-0300-000023010000}"/>
    <hyperlink ref="B307" r:id="rId293" xr:uid="{00000000-0004-0000-0300-000024010000}"/>
    <hyperlink ref="B308" r:id="rId294" xr:uid="{00000000-0004-0000-0300-000025010000}"/>
    <hyperlink ref="B309" r:id="rId295" xr:uid="{00000000-0004-0000-0300-000026010000}"/>
    <hyperlink ref="B310" r:id="rId296" xr:uid="{00000000-0004-0000-0300-000027010000}"/>
    <hyperlink ref="B311" r:id="rId297" xr:uid="{00000000-0004-0000-0300-000028010000}"/>
    <hyperlink ref="B312" r:id="rId298" xr:uid="{00000000-0004-0000-0300-000029010000}"/>
    <hyperlink ref="B313" r:id="rId299" xr:uid="{00000000-0004-0000-0300-00002A010000}"/>
    <hyperlink ref="B314" r:id="rId300" xr:uid="{00000000-0004-0000-0300-00002B010000}"/>
    <hyperlink ref="B315" r:id="rId301" xr:uid="{00000000-0004-0000-0300-00002C010000}"/>
    <hyperlink ref="B316" r:id="rId302" xr:uid="{00000000-0004-0000-0300-00002D010000}"/>
    <hyperlink ref="B317" r:id="rId303" xr:uid="{00000000-0004-0000-0300-00002E010000}"/>
    <hyperlink ref="B318" r:id="rId304" xr:uid="{00000000-0004-0000-0300-00002F010000}"/>
    <hyperlink ref="B319" r:id="rId305" xr:uid="{00000000-0004-0000-0300-000030010000}"/>
    <hyperlink ref="B320" r:id="rId306" xr:uid="{00000000-0004-0000-0300-000031010000}"/>
    <hyperlink ref="B321" r:id="rId307" xr:uid="{00000000-0004-0000-0300-000032010000}"/>
    <hyperlink ref="B322" r:id="rId308" xr:uid="{00000000-0004-0000-0300-000033010000}"/>
    <hyperlink ref="B323" r:id="rId309" xr:uid="{00000000-0004-0000-0300-000034010000}"/>
    <hyperlink ref="B324" r:id="rId310" xr:uid="{00000000-0004-0000-0300-000035010000}"/>
    <hyperlink ref="B325" r:id="rId311" xr:uid="{00000000-0004-0000-0300-000036010000}"/>
    <hyperlink ref="B326" r:id="rId312" xr:uid="{00000000-0004-0000-0300-000037010000}"/>
    <hyperlink ref="B327" r:id="rId313" xr:uid="{00000000-0004-0000-0300-000038010000}"/>
    <hyperlink ref="B328" r:id="rId314" xr:uid="{00000000-0004-0000-0300-000039010000}"/>
    <hyperlink ref="B329" r:id="rId315" xr:uid="{00000000-0004-0000-0300-00003A010000}"/>
    <hyperlink ref="B330" r:id="rId316" xr:uid="{00000000-0004-0000-0300-00003B010000}"/>
    <hyperlink ref="B331" r:id="rId317" xr:uid="{00000000-0004-0000-0300-00003C010000}"/>
    <hyperlink ref="B332" r:id="rId318" xr:uid="{00000000-0004-0000-0300-00003D010000}"/>
    <hyperlink ref="B333" r:id="rId319" xr:uid="{00000000-0004-0000-0300-00003E010000}"/>
    <hyperlink ref="B334" r:id="rId320" xr:uid="{00000000-0004-0000-0300-00003F010000}"/>
    <hyperlink ref="B335" r:id="rId321" xr:uid="{00000000-0004-0000-0300-000040010000}"/>
    <hyperlink ref="B336" r:id="rId322" xr:uid="{00000000-0004-0000-0300-000041010000}"/>
    <hyperlink ref="B337" r:id="rId323" xr:uid="{00000000-0004-0000-0300-000042010000}"/>
    <hyperlink ref="B338" r:id="rId324" xr:uid="{00000000-0004-0000-0300-000043010000}"/>
    <hyperlink ref="B339" r:id="rId325" xr:uid="{00000000-0004-0000-0300-000044010000}"/>
    <hyperlink ref="B340" r:id="rId326" xr:uid="{00000000-0004-0000-0300-000045010000}"/>
    <hyperlink ref="B341" r:id="rId327" xr:uid="{00000000-0004-0000-0300-000046010000}"/>
    <hyperlink ref="B342" r:id="rId328" xr:uid="{00000000-0004-0000-0300-000047010000}"/>
    <hyperlink ref="B343" r:id="rId329" xr:uid="{00000000-0004-0000-0300-000048010000}"/>
    <hyperlink ref="B344" r:id="rId330" xr:uid="{00000000-0004-0000-0300-000049010000}"/>
    <hyperlink ref="B345" r:id="rId331" xr:uid="{00000000-0004-0000-0300-00004A010000}"/>
    <hyperlink ref="B346" r:id="rId332" xr:uid="{00000000-0004-0000-0300-00004B010000}"/>
    <hyperlink ref="B347" r:id="rId333" xr:uid="{00000000-0004-0000-0300-00004C010000}"/>
    <hyperlink ref="B348" r:id="rId334" xr:uid="{00000000-0004-0000-0300-00004D010000}"/>
    <hyperlink ref="B349" r:id="rId335" xr:uid="{00000000-0004-0000-0300-00004E010000}"/>
    <hyperlink ref="B350" r:id="rId336" xr:uid="{00000000-0004-0000-0300-00004F010000}"/>
    <hyperlink ref="B351" r:id="rId337" xr:uid="{00000000-0004-0000-0300-000050010000}"/>
    <hyperlink ref="B352" r:id="rId338" xr:uid="{00000000-0004-0000-0300-000051010000}"/>
    <hyperlink ref="B353" r:id="rId339" xr:uid="{00000000-0004-0000-0300-000052010000}"/>
    <hyperlink ref="B354" r:id="rId340" xr:uid="{00000000-0004-0000-0300-000053010000}"/>
    <hyperlink ref="B355" r:id="rId341" xr:uid="{00000000-0004-0000-0300-000054010000}"/>
    <hyperlink ref="B356" r:id="rId342" xr:uid="{00000000-0004-0000-0300-000055010000}"/>
    <hyperlink ref="B357" r:id="rId343" xr:uid="{00000000-0004-0000-0300-000056010000}"/>
    <hyperlink ref="B358" r:id="rId344" xr:uid="{00000000-0004-0000-0300-000057010000}"/>
    <hyperlink ref="B359" r:id="rId345" xr:uid="{00000000-0004-0000-0300-000058010000}"/>
    <hyperlink ref="B360" r:id="rId346" xr:uid="{00000000-0004-0000-0300-000059010000}"/>
    <hyperlink ref="B361" r:id="rId347" xr:uid="{00000000-0004-0000-0300-00005A010000}"/>
    <hyperlink ref="B362" r:id="rId348" xr:uid="{00000000-0004-0000-0300-00005B010000}"/>
    <hyperlink ref="B363" r:id="rId349" xr:uid="{00000000-0004-0000-0300-00005C010000}"/>
    <hyperlink ref="B364" r:id="rId350" xr:uid="{00000000-0004-0000-0300-00005D010000}"/>
    <hyperlink ref="B365" r:id="rId351" xr:uid="{00000000-0004-0000-0300-00005E010000}"/>
    <hyperlink ref="B366" r:id="rId352" xr:uid="{00000000-0004-0000-0300-00005F010000}"/>
    <hyperlink ref="B367" r:id="rId353" xr:uid="{00000000-0004-0000-0300-000060010000}"/>
    <hyperlink ref="B368" r:id="rId354" xr:uid="{00000000-0004-0000-0300-000061010000}"/>
    <hyperlink ref="B369" r:id="rId355" xr:uid="{00000000-0004-0000-0300-000062010000}"/>
    <hyperlink ref="B370" r:id="rId356" xr:uid="{00000000-0004-0000-0300-000063010000}"/>
    <hyperlink ref="B371" r:id="rId357" xr:uid="{00000000-0004-0000-0300-000064010000}"/>
    <hyperlink ref="B372" r:id="rId358" xr:uid="{00000000-0004-0000-0300-000065010000}"/>
    <hyperlink ref="B373" r:id="rId359" xr:uid="{00000000-0004-0000-0300-000066010000}"/>
    <hyperlink ref="B374" r:id="rId360" xr:uid="{00000000-0004-0000-0300-000067010000}"/>
    <hyperlink ref="B375" r:id="rId361" xr:uid="{00000000-0004-0000-0300-000068010000}"/>
    <hyperlink ref="B376" r:id="rId362" xr:uid="{00000000-0004-0000-0300-000069010000}"/>
    <hyperlink ref="B377" r:id="rId363" xr:uid="{00000000-0004-0000-0300-00006A010000}"/>
    <hyperlink ref="B378" r:id="rId364" xr:uid="{00000000-0004-0000-0300-00006B010000}"/>
    <hyperlink ref="B379" r:id="rId365" xr:uid="{00000000-0004-0000-0300-00006C010000}"/>
    <hyperlink ref="B380" r:id="rId366" xr:uid="{00000000-0004-0000-0300-00006D010000}"/>
    <hyperlink ref="B381" r:id="rId367" xr:uid="{00000000-0004-0000-0300-00006E010000}"/>
    <hyperlink ref="B382" r:id="rId368" xr:uid="{00000000-0004-0000-0300-00006F010000}"/>
    <hyperlink ref="B383" r:id="rId369" xr:uid="{00000000-0004-0000-0300-000070010000}"/>
    <hyperlink ref="B384" r:id="rId370" xr:uid="{00000000-0004-0000-0300-000071010000}"/>
    <hyperlink ref="B385" r:id="rId371" xr:uid="{00000000-0004-0000-0300-000072010000}"/>
    <hyperlink ref="B386" r:id="rId372" xr:uid="{00000000-0004-0000-0300-000073010000}"/>
    <hyperlink ref="B387" r:id="rId373" xr:uid="{00000000-0004-0000-0300-000074010000}"/>
    <hyperlink ref="B388" r:id="rId374" xr:uid="{00000000-0004-0000-0300-000075010000}"/>
    <hyperlink ref="B389" r:id="rId375" xr:uid="{00000000-0004-0000-0300-000076010000}"/>
    <hyperlink ref="B390" r:id="rId376" xr:uid="{00000000-0004-0000-0300-000077010000}"/>
    <hyperlink ref="B391" r:id="rId377" xr:uid="{00000000-0004-0000-0300-000078010000}"/>
    <hyperlink ref="B392" r:id="rId378" xr:uid="{00000000-0004-0000-0300-000079010000}"/>
    <hyperlink ref="B393" r:id="rId379" xr:uid="{00000000-0004-0000-0300-00007A010000}"/>
    <hyperlink ref="B394" r:id="rId380" xr:uid="{00000000-0004-0000-0300-00007B010000}"/>
    <hyperlink ref="B395" r:id="rId381" xr:uid="{00000000-0004-0000-0300-00007C010000}"/>
    <hyperlink ref="B396" r:id="rId382" xr:uid="{00000000-0004-0000-0300-00007D010000}"/>
    <hyperlink ref="B397" r:id="rId383" xr:uid="{00000000-0004-0000-0300-00007E010000}"/>
    <hyperlink ref="B398" r:id="rId384" xr:uid="{00000000-0004-0000-0300-00007F010000}"/>
    <hyperlink ref="B399" r:id="rId385" xr:uid="{00000000-0004-0000-0300-000080010000}"/>
    <hyperlink ref="B400" r:id="rId386" xr:uid="{00000000-0004-0000-0300-000081010000}"/>
    <hyperlink ref="B401" r:id="rId387" xr:uid="{00000000-0004-0000-0300-000082010000}"/>
    <hyperlink ref="B402" r:id="rId388" xr:uid="{00000000-0004-0000-0300-000083010000}"/>
    <hyperlink ref="B403" r:id="rId389" xr:uid="{00000000-0004-0000-0300-000084010000}"/>
    <hyperlink ref="B404" r:id="rId390" xr:uid="{00000000-0004-0000-0300-000085010000}"/>
    <hyperlink ref="B405" r:id="rId391" xr:uid="{00000000-0004-0000-0300-000086010000}"/>
    <hyperlink ref="B406" r:id="rId392" xr:uid="{00000000-0004-0000-0300-000087010000}"/>
    <hyperlink ref="B407" r:id="rId393" xr:uid="{00000000-0004-0000-0300-000088010000}"/>
    <hyperlink ref="B408" r:id="rId394" xr:uid="{00000000-0004-0000-0300-000089010000}"/>
    <hyperlink ref="B409" r:id="rId395" xr:uid="{00000000-0004-0000-0300-00008A010000}"/>
    <hyperlink ref="B410" r:id="rId396" xr:uid="{00000000-0004-0000-0300-00008B010000}"/>
    <hyperlink ref="B411" r:id="rId397" xr:uid="{00000000-0004-0000-0300-00008C010000}"/>
    <hyperlink ref="B412" r:id="rId398" xr:uid="{00000000-0004-0000-0300-00008D010000}"/>
    <hyperlink ref="B413" r:id="rId399" xr:uid="{00000000-0004-0000-0300-00008E010000}"/>
    <hyperlink ref="B414" r:id="rId400" xr:uid="{00000000-0004-0000-0300-00008F010000}"/>
    <hyperlink ref="B415" r:id="rId401" xr:uid="{00000000-0004-0000-0300-000090010000}"/>
    <hyperlink ref="B416" r:id="rId402" xr:uid="{00000000-0004-0000-0300-000091010000}"/>
    <hyperlink ref="B417" r:id="rId403" xr:uid="{00000000-0004-0000-0300-000092010000}"/>
    <hyperlink ref="B418" r:id="rId404" xr:uid="{00000000-0004-0000-0300-000093010000}"/>
    <hyperlink ref="B419" r:id="rId405" xr:uid="{00000000-0004-0000-0300-000094010000}"/>
    <hyperlink ref="B420" r:id="rId406" xr:uid="{00000000-0004-0000-0300-000095010000}"/>
    <hyperlink ref="B421" r:id="rId407" xr:uid="{00000000-0004-0000-0300-000096010000}"/>
    <hyperlink ref="B422" r:id="rId408" xr:uid="{00000000-0004-0000-0300-000097010000}"/>
    <hyperlink ref="B423" r:id="rId409" xr:uid="{00000000-0004-0000-0300-000098010000}"/>
    <hyperlink ref="B424" r:id="rId410" xr:uid="{00000000-0004-0000-0300-000099010000}"/>
    <hyperlink ref="B425" r:id="rId411" xr:uid="{00000000-0004-0000-0300-00009A010000}"/>
    <hyperlink ref="B426" r:id="rId412" xr:uid="{00000000-0004-0000-0300-00009B010000}"/>
    <hyperlink ref="B427" r:id="rId413" xr:uid="{00000000-0004-0000-0300-00009C010000}"/>
    <hyperlink ref="B428" r:id="rId414" xr:uid="{00000000-0004-0000-0300-00009D010000}"/>
    <hyperlink ref="B429" r:id="rId415" xr:uid="{00000000-0004-0000-0300-00009E010000}"/>
    <hyperlink ref="B430" r:id="rId416" xr:uid="{00000000-0004-0000-0300-00009F010000}"/>
    <hyperlink ref="B431" r:id="rId417" xr:uid="{00000000-0004-0000-0300-0000A0010000}"/>
    <hyperlink ref="B432" r:id="rId418" xr:uid="{00000000-0004-0000-0300-0000A1010000}"/>
    <hyperlink ref="B433" r:id="rId419" xr:uid="{00000000-0004-0000-0300-0000A2010000}"/>
    <hyperlink ref="B434" r:id="rId420" xr:uid="{00000000-0004-0000-0300-0000A3010000}"/>
    <hyperlink ref="B435" r:id="rId421" xr:uid="{00000000-0004-0000-0300-0000A4010000}"/>
    <hyperlink ref="B436" r:id="rId422" xr:uid="{00000000-0004-0000-0300-0000A5010000}"/>
    <hyperlink ref="B437" r:id="rId423" xr:uid="{00000000-0004-0000-0300-0000A6010000}"/>
    <hyperlink ref="B438" r:id="rId424" xr:uid="{00000000-0004-0000-0300-0000A7010000}"/>
    <hyperlink ref="B439" r:id="rId425" xr:uid="{00000000-0004-0000-0300-0000A8010000}"/>
    <hyperlink ref="B440" r:id="rId426" xr:uid="{00000000-0004-0000-0300-0000A9010000}"/>
    <hyperlink ref="B441" r:id="rId427" xr:uid="{00000000-0004-0000-0300-0000AA010000}"/>
    <hyperlink ref="B442" r:id="rId428" xr:uid="{00000000-0004-0000-0300-0000AB010000}"/>
    <hyperlink ref="B443" r:id="rId429" xr:uid="{00000000-0004-0000-0300-0000AC010000}"/>
    <hyperlink ref="B444" r:id="rId430" xr:uid="{00000000-0004-0000-0300-0000AD010000}"/>
    <hyperlink ref="B445" r:id="rId431" xr:uid="{00000000-0004-0000-0300-0000AE010000}"/>
    <hyperlink ref="B446" r:id="rId432" xr:uid="{00000000-0004-0000-0300-0000AF010000}"/>
    <hyperlink ref="B447" r:id="rId433" xr:uid="{00000000-0004-0000-0300-0000B0010000}"/>
    <hyperlink ref="B448" r:id="rId434" xr:uid="{00000000-0004-0000-0300-0000B1010000}"/>
    <hyperlink ref="B449" r:id="rId435" xr:uid="{00000000-0004-0000-0300-0000B2010000}"/>
    <hyperlink ref="B450" r:id="rId436" xr:uid="{00000000-0004-0000-0300-0000B3010000}"/>
    <hyperlink ref="B451" r:id="rId437" xr:uid="{00000000-0004-0000-0300-0000B4010000}"/>
    <hyperlink ref="B452" r:id="rId438" xr:uid="{00000000-0004-0000-0300-0000B5010000}"/>
    <hyperlink ref="B453" r:id="rId439" xr:uid="{00000000-0004-0000-0300-0000B6010000}"/>
    <hyperlink ref="B454" r:id="rId440" xr:uid="{00000000-0004-0000-0300-0000B7010000}"/>
    <hyperlink ref="B455" r:id="rId441" xr:uid="{00000000-0004-0000-0300-0000B8010000}"/>
    <hyperlink ref="B456" r:id="rId442" xr:uid="{00000000-0004-0000-0300-0000B9010000}"/>
    <hyperlink ref="B457" r:id="rId443" xr:uid="{00000000-0004-0000-0300-0000BA010000}"/>
    <hyperlink ref="B458" r:id="rId444" xr:uid="{00000000-0004-0000-0300-0000BB010000}"/>
    <hyperlink ref="B459" r:id="rId445" xr:uid="{00000000-0004-0000-0300-0000BC010000}"/>
    <hyperlink ref="B460" r:id="rId446" xr:uid="{00000000-0004-0000-0300-0000BD010000}"/>
    <hyperlink ref="B461" r:id="rId447" xr:uid="{00000000-0004-0000-0300-0000BE010000}"/>
    <hyperlink ref="B462" r:id="rId448" xr:uid="{00000000-0004-0000-0300-0000BF010000}"/>
    <hyperlink ref="B463" r:id="rId449" xr:uid="{00000000-0004-0000-0300-0000C0010000}"/>
    <hyperlink ref="B464" r:id="rId450" xr:uid="{00000000-0004-0000-0300-0000C1010000}"/>
    <hyperlink ref="B465" r:id="rId451" xr:uid="{00000000-0004-0000-0300-0000C2010000}"/>
    <hyperlink ref="B466" r:id="rId452" xr:uid="{00000000-0004-0000-0300-0000C3010000}"/>
    <hyperlink ref="B467" r:id="rId453" xr:uid="{00000000-0004-0000-0300-0000C4010000}"/>
    <hyperlink ref="B468" r:id="rId454" xr:uid="{00000000-0004-0000-0300-0000C5010000}"/>
    <hyperlink ref="B469" r:id="rId455" xr:uid="{00000000-0004-0000-0300-0000C6010000}"/>
    <hyperlink ref="B470" r:id="rId456" xr:uid="{00000000-0004-0000-0300-0000C7010000}"/>
    <hyperlink ref="B471" r:id="rId457" xr:uid="{00000000-0004-0000-0300-0000C8010000}"/>
    <hyperlink ref="B472" r:id="rId458" xr:uid="{00000000-0004-0000-0300-0000C901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baseColWidth="10" defaultColWidth="12.6640625" defaultRowHeight="15" customHeight="1"/>
  <cols>
    <col min="1" max="1" width="35" customWidth="1"/>
    <col min="2" max="2" width="12.6640625" customWidth="1"/>
    <col min="3" max="3" width="19.6640625" customWidth="1"/>
    <col min="4" max="4" width="258.6640625" customWidth="1"/>
    <col min="5" max="6" width="12.6640625" customWidth="1"/>
  </cols>
  <sheetData>
    <row r="1" spans="1:26" ht="15.75" customHeight="1">
      <c r="A1" s="124" t="s">
        <v>2281</v>
      </c>
      <c r="B1" s="125" t="s">
        <v>1697</v>
      </c>
      <c r="C1" s="126" t="s">
        <v>1698</v>
      </c>
      <c r="D1" s="126" t="s">
        <v>1700</v>
      </c>
      <c r="E1" s="127"/>
      <c r="F1" s="127"/>
      <c r="G1" s="127"/>
      <c r="H1" s="127"/>
      <c r="I1" s="127"/>
      <c r="J1" s="127"/>
      <c r="K1" s="127"/>
      <c r="L1" s="127"/>
      <c r="M1" s="127"/>
      <c r="N1" s="127"/>
      <c r="O1" s="127"/>
      <c r="P1" s="127"/>
      <c r="Q1" s="127"/>
      <c r="R1" s="127"/>
      <c r="S1" s="127"/>
      <c r="T1" s="127"/>
      <c r="U1" s="127"/>
      <c r="V1" s="127"/>
      <c r="W1" s="127"/>
      <c r="X1" s="127"/>
      <c r="Y1" s="127"/>
      <c r="Z1" s="127"/>
    </row>
    <row r="2" spans="1:26" ht="15.75" customHeight="1">
      <c r="A2" s="128" t="str">
        <f>HYPERLINK("https://www.jstor.org/stable/984196","Allen 1919")</f>
        <v>Allen 1919</v>
      </c>
      <c r="B2" s="129">
        <v>1919</v>
      </c>
      <c r="C2" s="130" t="s">
        <v>1704</v>
      </c>
      <c r="D2" s="130" t="s">
        <v>2282</v>
      </c>
    </row>
    <row r="3" spans="1:26" ht="15.75" customHeight="1">
      <c r="A3" s="131" t="str">
        <f>HYPERLINK("https://doi.org/10.1126/science.49.1261.218","Schacke 1919")</f>
        <v>Schacke 1919</v>
      </c>
      <c r="B3" s="132">
        <v>1919</v>
      </c>
      <c r="C3" s="117" t="s">
        <v>1715</v>
      </c>
      <c r="D3" s="117" t="s">
        <v>1767</v>
      </c>
    </row>
    <row r="4" spans="1:26" ht="15.75" customHeight="1">
      <c r="A4" s="133" t="str">
        <f>HYPERLINK("https://www.nature.com/articles/112687c0","Blackburn 1923")</f>
        <v>Blackburn 1923</v>
      </c>
      <c r="B4" s="132">
        <v>1923</v>
      </c>
      <c r="C4" s="117" t="s">
        <v>1715</v>
      </c>
      <c r="D4" s="117" t="s">
        <v>1768</v>
      </c>
    </row>
    <row r="5" spans="1:26" ht="15.75" customHeight="1">
      <c r="A5" s="133" t="str">
        <f>HYPERLINK("https://onlinelibrary.wiley.com/doi/abs/10.1111/j.1601-5223.1957.tb03444.x","Winge 1923")</f>
        <v>Winge 1923</v>
      </c>
      <c r="B5" s="132">
        <v>1923</v>
      </c>
      <c r="C5" s="117" t="s">
        <v>1715</v>
      </c>
      <c r="D5" s="117" t="s">
        <v>1810</v>
      </c>
    </row>
    <row r="6" spans="1:26" ht="15.75" customHeight="1">
      <c r="A6" s="133" t="str">
        <f>HYPERLINK("https://pdfs.semanticscholar.org/64a0/a21598c575a7c383cd5619472e562fc3570d.pdf","Blackburn 1924")</f>
        <v>Blackburn 1924</v>
      </c>
      <c r="B6" s="132">
        <v>1924</v>
      </c>
      <c r="C6" s="117" t="s">
        <v>1715</v>
      </c>
      <c r="D6" s="117" t="s">
        <v>1771</v>
      </c>
    </row>
    <row r="7" spans="1:26" ht="15.75" customHeight="1">
      <c r="A7" s="134" t="str">
        <f>HYPERLINK("https://www.journals.uchicago.edu/doi/abs/10.1086/333338?mobileUi=0","Santos 1924")</f>
        <v>Santos 1924</v>
      </c>
      <c r="B7" s="132">
        <v>1924</v>
      </c>
      <c r="C7" s="117" t="s">
        <v>1715</v>
      </c>
      <c r="D7" s="117" t="s">
        <v>1772</v>
      </c>
    </row>
    <row r="8" spans="1:26" ht="15.75" customHeight="1">
      <c r="A8" s="133" t="str">
        <f>HYPERLINK("https://link.springer.com/article/10.1007/BF01961517","Kihara and Ono 1925")</f>
        <v>Kihara and Ono 1925</v>
      </c>
      <c r="B8" s="132">
        <v>1925</v>
      </c>
      <c r="C8" s="117" t="s">
        <v>1715</v>
      </c>
      <c r="D8" s="117" t="s">
        <v>1773</v>
      </c>
    </row>
    <row r="9" spans="1:26" ht="15.75" customHeight="1">
      <c r="A9" s="133" t="str">
        <f>HYPERLINK("http://caliban.mpipz.mpg.de/correns/pflanzen_vererbung/correns_vererbung_pflanzen.pdf","Correns 1928")</f>
        <v>Correns 1928</v>
      </c>
      <c r="B9" s="132">
        <v>1928</v>
      </c>
      <c r="C9" s="117" t="s">
        <v>1715</v>
      </c>
      <c r="D9" s="117" t="s">
        <v>2283</v>
      </c>
    </row>
    <row r="10" spans="1:26" ht="15.75" customHeight="1">
      <c r="A10" s="131" t="str">
        <f>HYPERLINK("https://www.journals.uchicago.edu/doi/abs/10.1086/334075?journalCode=botanicalgazette","McKay 1930")</f>
        <v>McKay 1930</v>
      </c>
      <c r="B10" s="132">
        <v>1930</v>
      </c>
      <c r="C10" s="117" t="s">
        <v>1715</v>
      </c>
      <c r="D10" s="117" t="s">
        <v>1777</v>
      </c>
    </row>
    <row r="11" spans="1:26" ht="15.75" customHeight="1">
      <c r="A11" s="135" t="s">
        <v>2284</v>
      </c>
      <c r="B11" s="132">
        <v>1934</v>
      </c>
      <c r="C11" s="117" t="s">
        <v>1715</v>
      </c>
      <c r="D11" s="117" t="s">
        <v>2285</v>
      </c>
    </row>
    <row r="12" spans="1:26" ht="15.75" customHeight="1">
      <c r="A12" s="135" t="s">
        <v>2286</v>
      </c>
      <c r="B12" s="136">
        <v>1934</v>
      </c>
      <c r="C12" s="137" t="s">
        <v>1715</v>
      </c>
      <c r="D12" s="137" t="s">
        <v>2287</v>
      </c>
    </row>
    <row r="13" spans="1:26" ht="15.75" customHeight="1">
      <c r="A13" s="133" t="str">
        <f>HYPERLINK("https://www.genetics.org/content/genetics/21/3/282.full.pdf","Von Ubisch 1936")</f>
        <v>Von Ubisch 1936</v>
      </c>
      <c r="B13" s="132">
        <v>1936</v>
      </c>
      <c r="C13" s="117" t="s">
        <v>1715</v>
      </c>
      <c r="D13" s="117" t="s">
        <v>1784</v>
      </c>
    </row>
    <row r="14" spans="1:26" ht="15.75" customHeight="1">
      <c r="A14" s="133" t="str">
        <f>HYPERLINK("https://www.jstage.jst.go.jp/article/jplantres1887/51/603/51_603_110/_pdf/-char/en","Ono 1937")</f>
        <v>Ono 1937</v>
      </c>
      <c r="B14" s="132">
        <v>1937</v>
      </c>
      <c r="C14" s="117" t="s">
        <v>1715</v>
      </c>
      <c r="D14" s="117" t="s">
        <v>1787</v>
      </c>
    </row>
    <row r="15" spans="1:26" ht="15.75" customHeight="1">
      <c r="A15" s="138" t="str">
        <f>HYPERLINK("https://www.ncbi.nlm.nih.gov/pmc/articles/PMC1209100/pdf/409.pdf","Murray 1940")</f>
        <v>Murray 1940</v>
      </c>
      <c r="B15" s="132">
        <v>1940</v>
      </c>
      <c r="C15" s="117" t="s">
        <v>1715</v>
      </c>
      <c r="D15" s="117" t="s">
        <v>1791</v>
      </c>
    </row>
    <row r="16" spans="1:26" ht="15.75" customHeight="1">
      <c r="A16" s="133" t="str">
        <f>HYPERLINK("https://ci.nii.ac.jp/naid/10003269776/","Yamada 1943")</f>
        <v>Yamada 1943</v>
      </c>
      <c r="B16" s="132">
        <v>1943</v>
      </c>
      <c r="C16" s="117" t="s">
        <v>1715</v>
      </c>
      <c r="D16" s="117" t="s">
        <v>2288</v>
      </c>
    </row>
    <row r="17" spans="1:4" ht="15.75" customHeight="1">
      <c r="A17" s="131" t="str">
        <f>HYPERLINK("https://doi.org/10.1111/j.1601-5223.1944.tb03303.x","Löve 1944")</f>
        <v>Löve 1944</v>
      </c>
      <c r="B17" s="132">
        <v>1944</v>
      </c>
      <c r="C17" s="117" t="s">
        <v>1715</v>
      </c>
      <c r="D17" s="117" t="s">
        <v>2289</v>
      </c>
    </row>
    <row r="18" spans="1:4" ht="15.75" customHeight="1">
      <c r="A18" s="131" t="str">
        <f>HYPERLINK("https://link.springer.com/article/10.1007/BF03049901","Chakravorti 1948")</f>
        <v>Chakravorti 1948</v>
      </c>
      <c r="B18" s="132">
        <v>1948</v>
      </c>
      <c r="C18" s="117" t="s">
        <v>1715</v>
      </c>
      <c r="D18" s="117" t="s">
        <v>2290</v>
      </c>
    </row>
    <row r="19" spans="1:4" ht="15.75" customHeight="1">
      <c r="A19" s="133" t="str">
        <f>HYPERLINK("https://www.nature.com/articles/163926a0","Mather 1949")</f>
        <v>Mather 1949</v>
      </c>
      <c r="B19" s="132">
        <v>1949</v>
      </c>
      <c r="C19" s="117" t="s">
        <v>1715</v>
      </c>
      <c r="D19" s="117" t="s">
        <v>2291</v>
      </c>
    </row>
    <row r="20" spans="1:4" ht="15.75" customHeight="1">
      <c r="A20" s="133" t="str">
        <f>HYPERLINK("https://www.jstor.org/stable/2438712#metadata_info_tab_contents","Newcomer 1954")</f>
        <v>Newcomer 1954</v>
      </c>
      <c r="B20" s="132">
        <v>1954</v>
      </c>
      <c r="C20" s="117" t="s">
        <v>1715</v>
      </c>
      <c r="D20" s="117" t="s">
        <v>1802</v>
      </c>
    </row>
    <row r="21" spans="1:4" ht="15.75" customHeight="1">
      <c r="A21" s="133" t="str">
        <f>HYPERLINK("https://www.nature.com/articles/hdy195543","Bateman 1955")</f>
        <v>Bateman 1955</v>
      </c>
      <c r="B21" s="132">
        <v>1955</v>
      </c>
      <c r="C21" s="117" t="s">
        <v>1715</v>
      </c>
      <c r="D21" s="117" t="s">
        <v>1803</v>
      </c>
    </row>
    <row r="22" spans="1:4" ht="15.75" customHeight="1">
      <c r="A22" s="131" t="str">
        <f>HYPERLINK("https://doi.org/10.1038/1791143a0","Berrie 1957")</f>
        <v>Berrie 1957</v>
      </c>
      <c r="B22" s="132">
        <v>1957</v>
      </c>
      <c r="C22" s="117" t="s">
        <v>1715</v>
      </c>
      <c r="D22" s="117" t="s">
        <v>1812</v>
      </c>
    </row>
    <row r="23" spans="1:4" ht="15.75" customHeight="1">
      <c r="A23" s="133" t="str">
        <f>HYPERLINK("https://onlinelibrary.wiley.com/doi/abs/10.1111/j.1601-5223.1957.tb03444.x","Jacobsen 1957")</f>
        <v>Jacobsen 1957</v>
      </c>
      <c r="B23" s="132">
        <v>1957</v>
      </c>
      <c r="C23" s="117" t="s">
        <v>1715</v>
      </c>
      <c r="D23" s="117" t="s">
        <v>1810</v>
      </c>
    </row>
    <row r="24" spans="1:4" ht="15.75" customHeight="1">
      <c r="A24" s="133" t="str">
        <f>HYPERLINK("https://onlinelibrary.wiley.com/doi/pdf/10.1111/j.1601-5223.1957.tb03454.x","Malling et al 1957")</f>
        <v>Malling et al 1957</v>
      </c>
      <c r="B24" s="132">
        <v>1957</v>
      </c>
      <c r="C24" s="117" t="s">
        <v>1715</v>
      </c>
      <c r="D24" s="117" t="s">
        <v>1811</v>
      </c>
    </row>
    <row r="25" spans="1:4" ht="15.75" customHeight="1">
      <c r="A25" s="133" t="str">
        <f>HYPERLINK("https://academic.oup.com/jhered/article-abstract/48/6/290/905759/","Pollock 1957")</f>
        <v>Pollock 1957</v>
      </c>
      <c r="B25" s="132">
        <v>1957</v>
      </c>
      <c r="C25" s="117" t="s">
        <v>1715</v>
      </c>
      <c r="D25" s="117" t="s">
        <v>1808</v>
      </c>
    </row>
    <row r="26" spans="1:4" ht="15.75" customHeight="1">
      <c r="A26" s="133" t="str">
        <f>HYPERLINK("https://link.springer.com/content/pdf/10.1038/1811584a0.pdf","Hair et al 1958")</f>
        <v>Hair et al 1958</v>
      </c>
      <c r="B26" s="132">
        <v>1958</v>
      </c>
      <c r="C26" s="117" t="s">
        <v>1715</v>
      </c>
      <c r="D26" s="117" t="s">
        <v>1815</v>
      </c>
    </row>
    <row r="27" spans="1:4" ht="15.75" customHeight="1">
      <c r="A27" s="133" t="str">
        <f>HYPERLINK("https://www.sciencedirect.com/science/article/abs/pii/S0065266008601637","Westergaard 1958")</f>
        <v>Westergaard 1958</v>
      </c>
      <c r="B27" s="132">
        <v>1958</v>
      </c>
      <c r="C27" s="117" t="s">
        <v>1715</v>
      </c>
      <c r="D27" s="117" t="s">
        <v>2292</v>
      </c>
    </row>
    <row r="28" spans="1:4" ht="15.75" customHeight="1">
      <c r="A28" s="133" t="str">
        <f>HYPERLINK("https://doi.org/10.1093/oxfordjournals.aob.a083792","Abraham and Mathew 1962")</f>
        <v>Abraham and Mathew 1962</v>
      </c>
      <c r="B28" s="132">
        <v>1962</v>
      </c>
      <c r="C28" s="117" t="s">
        <v>1715</v>
      </c>
      <c r="D28" s="117" t="s">
        <v>1817</v>
      </c>
    </row>
    <row r="29" spans="1:4" ht="15.75" customHeight="1">
      <c r="A29" s="138" t="str">
        <f>HYPERLINK("https://www.genetics.org/content/genetics/48/10/1265.full.pdf","Smith 1963")</f>
        <v>Smith 1963</v>
      </c>
      <c r="B29" s="132">
        <v>1963</v>
      </c>
      <c r="C29" s="117" t="s">
        <v>1715</v>
      </c>
      <c r="D29" s="117" t="s">
        <v>1818</v>
      </c>
    </row>
    <row r="30" spans="1:4" ht="15.75" customHeight="1">
      <c r="A30" s="139" t="str">
        <f>HYPERLINK("https://link.springer.com/chapter/10.1007%2F978-94-007-0944-7_21","Rao 1970")</f>
        <v>Rao 1970</v>
      </c>
      <c r="B30" s="132">
        <v>1970</v>
      </c>
      <c r="C30" s="117" t="s">
        <v>1715</v>
      </c>
      <c r="D30" s="117" t="s">
        <v>1821</v>
      </c>
    </row>
    <row r="31" spans="1:4" ht="15.75" customHeight="1">
      <c r="A31" s="128" t="str">
        <f>HYPERLINK("https://doi.org/10.5586/asbp.1970.043","Zuk 1970")</f>
        <v>Zuk 1970</v>
      </c>
      <c r="B31" s="132">
        <v>1970</v>
      </c>
      <c r="C31" s="117" t="s">
        <v>1715</v>
      </c>
      <c r="D31" s="117" t="s">
        <v>1822</v>
      </c>
    </row>
    <row r="32" spans="1:4" ht="15.75" customHeight="1">
      <c r="A32" s="138" t="str">
        <f>HYPERLINK("https://link.springer.com/article/10.1007/BF00577104","Bartkowiak 1971")</f>
        <v>Bartkowiak 1971</v>
      </c>
      <c r="B32" s="132">
        <v>1971</v>
      </c>
      <c r="C32" s="117" t="s">
        <v>1715</v>
      </c>
      <c r="D32" s="117" t="s">
        <v>1829</v>
      </c>
    </row>
    <row r="33" spans="1:4" ht="15.75" customHeight="1">
      <c r="A33" s="133" t="str">
        <f>HYPERLINK("https://pdfs.semanticscholar.org/d599/63442262082968b540cdf8d9ef4c89f5c966.pdf","Negi and Olmo 1971")</f>
        <v>Negi and Olmo 1971</v>
      </c>
      <c r="B33" s="132">
        <v>1971</v>
      </c>
      <c r="C33" s="117" t="s">
        <v>1715</v>
      </c>
      <c r="D33" s="117" t="s">
        <v>2293</v>
      </c>
    </row>
    <row r="34" spans="1:4" ht="15.75" customHeight="1">
      <c r="A34" s="139" t="str">
        <f>HYPERLINK("https://www.degruyter.com/view/j/botm.1971.14.issue-2/botm.1971.14.2.113/botm.1971.14.2.113.xml","Rao 1971")</f>
        <v>Rao 1971</v>
      </c>
      <c r="B34" s="132">
        <v>1971</v>
      </c>
      <c r="C34" s="117" t="s">
        <v>1715</v>
      </c>
      <c r="D34" s="117" t="s">
        <v>2294</v>
      </c>
    </row>
    <row r="35" spans="1:4" ht="15.75" customHeight="1">
      <c r="A35" s="131" t="str">
        <f>HYPERLINK("https://doi.org/10.1266/jjg.46.33","Segawa et al 1971")</f>
        <v>Segawa et al 1971</v>
      </c>
      <c r="B35" s="132">
        <v>1971</v>
      </c>
      <c r="C35" s="117" t="s">
        <v>1715</v>
      </c>
      <c r="D35" s="117" t="s">
        <v>1825</v>
      </c>
    </row>
    <row r="36" spans="1:4" ht="15.75" customHeight="1">
      <c r="A36" s="133" t="str">
        <f>HYPERLINK("https://link.springer.com/article/10.1007/BF00277336","Singh and Smith 1971")</f>
        <v>Singh and Smith 1971</v>
      </c>
      <c r="B36" s="132">
        <v>1971</v>
      </c>
      <c r="C36" s="117" t="s">
        <v>1715</v>
      </c>
      <c r="D36" s="117" t="s">
        <v>1830</v>
      </c>
    </row>
    <row r="37" spans="1:4" ht="15.75" customHeight="1">
      <c r="A37" s="140" t="str">
        <f>HYPERLINK("https://doi.org/10.1080/00087114.1972.10796503","D'Cruz et al 1972")</f>
        <v>D'Cruz et al 1972</v>
      </c>
      <c r="B37" s="132">
        <v>1972</v>
      </c>
      <c r="C37" s="117" t="s">
        <v>1715</v>
      </c>
      <c r="D37" s="117" t="s">
        <v>2295</v>
      </c>
    </row>
    <row r="38" spans="1:4" ht="15.75" customHeight="1">
      <c r="A38" s="133" t="str">
        <f>HYPERLINK("https://www.nature.com/articles/hdy197299.pdf","Grewal and Ellis 1972")</f>
        <v>Grewal and Ellis 1972</v>
      </c>
      <c r="B38" s="132">
        <v>1972</v>
      </c>
      <c r="C38" s="117" t="s">
        <v>1715</v>
      </c>
      <c r="D38" s="117" t="s">
        <v>1834</v>
      </c>
    </row>
    <row r="39" spans="1:4" ht="15.75" customHeight="1">
      <c r="A39" s="128" t="str">
        <f>HYPERLINK("https://doi.org/10.1007/BF00265149","Meyer and Herrmann 1973")</f>
        <v>Meyer and Herrmann 1973</v>
      </c>
      <c r="B39" s="132">
        <v>1973</v>
      </c>
      <c r="C39" s="117" t="s">
        <v>1704</v>
      </c>
      <c r="D39" s="117" t="s">
        <v>2296</v>
      </c>
    </row>
    <row r="40" spans="1:4" ht="15.75" customHeight="1">
      <c r="A40" s="133" t="str">
        <f>HYPERLINK("https://nph.onlinelibrary.wiley.com/doi/pdf/10.1111/j.1469-8137.1975.tb01345.x","Lloyd 1975 ")</f>
        <v xml:space="preserve">Lloyd 1975 </v>
      </c>
      <c r="B40" s="132">
        <v>1975</v>
      </c>
      <c r="C40" s="117" t="s">
        <v>1715</v>
      </c>
      <c r="D40" s="117" t="s">
        <v>1836</v>
      </c>
    </row>
    <row r="41" spans="1:4" ht="15.75" customHeight="1">
      <c r="A41" s="133" t="str">
        <f>HYPERLINK("http://agris.fao.org/agris-search/search.do?recordID=US201303072214", "Degraeve 1976")</f>
        <v>Degraeve 1976</v>
      </c>
      <c r="B41" s="136">
        <v>1976</v>
      </c>
      <c r="C41" s="137" t="s">
        <v>1715</v>
      </c>
      <c r="D41" s="137" t="s">
        <v>2297</v>
      </c>
    </row>
    <row r="42" spans="1:4" ht="15.75" customHeight="1">
      <c r="A42" s="131" t="str">
        <f>HYPERLINK("https://doi.org/10.1038/hdy.1979.23 ","Barlow and Wiens 1979")</f>
        <v>Barlow and Wiens 1979</v>
      </c>
      <c r="B42" s="132">
        <v>1979</v>
      </c>
      <c r="C42" s="117" t="s">
        <v>1715</v>
      </c>
      <c r="D42" s="117" t="s">
        <v>1852</v>
      </c>
    </row>
    <row r="43" spans="1:4" ht="15.75" customHeight="1">
      <c r="A43" s="133" t="str">
        <f>HYPERLINK("https://ci.nii.ac.jp/naid/10006433850/","Löptien 1979")</f>
        <v>Löptien 1979</v>
      </c>
      <c r="B43" s="132">
        <v>1979</v>
      </c>
      <c r="C43" s="117" t="s">
        <v>1715</v>
      </c>
      <c r="D43" s="117" t="s">
        <v>1847</v>
      </c>
    </row>
    <row r="44" spans="1:4" ht="15.75" customHeight="1">
      <c r="A44" s="133" t="str">
        <f>HYPERLINK("https://ci.nii.ac.jp/naid/10021852346/","Shchapov 1979")</f>
        <v>Shchapov 1979</v>
      </c>
      <c r="B44" s="132">
        <v>1979</v>
      </c>
      <c r="C44" s="117" t="s">
        <v>1715</v>
      </c>
      <c r="D44" s="117" t="s">
        <v>1851</v>
      </c>
    </row>
    <row r="45" spans="1:4" ht="15.75" customHeight="1">
      <c r="A45" s="133" t="str">
        <f>HYPERLINK("https://www.jstage.jst.go.jp/article/cytologia1929/45/4/45_4_739/_pdf","Bhat and Bindroo 1980")</f>
        <v>Bhat and Bindroo 1980</v>
      </c>
      <c r="B45" s="132">
        <v>1980</v>
      </c>
      <c r="C45" s="117" t="s">
        <v>1715</v>
      </c>
      <c r="D45" s="117" t="s">
        <v>1853</v>
      </c>
    </row>
    <row r="46" spans="1:4" ht="15.75" customHeight="1">
      <c r="A46" s="131" t="str">
        <f>HYPERLINK("https://link.springer.com/article/10.1007/BF02490200","Barlow 1981")</f>
        <v>Barlow 1981</v>
      </c>
      <c r="B46" s="132">
        <v>1981</v>
      </c>
      <c r="C46" s="117" t="s">
        <v>1715</v>
      </c>
      <c r="D46" s="117" t="s">
        <v>1855</v>
      </c>
    </row>
    <row r="47" spans="1:4" ht="15.75" customHeight="1">
      <c r="A47" s="128" t="str">
        <f>HYPERLINK("https://doi.org/10.1508/cytologia.46.173","Khitha 1981")</f>
        <v>Khitha 1981</v>
      </c>
      <c r="B47" s="132">
        <v>1981</v>
      </c>
      <c r="C47" s="117" t="s">
        <v>1715</v>
      </c>
      <c r="D47" s="117" t="s">
        <v>1854</v>
      </c>
    </row>
    <row r="48" spans="1:4" ht="15.75" customHeight="1">
      <c r="A48" s="128" t="str">
        <f>HYPERLINK("http://agris.fao.org/agris-search/search.do?recordID=US201302002024","Ramsay and Berrie 1982")</f>
        <v>Ramsay and Berrie 1982</v>
      </c>
      <c r="B48" s="136">
        <v>1982</v>
      </c>
      <c r="C48" s="137" t="s">
        <v>1715</v>
      </c>
      <c r="D48" s="137" t="s">
        <v>1856</v>
      </c>
    </row>
    <row r="49" spans="1:4" ht="15.75" customHeight="1">
      <c r="A49" s="128" t="str">
        <f>HYPERLINK("https://doi.org/10.1080/0028825X.1983.10428565","Jie 1983")</f>
        <v>Jie 1983</v>
      </c>
      <c r="B49" s="132">
        <v>1983</v>
      </c>
      <c r="C49" s="117" t="s">
        <v>1715</v>
      </c>
      <c r="D49" s="117" t="s">
        <v>2298</v>
      </c>
    </row>
    <row r="50" spans="1:4" ht="15.75" customHeight="1">
      <c r="A50" s="133" t="str">
        <f>HYPERLINK("https://www.jstage.jst.go.jp/article/ggs1921/63/5/63_5_413/_article/-char/ja/","Hizume et al 1988")</f>
        <v>Hizume et al 1988</v>
      </c>
      <c r="B50" s="132">
        <v>1988</v>
      </c>
      <c r="C50" s="117" t="s">
        <v>1715</v>
      </c>
      <c r="D50" s="117" t="s">
        <v>1862</v>
      </c>
    </row>
    <row r="51" spans="1:4" ht="15.75" customHeight="1">
      <c r="A51" s="133" t="str">
        <f>HYPERLINK("https://ci.nii.ac.jp/naid/10027331098/","Roy 1990")</f>
        <v>Roy 1990</v>
      </c>
      <c r="B51" s="132">
        <v>1990</v>
      </c>
      <c r="C51" s="117" t="s">
        <v>1715</v>
      </c>
      <c r="D51" s="117" t="s">
        <v>2299</v>
      </c>
    </row>
    <row r="52" spans="1:4" ht="15.75" customHeight="1">
      <c r="A52" s="131" t="str">
        <f>HYPERLINK("https://doi.org/10.1016/0168-9452(91)90272-A","Durand and Durand 1991")</f>
        <v>Durand and Durand 1991</v>
      </c>
      <c r="B52" s="132">
        <v>1991</v>
      </c>
      <c r="C52" s="117" t="s">
        <v>1715</v>
      </c>
      <c r="D52" s="117" t="s">
        <v>2300</v>
      </c>
    </row>
    <row r="53" spans="1:4" ht="15.75" customHeight="1">
      <c r="A53" s="131" t="str">
        <f>HYPERLINK("https://doi.org/10.1007/BF00317375","McLetchie 1992")</f>
        <v>McLetchie 1992</v>
      </c>
      <c r="B53" s="132">
        <v>1992</v>
      </c>
      <c r="C53" s="117" t="s">
        <v>1715</v>
      </c>
      <c r="D53" s="117" t="s">
        <v>2301</v>
      </c>
    </row>
    <row r="54" spans="1:4" ht="15.75" customHeight="1">
      <c r="A54" s="133" t="str">
        <f>HYPERLINK("https://reader.elsevier.com/reader/sd/pii/S0024407483710259?token=9B3377CC8D492AE08FD0F55B2F4A6A63A1410DD270B22E7AC4F9D8A0A83C4105C92FCA22CFEFDF53735716F27EA4F63A","Aparicio 1993")</f>
        <v>Aparicio 1993</v>
      </c>
      <c r="B54" s="132">
        <v>1993</v>
      </c>
      <c r="C54" s="117" t="s">
        <v>1715</v>
      </c>
      <c r="D54" s="117" t="s">
        <v>2302</v>
      </c>
    </row>
    <row r="55" spans="1:4" ht="15.75" customHeight="1">
      <c r="A55" s="131" t="str">
        <f>HYPERLINK("https://doi.org/10.1105/tpc.6.12.1775","Hardenack et al 1994")</f>
        <v>Hardenack et al 1994</v>
      </c>
      <c r="B55" s="132">
        <v>1994</v>
      </c>
      <c r="C55" s="117" t="s">
        <v>1707</v>
      </c>
      <c r="D55" s="117" t="s">
        <v>1871</v>
      </c>
    </row>
    <row r="56" spans="1:4" ht="15.75" customHeight="1">
      <c r="A56" s="131" t="str">
        <f>HYPERLINK("https://doi.org/10.1105/tpc.7.10.1583","Ainsworth et al 1995")</f>
        <v>Ainsworth et al 1995</v>
      </c>
      <c r="B56" s="132">
        <v>1995</v>
      </c>
      <c r="C56" s="117" t="s">
        <v>1707</v>
      </c>
      <c r="D56" s="117" t="s">
        <v>1875</v>
      </c>
    </row>
    <row r="57" spans="1:4" ht="15.75" customHeight="1">
      <c r="A57" s="131" t="str">
        <f>HYPERLINK("https://www.researchgate.net/publication/268180715_A_Restriction_Fragment_Length_Polymorphism_Probe_for_Early_Diagnosis_of_Gender_in_Asparagus_officinalis_L","Biffi et al 1995")</f>
        <v>Biffi et al 1995</v>
      </c>
      <c r="B57" s="132">
        <v>1995</v>
      </c>
      <c r="C57" s="117" t="s">
        <v>1707</v>
      </c>
      <c r="D57" s="117" t="s">
        <v>1873</v>
      </c>
    </row>
    <row r="58" spans="1:4" ht="15.75" customHeight="1">
      <c r="A58" s="141" t="str">
        <f>HYPERLINK("https://link.springer.com/article/10.1007/BF00242255","Testolin et al 1995")</f>
        <v>Testolin et al 1995</v>
      </c>
      <c r="B58" s="132">
        <v>1995</v>
      </c>
      <c r="C58" s="117" t="s">
        <v>1704</v>
      </c>
      <c r="D58" s="117" t="s">
        <v>2303</v>
      </c>
    </row>
    <row r="59" spans="1:4" ht="15.75" customHeight="1">
      <c r="A59" s="128" t="str">
        <f>HYPERLINK("https://www.ncbi.nlm.nih.gov/pubmed/8893544","Matsunaga et al 1996")</f>
        <v>Matsunaga et al 1996</v>
      </c>
      <c r="B59" s="132">
        <v>1996</v>
      </c>
      <c r="C59" s="117" t="s">
        <v>1707</v>
      </c>
      <c r="D59" s="117" t="s">
        <v>1877</v>
      </c>
    </row>
    <row r="60" spans="1:4" ht="15.75" customHeight="1">
      <c r="A60" s="131" t="str">
        <f>HYPERLINK("https://doi.org/10.1046/j.1365-313X.1997.12040805.x","Barbacar et al 1997")</f>
        <v>Barbacar et al 1997</v>
      </c>
      <c r="B60" s="132">
        <v>1997</v>
      </c>
      <c r="C60" s="117" t="s">
        <v>1707</v>
      </c>
      <c r="D60" s="117" t="s">
        <v>1879</v>
      </c>
    </row>
    <row r="61" spans="1:4" ht="15.75" customHeight="1">
      <c r="A61" s="131" t="str">
        <f>HYPERLINK("https://www.ncbi.nlm.nih.gov/pubmed/9088644","Bůzek et al 1997")</f>
        <v>Bůzek et al 1997</v>
      </c>
      <c r="B61" s="132">
        <v>1997</v>
      </c>
      <c r="C61" s="117" t="s">
        <v>1882</v>
      </c>
      <c r="D61" s="117" t="s">
        <v>1883</v>
      </c>
    </row>
    <row r="62" spans="1:4" ht="15.75" customHeight="1">
      <c r="A62" s="131" t="str">
        <f>HYPERLINK("https://www.ncbi.nlm.nih.gov/pubmed/9426622","Hinnisdaels et al 1997")</f>
        <v>Hinnisdaels et al 1997</v>
      </c>
      <c r="B62" s="132">
        <v>1997</v>
      </c>
      <c r="C62" s="117" t="s">
        <v>1707</v>
      </c>
      <c r="D62" s="117" t="s">
        <v>2304</v>
      </c>
    </row>
    <row r="63" spans="1:4" ht="15.75" customHeight="1">
      <c r="A63" s="131" t="str">
        <f>HYPERLINK("https://doi.org/10.1046/j.1365-313X.1997.d01-4.x","Lebel‐Hardenack et al 1997")</f>
        <v>Lebel‐Hardenack et al 1997</v>
      </c>
      <c r="B63" s="132">
        <v>1997</v>
      </c>
      <c r="C63" s="117" t="s">
        <v>1707</v>
      </c>
      <c r="D63" s="117" t="s">
        <v>1885</v>
      </c>
    </row>
    <row r="64" spans="1:4" ht="15.75" customHeight="1">
      <c r="A64" s="128" t="str">
        <f>HYPERLINK("https://www.ncbi.nlm.nih.gov/pubmed/9177037","Matsunaga et al 1997")</f>
        <v>Matsunaga et al 1997</v>
      </c>
      <c r="B64" s="132">
        <v>1997</v>
      </c>
      <c r="C64" s="117" t="s">
        <v>1707</v>
      </c>
      <c r="D64" s="117" t="s">
        <v>2305</v>
      </c>
    </row>
    <row r="65" spans="1:5" ht="15.75" customHeight="1">
      <c r="A65" s="131" t="str">
        <f>HYPERLINK("https://doi.org/10.1139/g97-793","Scutt et al 1997")</f>
        <v>Scutt et al 1997</v>
      </c>
      <c r="B65" s="132">
        <v>1997</v>
      </c>
      <c r="C65" s="117" t="s">
        <v>1715</v>
      </c>
      <c r="D65" s="117" t="s">
        <v>1887</v>
      </c>
    </row>
    <row r="66" spans="1:5" ht="15.75" customHeight="1">
      <c r="A66" s="131" t="str">
        <f>HYPERLINK("https://doi.org/10.1104/pp.114.3.969","Scutt et al 1997")</f>
        <v>Scutt et al 1997</v>
      </c>
      <c r="B66" s="132">
        <v>1997</v>
      </c>
      <c r="C66" s="117" t="s">
        <v>1882</v>
      </c>
      <c r="D66" s="117" t="s">
        <v>1888</v>
      </c>
    </row>
    <row r="67" spans="1:5" ht="15.75" customHeight="1">
      <c r="A67" s="131" t="str">
        <f>HYPERLINK("https://link.springer.com/article/10.1007/s001220050914","Gill et al 1998")</f>
        <v>Gill et al 1998</v>
      </c>
      <c r="B67" s="132">
        <v>1998</v>
      </c>
      <c r="C67" s="117" t="s">
        <v>1707</v>
      </c>
      <c r="D67" s="117" t="s">
        <v>1889</v>
      </c>
    </row>
    <row r="68" spans="1:5" ht="15.75" customHeight="1">
      <c r="A68" s="128" t="str">
        <f>HYPERLINK("https://www.nature.com/articles/30492","Guttman et al 1998")</f>
        <v>Guttman et al 1998</v>
      </c>
      <c r="B68" s="132">
        <v>1998</v>
      </c>
      <c r="C68" s="117" t="s">
        <v>1707</v>
      </c>
      <c r="D68" s="117" t="s">
        <v>1894</v>
      </c>
    </row>
    <row r="69" spans="1:5" ht="15.75" customHeight="1">
      <c r="A69" s="128" t="str">
        <f>HYPERLINK("https://www.jstor.org/stable/2446304","Ruas et al 1998")</f>
        <v>Ruas et al 1998</v>
      </c>
      <c r="B69" s="132">
        <v>1998</v>
      </c>
      <c r="C69" s="117" t="s">
        <v>1882</v>
      </c>
      <c r="D69" s="117" t="s">
        <v>1893</v>
      </c>
    </row>
    <row r="70" spans="1:5" ht="15.75" customHeight="1">
      <c r="A70" s="131" t="str">
        <f>HYPERLINK("https://link.springer.com/article/10.1007%2Fs001220050995","Spada et al 1998")</f>
        <v>Spada et al 1998</v>
      </c>
      <c r="B70" s="132">
        <v>1998</v>
      </c>
      <c r="C70" s="117" t="s">
        <v>1707</v>
      </c>
      <c r="D70" s="117" t="s">
        <v>2306</v>
      </c>
    </row>
    <row r="71" spans="1:5" ht="15.75" customHeight="1">
      <c r="A71" s="131" t="str">
        <f>HYPERLINK("https://www.researchgate.net/publication/253672790_Y_chromosome_specific_markers_and_the_evolution_of_dioecy_in_the_genus_Silene","Zhang et al 1998")</f>
        <v>Zhang et al 1998</v>
      </c>
      <c r="B71" s="132">
        <v>1998</v>
      </c>
      <c r="C71" s="117" t="s">
        <v>1707</v>
      </c>
      <c r="D71" s="117" t="s">
        <v>1895</v>
      </c>
    </row>
    <row r="72" spans="1:5" ht="15.75" customHeight="1">
      <c r="A72" s="133" t="str">
        <f>HYPERLINK("https://www.jstor.org/stable/24102845?seq=1#page_scan_tab_contents","Banerjee et al 1999")</f>
        <v>Banerjee et al 1999</v>
      </c>
      <c r="B72" s="132">
        <v>1999</v>
      </c>
      <c r="C72" s="117" t="s">
        <v>1707</v>
      </c>
      <c r="D72" s="117" t="s">
        <v>2307</v>
      </c>
    </row>
    <row r="73" spans="1:5" ht="15.75" customHeight="1">
      <c r="A73" s="131" t="str">
        <f>HYPERLINK("https://doi.org/10.1093/emboj/18.15.4169","Delichère et al 1999")</f>
        <v>Delichère et al 1999</v>
      </c>
      <c r="B73" s="132">
        <v>1999</v>
      </c>
      <c r="C73" s="117" t="s">
        <v>1707</v>
      </c>
      <c r="D73" s="117" t="s">
        <v>2308</v>
      </c>
    </row>
    <row r="74" spans="1:5" ht="15.75" customHeight="1">
      <c r="A74" s="131" t="str">
        <f>HYPERLINK("https://www.researchgate.net/publication/292328703_A_subtelomeric_satellite_DNA_family_isolated_from_the_genome_of_the_dioecious_plant_Silene_latifolia","Garrido-Ramos et al 1999")</f>
        <v>Garrido-Ramos et al 1999</v>
      </c>
      <c r="B74" s="132">
        <v>1999</v>
      </c>
      <c r="C74" s="117" t="s">
        <v>1707</v>
      </c>
      <c r="D74" s="117" t="s">
        <v>1901</v>
      </c>
    </row>
    <row r="75" spans="1:5" ht="15.75" customHeight="1">
      <c r="A75" s="131" t="str">
        <f>HYPERLINK("https://www.ncbi.nlm.nih.gov/pubmed/10189703","Matsunaga et al 1999")</f>
        <v>Matsunaga et al 1999</v>
      </c>
      <c r="B75" s="132">
        <v>1999</v>
      </c>
      <c r="C75" s="117" t="s">
        <v>1882</v>
      </c>
      <c r="D75" s="117" t="s">
        <v>1902</v>
      </c>
    </row>
    <row r="76" spans="1:5" ht="15.75" customHeight="1">
      <c r="A76" s="131" t="str">
        <f>HYPERLINK("https://doi.org/10.1002/(SICI)1520-6408(1999)25:3&lt;267::AID-DVG9&gt;3.0.CO;2-9","Scutt et al 1999")</f>
        <v>Scutt et al 1999</v>
      </c>
      <c r="B76" s="132">
        <v>1999</v>
      </c>
      <c r="C76" s="117" t="s">
        <v>1707</v>
      </c>
      <c r="D76" s="117" t="s">
        <v>2309</v>
      </c>
    </row>
    <row r="77" spans="1:5" ht="15.75" customHeight="1">
      <c r="A77" s="131" t="str">
        <f>HYPERLINK("https://doi.org/10.1007/s004120050377","Shibata et al 1999")</f>
        <v>Shibata et al 1999</v>
      </c>
      <c r="B77" s="132">
        <v>1999</v>
      </c>
      <c r="C77" s="117" t="s">
        <v>1882</v>
      </c>
      <c r="D77" s="117" t="s">
        <v>1899</v>
      </c>
    </row>
    <row r="78" spans="1:5" ht="15.75" customHeight="1">
      <c r="A78" s="131" t="str">
        <f>HYPERLINK("https://doi.org/10.1139/g99-001","Terauchi and Kahl 1999")</f>
        <v>Terauchi and Kahl 1999</v>
      </c>
      <c r="B78" s="132">
        <v>1999</v>
      </c>
      <c r="C78" s="117" t="s">
        <v>1707</v>
      </c>
      <c r="D78" s="117" t="s">
        <v>1897</v>
      </c>
      <c r="E78" s="142"/>
    </row>
    <row r="79" spans="1:5" ht="18" customHeight="1">
      <c r="A79" s="131" t="str">
        <f>HYPERLINK("https://link.springer.com/article/10.1007/s004970000049","Caporali et al 2000")</f>
        <v>Caporali et al 2000</v>
      </c>
      <c r="B79" s="132">
        <v>2000</v>
      </c>
      <c r="C79" s="117" t="s">
        <v>1707</v>
      </c>
      <c r="D79" s="117" t="s">
        <v>1904</v>
      </c>
    </row>
    <row r="80" spans="1:5" ht="15.75" customHeight="1">
      <c r="A80" s="128" t="str">
        <f>HYPERLINK("https://doi.org/10.1007/s004970050009","Monéger et al 2000")</f>
        <v>Monéger et al 2000</v>
      </c>
      <c r="B80" s="132">
        <v>2000</v>
      </c>
      <c r="C80" s="117" t="s">
        <v>1704</v>
      </c>
      <c r="D80" s="117" t="s">
        <v>2310</v>
      </c>
    </row>
    <row r="81" spans="1:26" ht="15.75" customHeight="1">
      <c r="A81" s="131" t="str">
        <f>HYPERLINK("https://doi.org/10.1046/j.1365-313x.2000.00882.x","Okada et al 2000")</f>
        <v>Okada et al 2000</v>
      </c>
      <c r="B81" s="132">
        <v>2000</v>
      </c>
      <c r="C81" s="117" t="s">
        <v>1882</v>
      </c>
      <c r="D81" s="117" t="s">
        <v>1909</v>
      </c>
    </row>
    <row r="82" spans="1:26" ht="15.75" customHeight="1">
      <c r="A82" s="131" t="str">
        <f>HYPERLINK("https://www.ncbi.nlm.nih.gov/pubmed/11202435","Sakamoto et al 2000")</f>
        <v>Sakamoto et al 2000</v>
      </c>
      <c r="B82" s="132">
        <v>2000</v>
      </c>
      <c r="C82" s="117" t="s">
        <v>1882</v>
      </c>
      <c r="D82" s="117" t="s">
        <v>2311</v>
      </c>
    </row>
    <row r="83" spans="1:26" ht="15.75" customHeight="1">
      <c r="A83" s="131" t="str">
        <f>HYPERLINK("https://doi.org/10.1104/pp.124.2.627","Sheppard et al 2000")</f>
        <v>Sheppard et al 2000</v>
      </c>
      <c r="B83" s="132">
        <v>2000</v>
      </c>
      <c r="C83" s="117" t="s">
        <v>1707</v>
      </c>
      <c r="D83" s="117" t="s">
        <v>2312</v>
      </c>
    </row>
    <row r="84" spans="1:26" ht="15.75" customHeight="1">
      <c r="A84" s="143" t="str">
        <f>HYPERLINK("https://www.ncbi.nlm.nih.gov/pubmed/10791829","Shibata et al 2000")</f>
        <v>Shibata et al 2000</v>
      </c>
      <c r="B84" s="132">
        <v>2000</v>
      </c>
      <c r="C84" s="117" t="s">
        <v>1715</v>
      </c>
      <c r="D84" s="117" t="s">
        <v>1912</v>
      </c>
    </row>
    <row r="85" spans="1:26" ht="15.75" customHeight="1">
      <c r="A85" s="143" t="str">
        <f>HYPERLINK("https://link.springer.com/article/10.1023/A:1009252913344","Shibata et al 2000")</f>
        <v>Shibata et al 2000</v>
      </c>
      <c r="B85" s="132">
        <v>2000</v>
      </c>
      <c r="C85" s="117" t="s">
        <v>1882</v>
      </c>
      <c r="D85" s="117" t="s">
        <v>2313</v>
      </c>
    </row>
    <row r="86" spans="1:26" ht="15.75" customHeight="1">
      <c r="A86" s="133" t="str">
        <f>HYPERLINK("https://www.bioversityinternational.org/fileadmin/PGR/article-issue_121-art_11-lang_en.html","Shibu et al 2000")</f>
        <v>Shibu et al 2000</v>
      </c>
      <c r="B86" s="132">
        <v>2000</v>
      </c>
      <c r="C86" s="117" t="s">
        <v>1707</v>
      </c>
      <c r="D86" s="117" t="s">
        <v>1910</v>
      </c>
    </row>
    <row r="87" spans="1:26" ht="15.75" customHeight="1">
      <c r="A87" s="131" t="str">
        <f>HYPERLINK("https://doi.org/10.1093/oxfordjournals.molbev.a003762","Atanassov et al 2001")</f>
        <v>Atanassov et al 2001</v>
      </c>
      <c r="B87" s="132">
        <v>2001</v>
      </c>
      <c r="C87" s="117" t="s">
        <v>1707</v>
      </c>
      <c r="D87" s="117" t="s">
        <v>1921</v>
      </c>
    </row>
    <row r="88" spans="1:26" ht="15.75" customHeight="1">
      <c r="A88" s="128" t="str">
        <f>HYPERLINK("https://doi.org/10.1093/oxfordjournals.molbev.a003930","Filatov et al 2001")</f>
        <v>Filatov et al 2001</v>
      </c>
      <c r="B88" s="132">
        <v>2001</v>
      </c>
      <c r="C88" s="117" t="s">
        <v>1707</v>
      </c>
      <c r="D88" s="117" t="s">
        <v>1922</v>
      </c>
      <c r="E88" s="142"/>
    </row>
    <row r="89" spans="1:26" ht="15.75" customHeight="1">
      <c r="A89" s="131" t="str">
        <f>HYPERLINK("http://www.genetics.org/content/159/3/981","Fujisawa et al 2001")</f>
        <v>Fujisawa et al 2001</v>
      </c>
      <c r="B89" s="132">
        <v>2001</v>
      </c>
      <c r="C89" s="117" t="s">
        <v>1707</v>
      </c>
      <c r="D89" s="117" t="s">
        <v>1916</v>
      </c>
    </row>
    <row r="90" spans="1:26" ht="15.75" customHeight="1">
      <c r="A90" s="128" t="str">
        <f>HYPERLINK("http://www.genetics.org/content/158/3/1269","Kejnovský et al 2001")</f>
        <v>Kejnovský et al 2001</v>
      </c>
      <c r="B90" s="132">
        <v>2001</v>
      </c>
      <c r="C90" s="117" t="s">
        <v>1882</v>
      </c>
      <c r="D90" s="117" t="s">
        <v>1923</v>
      </c>
    </row>
    <row r="91" spans="1:26" ht="15.75" customHeight="1">
      <c r="A91" s="131" t="str">
        <f>HYPERLINK("https://bioone.org/journals/The-Bryologist/volume-104/issue-4/0007-2745(2001)104[0543:IODRST]2.0.CO;2/Identification-of-DNA-Regions-Specific-to-the-X-and-Y/10.1639/0007-2745(2001)104[0543:IODRST]2.0.CO;2.full","McLetchie and Collins 2001")</f>
        <v>McLetchie and Collins 2001</v>
      </c>
      <c r="B91" s="132">
        <v>2001</v>
      </c>
      <c r="C91" s="117" t="s">
        <v>1707</v>
      </c>
      <c r="D91" s="117" t="s">
        <v>1925</v>
      </c>
    </row>
    <row r="92" spans="1:26" ht="15.75" customHeight="1">
      <c r="A92" s="128" t="str">
        <f>HYPERLINK("https://doi.org/10.1016/S0764-4469(01)01322-1","Monéger 2001")</f>
        <v>Monéger 2001</v>
      </c>
      <c r="B92" s="144">
        <v>2001</v>
      </c>
      <c r="C92" s="142" t="s">
        <v>1704</v>
      </c>
      <c r="D92" s="142" t="s">
        <v>1924</v>
      </c>
    </row>
    <row r="93" spans="1:26" ht="15.75" customHeight="1">
      <c r="A93" s="128" t="str">
        <f>HYPERLINK("https://www.jstage.jst.go.jp/article/cytologia1929/66/1/66_1_55/_pdf","Sinha et al 2001")</f>
        <v>Sinha et al 2001</v>
      </c>
      <c r="B93" s="132">
        <v>2001</v>
      </c>
      <c r="C93" s="117" t="s">
        <v>1707</v>
      </c>
      <c r="D93" s="117" t="s">
        <v>1918</v>
      </c>
    </row>
    <row r="94" spans="1:26" ht="15.75" customHeight="1">
      <c r="A94" s="131" t="str">
        <f>HYPERLINK("https://www.ncbi.nlm.nih.gov/pubmed/11729166","Wolf et al 2001")</f>
        <v>Wolf et al 2001</v>
      </c>
      <c r="B94" s="132">
        <v>2001</v>
      </c>
      <c r="C94" s="117" t="s">
        <v>1707</v>
      </c>
      <c r="D94" s="117" t="s">
        <v>1920</v>
      </c>
    </row>
    <row r="95" spans="1:26" ht="15.75" customHeight="1">
      <c r="A95" s="145" t="str">
        <f>HYPERLINK("https://link.springer.com/content/pdf/10.1023/A:1011676328165.pdf","Nakayama et al 2001")</f>
        <v>Nakayama et al 2001</v>
      </c>
      <c r="B95" s="146">
        <v>2001</v>
      </c>
      <c r="C95" s="147" t="s">
        <v>1740</v>
      </c>
      <c r="D95" s="148" t="s">
        <v>1917</v>
      </c>
      <c r="E95" s="147"/>
      <c r="F95" s="147"/>
      <c r="G95" s="147"/>
      <c r="H95" s="147"/>
      <c r="I95" s="147"/>
      <c r="J95" s="147"/>
      <c r="K95" s="147"/>
      <c r="L95" s="147"/>
      <c r="M95" s="147"/>
      <c r="N95" s="147"/>
      <c r="O95" s="147"/>
      <c r="P95" s="147"/>
      <c r="Q95" s="147"/>
      <c r="R95" s="147"/>
      <c r="S95" s="147"/>
      <c r="T95" s="147"/>
      <c r="U95" s="147"/>
      <c r="V95" s="147"/>
      <c r="W95" s="147"/>
      <c r="X95" s="147"/>
      <c r="Y95" s="147"/>
      <c r="Z95" s="147"/>
    </row>
    <row r="96" spans="1:26" ht="15.75" customHeight="1">
      <c r="A96" s="131" t="str">
        <f>HYPERLINK("https://doi.org/10.1139/G01-143","Grabowska-Joachimiak and Joachimiak 2002")</f>
        <v>Grabowska-Joachimiak and Joachimiak 2002</v>
      </c>
      <c r="B96" s="132">
        <v>2002</v>
      </c>
      <c r="C96" s="117" t="s">
        <v>1715</v>
      </c>
      <c r="D96" s="117" t="s">
        <v>1932</v>
      </c>
    </row>
    <row r="97" spans="1:26" ht="15.75" customHeight="1">
      <c r="A97" s="133" t="str">
        <f>HYPERLINK("https://onlinelibrary.wiley.com/doi/pdf/10.1034/j.1601-5223.2002.01610.x","Hunziker et al 2002")</f>
        <v>Hunziker et al 2002</v>
      </c>
      <c r="B97" s="132">
        <v>2002</v>
      </c>
      <c r="C97" s="117" t="s">
        <v>1715</v>
      </c>
      <c r="D97" s="117" t="s">
        <v>1931</v>
      </c>
    </row>
    <row r="98" spans="1:26" ht="15.75" customHeight="1">
      <c r="A98" s="128" t="str">
        <f>HYPERLINK("https://doi.org/10.1139/G02-052","Janousek et al 2002")</f>
        <v>Janousek et al 2002</v>
      </c>
      <c r="B98" s="132">
        <v>2002</v>
      </c>
      <c r="C98" s="117" t="s">
        <v>1707</v>
      </c>
      <c r="D98" s="117" t="s">
        <v>1933</v>
      </c>
    </row>
    <row r="99" spans="1:26" ht="15.75" customHeight="1">
      <c r="A99" s="128" t="str">
        <f>HYPERLINK("http://www.genetics.org/content/160/2/717.long","Lebel-Hardenack et al 2002")</f>
        <v>Lebel-Hardenack et al 2002</v>
      </c>
      <c r="B99" s="132">
        <v>2002</v>
      </c>
      <c r="C99" s="117" t="s">
        <v>1707</v>
      </c>
      <c r="D99" s="117" t="s">
        <v>1934</v>
      </c>
    </row>
    <row r="100" spans="1:26" ht="15.75" customHeight="1">
      <c r="A100" s="131" t="str">
        <f>HYPERLINK("https://link.springer.com/article/10.1023/A:1016382128401","Mandolino et al 2002")</f>
        <v>Mandolino et al 2002</v>
      </c>
      <c r="B100" s="132">
        <v>2002</v>
      </c>
      <c r="C100" s="117" t="s">
        <v>1707</v>
      </c>
      <c r="D100" s="117" t="s">
        <v>1926</v>
      </c>
    </row>
    <row r="101" spans="1:26" ht="15.75" customHeight="1">
      <c r="A101" s="131" t="str">
        <f>HYPERLINK("https://www.ncbi.nlm.nih.gov/pubmed/12175078","Matsunaga et al 2002")</f>
        <v>Matsunaga et al 2002</v>
      </c>
      <c r="B101" s="132">
        <v>2002</v>
      </c>
      <c r="C101" s="117" t="s">
        <v>1882</v>
      </c>
      <c r="D101" s="117" t="s">
        <v>1935</v>
      </c>
    </row>
    <row r="102" spans="1:26" ht="15.75" customHeight="1">
      <c r="A102" s="131" t="str">
        <f>HYPERLINK("https://doi.org/10.1139/G01-151","Nakao et al 2002")</f>
        <v>Nakao et al 2002</v>
      </c>
      <c r="B102" s="132">
        <v>2002</v>
      </c>
      <c r="C102" s="117" t="s">
        <v>1882</v>
      </c>
      <c r="D102" s="117" t="s">
        <v>1936</v>
      </c>
    </row>
    <row r="103" spans="1:26" ht="15.75" customHeight="1">
      <c r="A103" s="128" t="str">
        <f>HYPERLINK("https://doi.org/10.1266/ggs.77.393","Obara et al 2002")</f>
        <v>Obara et al 2002</v>
      </c>
      <c r="B103" s="132">
        <v>2002</v>
      </c>
      <c r="C103" s="117" t="s">
        <v>1707</v>
      </c>
      <c r="D103" s="117" t="s">
        <v>2314</v>
      </c>
    </row>
    <row r="104" spans="1:26" ht="15.75" customHeight="1">
      <c r="A104" s="131" t="str">
        <f>HYPERLINK("https://doi.org/10.1007/s00412-002-0213-5","Uchida et al 2002")</f>
        <v>Uchida et al 2002</v>
      </c>
      <c r="B104" s="132">
        <v>2002</v>
      </c>
      <c r="C104" s="117" t="s">
        <v>1882</v>
      </c>
      <c r="D104" s="117" t="s">
        <v>1938</v>
      </c>
    </row>
    <row r="105" spans="1:26" ht="15.75" customHeight="1">
      <c r="A105" s="131" t="str">
        <f>HYPERLINK("https://doi.org/10.1016/S0925-4773(02)00041-2","Zhang et al 2002")</f>
        <v>Zhang et al 2002</v>
      </c>
      <c r="B105" s="132">
        <v>2002</v>
      </c>
      <c r="C105" s="117" t="s">
        <v>1707</v>
      </c>
      <c r="D105" s="117" t="s">
        <v>2315</v>
      </c>
    </row>
    <row r="106" spans="1:26" ht="15.75" customHeight="1">
      <c r="A106" s="145" t="str">
        <f>HYPERLINK("https://academic.oup.com/nar/article/30/21/4675/1105300","Ishizaki et al 2002")</f>
        <v>Ishizaki et al 2002</v>
      </c>
      <c r="B106" s="146">
        <v>2002</v>
      </c>
      <c r="C106" s="147" t="s">
        <v>1707</v>
      </c>
      <c r="D106" s="148" t="s">
        <v>1929</v>
      </c>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spans="1:26" ht="15.75" customHeight="1">
      <c r="A107" s="133" t="str">
        <f>HYPERLINK("https://www.ncbi.nlm.nih.gov/pmc/articles/PMC1691578/pdf/15058400.pdf","Dorken and Barrett 2003")</f>
        <v>Dorken and Barrett 2003</v>
      </c>
      <c r="B107" s="132">
        <v>2003</v>
      </c>
      <c r="C107" s="117" t="s">
        <v>1704</v>
      </c>
      <c r="D107" s="117" t="s">
        <v>1956</v>
      </c>
    </row>
    <row r="108" spans="1:26" ht="15.75" customHeight="1">
      <c r="A108" s="131" t="str">
        <f>HYPERLINK("https://doi.org/10.1023/A:1025941206391","Fujisawa et al 2003")</f>
        <v>Fujisawa et al 2003</v>
      </c>
      <c r="B108" s="132">
        <v>2003</v>
      </c>
      <c r="C108" s="117" t="s">
        <v>1882</v>
      </c>
      <c r="D108" s="117" t="s">
        <v>1942</v>
      </c>
    </row>
    <row r="109" spans="1:26" ht="15.75" customHeight="1">
      <c r="A109" s="131" t="str">
        <f>HYPERLINK("https://doi.org/10.1007/s10265-003-0106-6","Kazama et al 2003")</f>
        <v>Kazama et al 2003</v>
      </c>
      <c r="B109" s="132">
        <v>2003</v>
      </c>
      <c r="C109" s="117" t="s">
        <v>1882</v>
      </c>
      <c r="D109" s="117" t="s">
        <v>2316</v>
      </c>
    </row>
    <row r="110" spans="1:26" ht="15.75" customHeight="1">
      <c r="A110" s="128" t="str">
        <f>HYPERLINK("https://www.ncbi.nlm.nih.gov/pmc/articles/PMC1462768/","Lengerova et al 2003")</f>
        <v>Lengerova et al 2003</v>
      </c>
      <c r="B110" s="132">
        <v>2003</v>
      </c>
      <c r="C110" s="117" t="s">
        <v>1882</v>
      </c>
      <c r="D110" s="117" t="s">
        <v>1946</v>
      </c>
    </row>
    <row r="111" spans="1:26" ht="15.75" customHeight="1">
      <c r="A111" s="131" t="str">
        <f>HYPERLINK("https://doi.org/10.1093/molbev/msg114","Matsunaga et al 2003")</f>
        <v>Matsunaga et al 2003</v>
      </c>
      <c r="B111" s="132">
        <v>2003</v>
      </c>
      <c r="C111" s="117" t="s">
        <v>1707</v>
      </c>
      <c r="D111" s="117" t="s">
        <v>2317</v>
      </c>
    </row>
    <row r="112" spans="1:26" ht="15.75" customHeight="1">
      <c r="A112" s="131" t="str">
        <f>HYPERLINK("http://www.genetics.org/content/163/1/321.long","Moore et al 2003")</f>
        <v>Moore et al 2003</v>
      </c>
      <c r="B112" s="132">
        <v>2003</v>
      </c>
      <c r="C112" s="117" t="s">
        <v>1882</v>
      </c>
      <c r="D112" s="117" t="s">
        <v>1948</v>
      </c>
    </row>
    <row r="113" spans="1:4" ht="15.75" customHeight="1">
      <c r="A113" s="131" t="str">
        <f>HYPERLINK("https://link.springer.com/article/10.1007%2Fs00122-003-1212-5","Peil et al 2003")</f>
        <v>Peil et al 2003</v>
      </c>
      <c r="B113" s="132">
        <v>2003</v>
      </c>
      <c r="C113" s="117" t="s">
        <v>1707</v>
      </c>
      <c r="D113" s="117" t="s">
        <v>2318</v>
      </c>
    </row>
    <row r="114" spans="1:4" ht="15.75" customHeight="1">
      <c r="A114" s="131" t="str">
        <f>HYPERLINK("https://www.ncbi.nlm.nih.gov/pmc/articles/PMC1462803/","Pritham et al 2003")</f>
        <v>Pritham et al 2003</v>
      </c>
      <c r="B114" s="132">
        <v>2003</v>
      </c>
      <c r="C114" s="117" t="s">
        <v>1707</v>
      </c>
      <c r="D114" s="117" t="s">
        <v>1949</v>
      </c>
    </row>
    <row r="115" spans="1:4" ht="15.75" customHeight="1">
      <c r="A115" s="131" t="str">
        <f>HYPERLINK("https://doi.org/10.1093/dnares/10.5.213","Sugiyama et al 2003")</f>
        <v>Sugiyama et al 2003</v>
      </c>
      <c r="B115" s="132">
        <v>2003</v>
      </c>
      <c r="C115" s="117" t="s">
        <v>1707</v>
      </c>
      <c r="D115" s="117" t="s">
        <v>2319</v>
      </c>
    </row>
    <row r="116" spans="1:4" ht="15.75" customHeight="1">
      <c r="A116" s="131" t="str">
        <f>HYPERLINK("https://www.researchgate.net/publication/10787588_Characterization_of_telomere-subtelomere_junctions_in_Silene_latifolia","Sykorova et al 2003")</f>
        <v>Sykorova et al 2003</v>
      </c>
      <c r="B116" s="132">
        <v>2003</v>
      </c>
      <c r="C116" s="117" t="s">
        <v>1882</v>
      </c>
      <c r="D116" s="117" t="s">
        <v>2320</v>
      </c>
    </row>
    <row r="117" spans="1:4" ht="15.75" customHeight="1">
      <c r="A117" s="139" t="str">
        <f>HYPERLINK("https://link.springer.com/chapter/10.1007%2F978-94-007-0944-7_21","Chah et al 2004")</f>
        <v>Chah et al 2004</v>
      </c>
      <c r="B117" s="132">
        <v>2004</v>
      </c>
      <c r="C117" s="117" t="s">
        <v>1715</v>
      </c>
      <c r="D117" s="117" t="s">
        <v>1955</v>
      </c>
    </row>
    <row r="118" spans="1:4" ht="15.75" customHeight="1">
      <c r="A118" s="131" t="str">
        <f>HYPERLINK("https://doi.org/10.1093/molbev/msi003","Filatov 2004")</f>
        <v>Filatov 2004</v>
      </c>
      <c r="B118" s="132">
        <v>2004</v>
      </c>
      <c r="C118" s="117" t="s">
        <v>1707</v>
      </c>
      <c r="D118" s="117" t="s">
        <v>2321</v>
      </c>
    </row>
    <row r="119" spans="1:4" ht="15.75" customHeight="1">
      <c r="A119" s="131" t="str">
        <f>HYPERLINK("https://www.researchgate.net/publication/287851210_Variability_of_rDNA_loci_in_dioecious_Rumex_acetosa_L_detected_by_fluorescence_in_situ_hybridization","Hur et al 2004")</f>
        <v>Hur et al 2004</v>
      </c>
      <c r="B119" s="132">
        <v>2004</v>
      </c>
      <c r="C119" s="117" t="s">
        <v>1882</v>
      </c>
      <c r="D119" s="117" t="s">
        <v>1963</v>
      </c>
    </row>
    <row r="120" spans="1:4" ht="15.75" customHeight="1">
      <c r="A120" s="131" t="str">
        <f>HYPERLINK("https://www.nature.com/articles/nature02228","Liu et al 2004")</f>
        <v>Liu et al 2004</v>
      </c>
      <c r="B120" s="132">
        <v>2004</v>
      </c>
      <c r="C120" s="117" t="s">
        <v>1882</v>
      </c>
      <c r="D120" s="117" t="s">
        <v>2322</v>
      </c>
    </row>
    <row r="121" spans="1:4" ht="15.75" customHeight="1">
      <c r="A121" s="131" t="str">
        <f>HYPERLINK("https://link.springer.com/article/10.1007/s10681-004-4758-7","Moliterni et al 2004")</f>
        <v>Moliterni et al 2004</v>
      </c>
      <c r="B121" s="132">
        <v>2004</v>
      </c>
      <c r="C121" s="117" t="s">
        <v>1707</v>
      </c>
      <c r="D121" s="117" t="s">
        <v>1952</v>
      </c>
    </row>
    <row r="122" spans="1:4" ht="19.5" customHeight="1">
      <c r="A122" s="131" t="str">
        <f>HYPERLINK("https://doi.org/10.1371/journal.pbio.0030004","Nicolas et al 2004")</f>
        <v>Nicolas et al 2004</v>
      </c>
      <c r="B122" s="132">
        <v>2004</v>
      </c>
      <c r="C122" s="117" t="s">
        <v>1704</v>
      </c>
      <c r="D122" s="117" t="s">
        <v>2323</v>
      </c>
    </row>
    <row r="123" spans="1:4" ht="15.75" customHeight="1">
      <c r="A123" s="131" t="str">
        <f>HYPERLINK("https://www.researchgate.net/publication/286981393_Identification_of_a_long_Y-chromosome_enriched_repetitive_sequence_in_Rumex_acetosa_L","Park et al 2004")</f>
        <v>Park et al 2004</v>
      </c>
      <c r="B123" s="132">
        <v>2004</v>
      </c>
      <c r="C123" s="117" t="s">
        <v>1882</v>
      </c>
      <c r="D123" s="117" t="s">
        <v>1964</v>
      </c>
    </row>
    <row r="124" spans="1:4" ht="15.75" customHeight="1">
      <c r="A124" s="133" t="str">
        <f>HYPERLINK("https://link.springer.com/content/pdf/10.1007%2Fs00497-004-0208-x.pdf","Parrish et al 2004")</f>
        <v>Parrish et al 2004</v>
      </c>
      <c r="B124" s="132">
        <v>2004</v>
      </c>
      <c r="C124" s="117" t="s">
        <v>1882</v>
      </c>
      <c r="D124" s="117" t="s">
        <v>1957</v>
      </c>
    </row>
    <row r="125" spans="1:4" ht="15.75" customHeight="1">
      <c r="A125" s="131" t="str">
        <f>HYPERLINK("https://doi.org/10.1007/s00122-003-1425-7","Stehlik and Blattner 2004")</f>
        <v>Stehlik and Blattner 2004</v>
      </c>
      <c r="B125" s="132">
        <v>2004</v>
      </c>
      <c r="C125" s="117" t="s">
        <v>1707</v>
      </c>
      <c r="D125" s="117" t="s">
        <v>1965</v>
      </c>
    </row>
    <row r="126" spans="1:4" ht="15.75" customHeight="1">
      <c r="A126" s="128" t="str">
        <f>HYPERLINK("https://doi.org/10.1007/BF02805244","Suda et al 2004")</f>
        <v>Suda et al 2004</v>
      </c>
      <c r="B126" s="132">
        <v>2004</v>
      </c>
      <c r="C126" s="117" t="s">
        <v>1715</v>
      </c>
      <c r="D126" s="117" t="s">
        <v>1958</v>
      </c>
    </row>
    <row r="127" spans="1:4" ht="18" customHeight="1">
      <c r="A127" s="133" t="str">
        <f>HYPERLINK("https://link.springer.com/content/pdf/10.1023%2FB%3AEUPH.0000032741.99885.c4.pdf","Xu et al 2004")</f>
        <v>Xu et al 2004</v>
      </c>
      <c r="B127" s="132">
        <v>2004</v>
      </c>
      <c r="C127" s="117" t="s">
        <v>1707</v>
      </c>
      <c r="D127" s="117" t="s">
        <v>1959</v>
      </c>
    </row>
    <row r="128" spans="1:4" ht="18" customHeight="1">
      <c r="A128" s="143" t="str">
        <f>HYPERLINK("https://nph.onlinelibrary.wiley.com/doi/pdf/10.1111/j.1469-8137.2005.01281.x","Ainsworth et al 2005")</f>
        <v>Ainsworth et al 2005</v>
      </c>
      <c r="B128" s="132">
        <v>2005</v>
      </c>
      <c r="C128" s="117" t="s">
        <v>1715</v>
      </c>
      <c r="D128" s="117" t="s">
        <v>2324</v>
      </c>
    </row>
    <row r="129" spans="1:4" ht="15.75" customHeight="1">
      <c r="A129" s="131" t="str">
        <f>HYPERLINK("https://onlinelibrary.wiley.com/doi/full/10.1111/j.1365-313X.2005.02336.x","Di Stilio et al 2005")</f>
        <v>Di Stilio et al 2005</v>
      </c>
      <c r="B129" s="132">
        <v>2005</v>
      </c>
      <c r="C129" s="117" t="s">
        <v>1740</v>
      </c>
      <c r="D129" s="117" t="s">
        <v>1972</v>
      </c>
    </row>
    <row r="130" spans="1:4" ht="15.75" customHeight="1">
      <c r="A130" s="133" t="str">
        <f>HYPERLINK("https://www.ncbi.nlm.nih.gov/pmc/articles/PMC1456801/","Ironside and Filatov 2005")</f>
        <v>Ironside and Filatov 2005</v>
      </c>
      <c r="B130" s="132">
        <v>2005</v>
      </c>
      <c r="C130" s="117" t="s">
        <v>1707</v>
      </c>
      <c r="D130" s="117" t="s">
        <v>1978</v>
      </c>
    </row>
    <row r="131" spans="1:4" ht="15.75" customHeight="1">
      <c r="A131" s="131" t="str">
        <f>HYPERLINK("https://doi.org/10.1007/s00425-004-1365-8","Jenkins et al 2005")</f>
        <v>Jenkins et al 2005</v>
      </c>
      <c r="B131" s="132">
        <v>2005</v>
      </c>
      <c r="C131" s="117" t="s">
        <v>1707</v>
      </c>
      <c r="D131" s="117" t="s">
        <v>1979</v>
      </c>
    </row>
    <row r="132" spans="1:4" ht="15.75" customHeight="1">
      <c r="A132" s="131" t="str">
        <f>HYPERLINK("http://www.ndsl.kr/ndsl/search/detail/article/articleSearchResultDetail.do?cn=JAKO200503018546440","Jin et al 2005")</f>
        <v>Jin et al 2005</v>
      </c>
      <c r="B132" s="132">
        <v>2005</v>
      </c>
      <c r="C132" s="117" t="s">
        <v>1740</v>
      </c>
      <c r="D132" s="117" t="s">
        <v>1976</v>
      </c>
    </row>
    <row r="133" spans="1:4" ht="15.75" customHeight="1">
      <c r="A133" s="131" t="str">
        <f>HYPERLINK("https://doi.org/10.1093/pcp/pci080","Kazama et al 2005")</f>
        <v>Kazama et al 2005</v>
      </c>
      <c r="B133" s="132">
        <v>2005</v>
      </c>
      <c r="C133" s="117" t="s">
        <v>1707</v>
      </c>
      <c r="D133" s="117" t="s">
        <v>2325</v>
      </c>
    </row>
    <row r="134" spans="1:4" ht="15.75" customHeight="1">
      <c r="A134" s="131" t="str">
        <f>HYPERLINK("https://doi.org/10.1266/ggs.80.395","Matsunaga et al 2005")</f>
        <v>Matsunaga et al 2005</v>
      </c>
      <c r="B134" s="132">
        <v>2005</v>
      </c>
      <c r="C134" s="117" t="s">
        <v>1707</v>
      </c>
      <c r="D134" s="117" t="s">
        <v>2326</v>
      </c>
    </row>
    <row r="135" spans="1:4" ht="15.75" customHeight="1">
      <c r="A135" s="143" t="str">
        <f>HYPERLINK("https://doi.org/10.1007/s00239-004-0199-0","Navajas-Pérez et al 2005")</f>
        <v>Navajas-Pérez et al 2005</v>
      </c>
      <c r="B135" s="132">
        <v>2005</v>
      </c>
      <c r="C135" s="117" t="s">
        <v>1707</v>
      </c>
      <c r="D135" s="117" t="s">
        <v>2327</v>
      </c>
    </row>
    <row r="136" spans="1:4" ht="15.75" customHeight="1">
      <c r="A136" s="133" t="str">
        <f>HYPERLINK("https://dl.sciencesocieties.org/publications/cs/abstracts/45/6/2529","Renganayaki et al 2005")</f>
        <v>Renganayaki et al 2005</v>
      </c>
      <c r="B136" s="132">
        <v>2005</v>
      </c>
      <c r="C136" s="117" t="s">
        <v>1707</v>
      </c>
      <c r="D136" s="117" t="s">
        <v>2328</v>
      </c>
    </row>
    <row r="137" spans="1:4" ht="15.75" customHeight="1">
      <c r="A137" s="131" t="str">
        <f>HYPERLINK("https://doi.org/10.1534/genetics.105.040444","Zluvova et al 2005")</f>
        <v>Zluvova et al 2005</v>
      </c>
      <c r="B137" s="132">
        <v>2005</v>
      </c>
      <c r="C137" s="117" t="s">
        <v>1707</v>
      </c>
      <c r="D137" s="117" t="s">
        <v>1982</v>
      </c>
    </row>
    <row r="138" spans="1:4" ht="15.75" customHeight="1">
      <c r="A138" s="131" t="str">
        <f>HYPERLINK("https://doi.org/10.1007/s00122-006-0293-3","Hobza et al 2006")</f>
        <v>Hobza et al 2006</v>
      </c>
      <c r="B138" s="132">
        <v>2006</v>
      </c>
      <c r="C138" s="117" t="s">
        <v>1707</v>
      </c>
      <c r="D138" s="117" t="s">
        <v>2329</v>
      </c>
    </row>
    <row r="139" spans="1:4" ht="15.75" customHeight="1">
      <c r="A139" s="131" t="str">
        <f>HYPERLINK("https://doi.org/10.1007/s00412-006-0065-5","Hobza et al 2006")</f>
        <v>Hobza et al 2006</v>
      </c>
      <c r="B139" s="132">
        <v>2006</v>
      </c>
      <c r="C139" s="117" t="s">
        <v>1740</v>
      </c>
      <c r="D139" s="117" t="s">
        <v>1987</v>
      </c>
    </row>
    <row r="140" spans="1:4" ht="15.75" customHeight="1">
      <c r="A140" s="131" t="str">
        <f>HYPERLINK("https://link.springer.com/article/10.1007/s00497-006-0030-8","Kanno et al 2006")</f>
        <v>Kanno et al 2006</v>
      </c>
      <c r="B140" s="132">
        <v>2006</v>
      </c>
      <c r="C140" s="117" t="s">
        <v>1707</v>
      </c>
      <c r="D140" s="117" t="s">
        <v>2330</v>
      </c>
    </row>
    <row r="141" spans="1:4" ht="15.75" customHeight="1">
      <c r="A141" s="131" t="str">
        <f>HYPERLINK("https://doi.org/10.1007/s10709-005-5701-0","Kejnovsky et al 2006")</f>
        <v>Kejnovsky et al 2006</v>
      </c>
      <c r="B141" s="132">
        <v>2006</v>
      </c>
      <c r="C141" s="117" t="s">
        <v>1740</v>
      </c>
      <c r="D141" s="117" t="s">
        <v>1990</v>
      </c>
    </row>
    <row r="142" spans="1:4" ht="15.75" customHeight="1">
      <c r="A142" s="131" t="str">
        <f>HYPERLINK("https://doi.org/10.1007/s00438-006-0140-x","Kejnovsky et al 2006")</f>
        <v>Kejnovsky et al 2006</v>
      </c>
      <c r="B142" s="132">
        <v>2006</v>
      </c>
      <c r="C142" s="117" t="s">
        <v>1740</v>
      </c>
      <c r="D142" s="117" t="s">
        <v>1992</v>
      </c>
    </row>
    <row r="143" spans="1:4" ht="15.75" customHeight="1">
      <c r="A143" s="133" t="str">
        <f>HYPERLINK("https://link.springer.com/article/10.1007/s10681-005-9031-1","Khattak et al 2006")</f>
        <v>Khattak et al 2006</v>
      </c>
      <c r="B143" s="132">
        <v>2006</v>
      </c>
      <c r="C143" s="117" t="s">
        <v>1740</v>
      </c>
      <c r="D143" s="117" t="s">
        <v>1994</v>
      </c>
    </row>
    <row r="144" spans="1:4" ht="15.75" customHeight="1">
      <c r="A144" s="131" t="str">
        <f>HYPERLINK("https://doi.org/10.1139/G05-089","Mariotti et al 2006")</f>
        <v>Mariotti et al 2006</v>
      </c>
      <c r="B144" s="132">
        <v>2006</v>
      </c>
      <c r="C144" s="117" t="s">
        <v>1740</v>
      </c>
      <c r="D144" s="117" t="s">
        <v>1985</v>
      </c>
    </row>
    <row r="145" spans="1:4" ht="15.75" customHeight="1">
      <c r="A145" s="143" t="str">
        <f>HYPERLINK("https://doi.org/10.1016/j.gene.2005.10.013","Navajas-Pérez et al 2006")</f>
        <v>Navajas-Pérez et al 2006</v>
      </c>
      <c r="B145" s="132">
        <v>2006</v>
      </c>
      <c r="C145" s="117" t="s">
        <v>1740</v>
      </c>
      <c r="D145" s="117" t="s">
        <v>1986</v>
      </c>
    </row>
    <row r="146" spans="1:4" ht="15.75" customHeight="1">
      <c r="A146" s="131" t="str">
        <f>HYPERLINK("http://dx.doi.org/10.1554/06-104.1","Obbard et al 2006")</f>
        <v>Obbard et al 2006</v>
      </c>
      <c r="B146" s="132">
        <v>2006</v>
      </c>
      <c r="C146" s="117" t="s">
        <v>1740</v>
      </c>
      <c r="D146" s="117" t="s">
        <v>2331</v>
      </c>
    </row>
    <row r="147" spans="1:4" ht="15.75" customHeight="1">
      <c r="A147" s="133" t="str">
        <f>HYPERLINK("https://link.springer.com/content/pdf/10.1007%2Fs10681-006-9198-0.pdf","Prakash and Van Staden 2006")</f>
        <v>Prakash and Van Staden 2006</v>
      </c>
      <c r="B147" s="132">
        <v>2006</v>
      </c>
      <c r="C147" s="117" t="s">
        <v>1707</v>
      </c>
      <c r="D147" s="117" t="s">
        <v>1984</v>
      </c>
    </row>
    <row r="148" spans="1:4" ht="15.75" customHeight="1">
      <c r="A148" s="131" t="str">
        <f>HYPERLINK("https://doi.org/10.1073/pnas.0606622103","Zluvova et al 2006")</f>
        <v>Zluvova et al 2006</v>
      </c>
      <c r="B148" s="132">
        <v>2006</v>
      </c>
      <c r="C148" s="117" t="s">
        <v>1707</v>
      </c>
      <c r="D148" s="117" t="s">
        <v>1993</v>
      </c>
    </row>
    <row r="149" spans="1:4" ht="15.75" customHeight="1">
      <c r="A149" s="131" t="str">
        <f>HYPERLINK("https://doi.org/10.1007/s11816-007-0031-6","Agrawal et al 2007")</f>
        <v>Agrawal et al 2007</v>
      </c>
      <c r="B149" s="132">
        <v>2007</v>
      </c>
      <c r="C149" s="117" t="s">
        <v>1707</v>
      </c>
      <c r="D149" s="117" t="s">
        <v>2012</v>
      </c>
    </row>
    <row r="150" spans="1:4" ht="15.75" customHeight="1">
      <c r="A150" s="131" t="str">
        <f>HYPERLINK("https://doi.org/10.1534/genetics.106.070110","Bergero et al 2007")</f>
        <v>Bergero et al 2007</v>
      </c>
      <c r="B150" s="132">
        <v>2007</v>
      </c>
      <c r="C150" s="117" t="s">
        <v>1707</v>
      </c>
      <c r="D150" s="117" t="s">
        <v>2010</v>
      </c>
    </row>
    <row r="151" spans="1:4" ht="15.75" customHeight="1">
      <c r="A151" s="131" t="str">
        <f>HYPERLINK("https://doi.org/10.1534/genetics.107.081463","Chen et al 2007")</f>
        <v>Chen et al 2007</v>
      </c>
      <c r="B151" s="132">
        <v>2007</v>
      </c>
      <c r="C151" s="117" t="s">
        <v>1707</v>
      </c>
      <c r="D151" s="117" t="s">
        <v>2332</v>
      </c>
    </row>
    <row r="152" spans="1:4" ht="15.75" customHeight="1">
      <c r="A152" s="131" t="str">
        <f>HYPERLINK("https://doi.org/10.1007/s10577-007-1166-6","Cuñado et al 2007")</f>
        <v>Cuñado et al 2007</v>
      </c>
      <c r="B152" s="132">
        <v>2007</v>
      </c>
      <c r="C152" s="117" t="s">
        <v>1715</v>
      </c>
      <c r="D152" s="117" t="s">
        <v>2333</v>
      </c>
    </row>
    <row r="153" spans="1:4" ht="15.75" customHeight="1">
      <c r="A153" s="131" t="str">
        <f>HYPERLINK("https://doi.org/10.1016/j.ydbio.2006.09.013","Deyhle et al 2007")</f>
        <v>Deyhle et al 2007</v>
      </c>
      <c r="B153" s="132">
        <v>2007</v>
      </c>
      <c r="C153" s="117" t="s">
        <v>1704</v>
      </c>
      <c r="D153" s="117" t="s">
        <v>2334</v>
      </c>
    </row>
    <row r="154" spans="1:4" ht="16.5" customHeight="1">
      <c r="A154" s="133" t="str">
        <f>HYPERLINK("https://www.jstor.org/stable/24097568?seq=1#page_scan_tab_contents","Gangopadhyay et al 2007")</f>
        <v>Gangopadhyay et al 2007</v>
      </c>
      <c r="B154" s="132">
        <v>2007</v>
      </c>
      <c r="C154" s="117" t="s">
        <v>1707</v>
      </c>
      <c r="D154" s="117" t="s">
        <v>1996</v>
      </c>
    </row>
    <row r="155" spans="1:4" ht="15.75" customHeight="1">
      <c r="A155" s="133" t="str">
        <f>HYPERLINK("https://www.jstor.org/stable/24099164?seq=1#page_scan_tab_contents","George et al 2007")</f>
        <v>George et al 2007</v>
      </c>
      <c r="B155" s="132">
        <v>2007</v>
      </c>
      <c r="C155" s="117" t="s">
        <v>1707</v>
      </c>
      <c r="D155" s="117" t="s">
        <v>2335</v>
      </c>
    </row>
    <row r="156" spans="1:4" ht="15.75" customHeight="1">
      <c r="A156" s="131" t="str">
        <f>HYPERLINK("https://doi.org/10.1055/s-2006-924728","Korpelainen and Kostamo 2007")</f>
        <v>Korpelainen and Kostamo 2007</v>
      </c>
      <c r="B156" s="132">
        <v>2007</v>
      </c>
      <c r="C156" s="117" t="s">
        <v>1715</v>
      </c>
      <c r="D156" s="117" t="s">
        <v>2009</v>
      </c>
    </row>
    <row r="157" spans="1:4" ht="15.75" customHeight="1">
      <c r="A157" s="131" t="str">
        <f>HYPERLINK("https://doi.org/10.1534/genetics.107.075424","McDaniel et al 2007")</f>
        <v>McDaniel et al 2007</v>
      </c>
      <c r="B157" s="132">
        <v>2007</v>
      </c>
      <c r="C157" s="117" t="s">
        <v>1707</v>
      </c>
      <c r="D157" s="117" t="s">
        <v>2001</v>
      </c>
    </row>
    <row r="158" spans="1:4" ht="15.75" customHeight="1">
      <c r="A158" s="131" t="str">
        <f>HYPERLINK("https://doi.org/10.3732/ajb.94.2.141","Ming et al 2007")</f>
        <v>Ming et al 2007</v>
      </c>
      <c r="B158" s="132">
        <v>2007</v>
      </c>
      <c r="C158" s="117" t="s">
        <v>1704</v>
      </c>
      <c r="D158" s="117" t="s">
        <v>2007</v>
      </c>
    </row>
    <row r="159" spans="1:4" ht="15.75" customHeight="1">
      <c r="A159" s="133" t="str">
        <f>HYPERLINK("https://www.ajol.info/index.php/ajb/article/view/56121","Mwase et al 2007")</f>
        <v>Mwase et al 2007</v>
      </c>
      <c r="B159" s="132">
        <v>2007</v>
      </c>
      <c r="C159" s="117" t="s">
        <v>1707</v>
      </c>
      <c r="D159" s="117" t="s">
        <v>2002</v>
      </c>
    </row>
    <row r="160" spans="1:4" ht="15.75" customHeight="1">
      <c r="A160" s="131" t="str">
        <f>HYPERLINK("https://link.springer.com/chapter/10.1007/978-3-540-71233-6_11","Navajas-Pérez et al 2007")</f>
        <v>Navajas-Pérez et al 2007</v>
      </c>
      <c r="B160" s="132">
        <v>2007</v>
      </c>
      <c r="C160" s="117" t="s">
        <v>1707</v>
      </c>
      <c r="D160" s="117" t="s">
        <v>2336</v>
      </c>
    </row>
    <row r="161" spans="1:26" ht="15.75" customHeight="1">
      <c r="A161" s="149" t="str">
        <f>HYPERLINK("https://www.nrcresearchpress.com/doi/abs/10.1139/G07-066#.XZKBq1UzaM8","Vinod et al 2007")</f>
        <v>Vinod et al 2007</v>
      </c>
      <c r="B161" s="132">
        <v>2007</v>
      </c>
      <c r="C161" s="117" t="s">
        <v>1707</v>
      </c>
      <c r="D161" s="117" t="s">
        <v>2003</v>
      </c>
    </row>
    <row r="162" spans="1:26" ht="15.75" customHeight="1">
      <c r="A162" s="131" t="str">
        <f>HYPERLINK("https://link.springer.com/article/10.1007%2Fs00438-007-0243-z","Yu et al 2007")</f>
        <v>Yu et al 2007</v>
      </c>
      <c r="B162" s="132">
        <v>2007</v>
      </c>
      <c r="C162" s="117" t="s">
        <v>1740</v>
      </c>
      <c r="D162" s="117" t="s">
        <v>1997</v>
      </c>
    </row>
    <row r="163" spans="1:26" ht="15.75" customHeight="1">
      <c r="A163" s="131" t="str">
        <f>HYPERLINK("https://doi.org/10.1534/genetics.107.071175","Zluvova et al 2007")</f>
        <v>Zluvova et al 2007</v>
      </c>
      <c r="B163" s="132">
        <v>2007</v>
      </c>
      <c r="C163" s="117" t="s">
        <v>1715</v>
      </c>
      <c r="D163" s="117" t="s">
        <v>2011</v>
      </c>
    </row>
    <row r="164" spans="1:26" ht="15.75" customHeight="1">
      <c r="A164" s="145" t="str">
        <f>HYPERLINK("https://www.pnas.org/content/pnas/104/15/6472.full.pdf","Yamato et al  2007")</f>
        <v>Yamato et al  2007</v>
      </c>
      <c r="B164" s="146">
        <v>2007</v>
      </c>
      <c r="C164" s="147" t="s">
        <v>1740</v>
      </c>
      <c r="D164" s="147" t="s">
        <v>2005</v>
      </c>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spans="1:26" ht="15.75" customHeight="1">
      <c r="A165" s="128" t="str">
        <f>HYPERLINK("https://doi.org/10.1007/s10577-008-1254-2","Cermak et al 2008")</f>
        <v>Cermak et al 2008</v>
      </c>
      <c r="B165" s="132">
        <v>2008</v>
      </c>
      <c r="C165" s="117" t="s">
        <v>1740</v>
      </c>
      <c r="D165" s="117" t="s">
        <v>2020</v>
      </c>
    </row>
    <row r="166" spans="1:26" ht="15.75" customHeight="1">
      <c r="A166" s="150" t="str">
        <f>HYPERLINK(" https://doi.org/10.1017/S0016672307009056","Filatov 2008")</f>
        <v>Filatov 2008</v>
      </c>
      <c r="B166" s="132">
        <v>2008</v>
      </c>
      <c r="C166" s="117" t="s">
        <v>1707</v>
      </c>
      <c r="D166" s="117" t="s">
        <v>2337</v>
      </c>
    </row>
    <row r="167" spans="1:26" ht="15.75" customHeight="1">
      <c r="A167" s="131" t="str">
        <f>HYPERLINK("https://doi.org/10.1508/cytologia.73.159","Fujita et al 2008")</f>
        <v>Fujita et al 2008</v>
      </c>
      <c r="B167" s="132">
        <v>2008</v>
      </c>
      <c r="C167" s="117" t="s">
        <v>1740</v>
      </c>
      <c r="D167" s="117" t="s">
        <v>2022</v>
      </c>
    </row>
    <row r="168" spans="1:26" ht="15.75" customHeight="1">
      <c r="A168" s="128" t="str">
        <f>HYPERLINK("https://doi.org/10.1007/s11032-007-9114-x","Jaksa et al 2008")</f>
        <v>Jaksa et al 2008</v>
      </c>
      <c r="B168" s="132">
        <v>2008</v>
      </c>
      <c r="C168" s="117" t="s">
        <v>1707</v>
      </c>
      <c r="D168" s="117" t="s">
        <v>2016</v>
      </c>
    </row>
    <row r="169" spans="1:26" ht="15.75" customHeight="1">
      <c r="A169" s="131" t="str">
        <f>HYPERLINK("https://doi.org/10.1159/000121075","Jamilena et al 2008")</f>
        <v>Jamilena et al 2008</v>
      </c>
      <c r="B169" s="132">
        <v>2008</v>
      </c>
      <c r="C169" s="117" t="s">
        <v>1704</v>
      </c>
      <c r="D169" s="117" t="s">
        <v>2338</v>
      </c>
    </row>
    <row r="170" spans="1:26" ht="15.75" customHeight="1">
      <c r="A170" s="131" t="str">
        <f>HYPERLINK("https://doi.org/10.1139/G08-024","Kubat et al 2008")</f>
        <v>Kubat et al 2008</v>
      </c>
      <c r="B170" s="132">
        <v>2008</v>
      </c>
      <c r="C170" s="117" t="s">
        <v>1740</v>
      </c>
      <c r="D170" s="117" t="s">
        <v>2024</v>
      </c>
    </row>
    <row r="171" spans="1:26" ht="15.75" customHeight="1">
      <c r="A171" s="131" t="str">
        <f>HYPERLINK("https://doi.org/10.1038/nature06856","Ming et al 2008")</f>
        <v>Ming et al 2008</v>
      </c>
      <c r="B171" s="132">
        <v>2008</v>
      </c>
      <c r="C171" s="117" t="s">
        <v>1707</v>
      </c>
      <c r="D171" s="117" t="s">
        <v>2014</v>
      </c>
    </row>
    <row r="172" spans="1:26" ht="15.75" customHeight="1">
      <c r="A172" s="131" t="str">
        <f>HYPERLINK("https://doi.org/10.1534/genetics.107.085670","Mrackova et al 2008")</f>
        <v>Mrackova et al 2008</v>
      </c>
      <c r="B172" s="132">
        <v>2008</v>
      </c>
      <c r="C172" s="117" t="s">
        <v>1882</v>
      </c>
      <c r="D172" s="117" t="s">
        <v>2025</v>
      </c>
    </row>
    <row r="173" spans="1:26" ht="15.75" customHeight="1">
      <c r="A173" s="131" t="str">
        <f>HYPERLINK("https://doi.org/10.1111/j.1439-0523.2005.01079.x","Rode et al 2008")</f>
        <v>Rode et al 2008</v>
      </c>
      <c r="B173" s="132">
        <v>2008</v>
      </c>
      <c r="C173" s="117" t="s">
        <v>1707</v>
      </c>
      <c r="D173" s="117" t="s">
        <v>2013</v>
      </c>
    </row>
    <row r="174" spans="1:26" ht="15.75" customHeight="1">
      <c r="A174" s="133" t="str">
        <f>HYPERLINK("https://www.nature.com/articles/hdy2008100.pdf","Spigler et al 2008")</f>
        <v>Spigler et al 2008</v>
      </c>
      <c r="B174" s="132">
        <v>2008</v>
      </c>
      <c r="C174" s="117" t="s">
        <v>1707</v>
      </c>
      <c r="D174" s="117" t="s">
        <v>2339</v>
      </c>
    </row>
    <row r="175" spans="1:26" ht="15.75" customHeight="1">
      <c r="A175" s="131" t="str">
        <f>HYPERLINK("https://doi.org/10.1111/j.1365-313X.2007.03329.x","Yu et al 2008")</f>
        <v>Yu et al 2008</v>
      </c>
      <c r="B175" s="132">
        <v>2008</v>
      </c>
      <c r="C175" s="117" t="s">
        <v>1707</v>
      </c>
      <c r="D175" s="117" t="s">
        <v>2340</v>
      </c>
    </row>
    <row r="176" spans="1:26" ht="15.75" customHeight="1">
      <c r="A176" s="151" t="str">
        <f>HYPERLINK("https://doi.org/10.1038/hdy.2008.100","Spigler et al. 2008")</f>
        <v>Spigler et al. 2008</v>
      </c>
      <c r="B176" s="146">
        <v>2008</v>
      </c>
      <c r="C176" s="147" t="s">
        <v>1707</v>
      </c>
      <c r="D176" s="152" t="s">
        <v>2015</v>
      </c>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spans="1:4" ht="15.75" customHeight="1">
      <c r="A177" s="133" t="str">
        <f>HYPERLINK("https://onlinelibrary.wiley.com/doi/full/10.1111/j.1755-0998.2009.02570.x","Eppley et al 2009")</f>
        <v>Eppley et al 2009</v>
      </c>
      <c r="B177" s="132">
        <v>2009</v>
      </c>
      <c r="C177" s="117" t="s">
        <v>1707</v>
      </c>
      <c r="D177" s="117" t="s">
        <v>2341</v>
      </c>
    </row>
    <row r="178" spans="1:4" ht="15.75" customHeight="1">
      <c r="A178" s="128" t="str">
        <f>HYPERLINK("https://doi.org/10.1534/genetics.108.099267","Filatov et al 2009")</f>
        <v>Filatov et al 2009</v>
      </c>
      <c r="B178" s="132">
        <v>2009</v>
      </c>
      <c r="C178" s="117" t="s">
        <v>1882</v>
      </c>
      <c r="D178" s="117" t="s">
        <v>2342</v>
      </c>
    </row>
    <row r="179" spans="1:4" ht="15.75" customHeight="1">
      <c r="A179" s="131" t="str">
        <f>HYPERLINK("https://www.ncbi.nlm.nih.gov/pubmed/19284545","Fraser et al 2009")</f>
        <v>Fraser et al 2009</v>
      </c>
      <c r="B179" s="132">
        <v>2009</v>
      </c>
      <c r="C179" s="117" t="s">
        <v>1707</v>
      </c>
      <c r="D179" s="117" t="s">
        <v>2343</v>
      </c>
    </row>
    <row r="180" spans="1:4" ht="15.75" customHeight="1">
      <c r="A180" s="133" t="str">
        <f>HYPERLINK("https://link.springer.com/article/10.1007/s11461-009-0037-z","Hou et al 2009")</f>
        <v>Hou et al 2009</v>
      </c>
      <c r="B180" s="132">
        <v>2009</v>
      </c>
      <c r="C180" s="117" t="s">
        <v>1707</v>
      </c>
      <c r="D180" s="117" t="s">
        <v>2344</v>
      </c>
    </row>
    <row r="181" spans="1:4" ht="15.75" customHeight="1">
      <c r="A181" s="133" t="str">
        <f>HYPERLINK("https://www.genetics.org/content/182/4/1109","Howell et al 2009")</f>
        <v>Howell et al 2009</v>
      </c>
      <c r="B181" s="132">
        <v>2009</v>
      </c>
      <c r="C181" s="117" t="s">
        <v>1715</v>
      </c>
      <c r="D181" s="117" t="s">
        <v>2040</v>
      </c>
    </row>
    <row r="182" spans="1:4" ht="15.75" customHeight="1">
      <c r="A182" s="131" t="str">
        <f>HYPERLINK("https://doi.org/10.1093/molbev/msp141","Kaiser et al 2009")</f>
        <v>Kaiser et al 2009</v>
      </c>
      <c r="B182" s="132">
        <v>2009</v>
      </c>
      <c r="C182" s="117" t="s">
        <v>1707</v>
      </c>
      <c r="D182" s="117" t="s">
        <v>2345</v>
      </c>
    </row>
    <row r="183" spans="1:4" ht="15.75" customHeight="1">
      <c r="A183" s="131" t="str">
        <f>HYPERLINK("https://doi.org/10.1093/pcp/pcp064","Kazama et al 2009")</f>
        <v>Kazama et al 2009</v>
      </c>
      <c r="B183" s="132">
        <v>2009</v>
      </c>
      <c r="C183" s="117" t="s">
        <v>1707</v>
      </c>
      <c r="D183" s="117" t="s">
        <v>2346</v>
      </c>
    </row>
    <row r="184" spans="1:4" ht="15.75" customHeight="1">
      <c r="A184" s="131" t="str">
        <f>HYPERLINK("https://www.nature.com/articles/hdy200917","Kejnovsky et al 2009")</f>
        <v>Kejnovsky et al 2009</v>
      </c>
      <c r="B184" s="132">
        <v>2009</v>
      </c>
      <c r="C184" s="117" t="s">
        <v>1704</v>
      </c>
      <c r="D184" s="117" t="s">
        <v>2037</v>
      </c>
    </row>
    <row r="185" spans="1:4" ht="15.75" customHeight="1">
      <c r="A185" s="133" t="str">
        <f>HYPERLINK("https://www.nrcresearchpress.com/doi/10.1139/G08-120#.XZKDbVUzaM8","Maki 2009")</f>
        <v>Maki 2009</v>
      </c>
      <c r="B185" s="132">
        <v>2009</v>
      </c>
      <c r="C185" s="117" t="s">
        <v>1707</v>
      </c>
      <c r="D185" s="117" t="s">
        <v>2030</v>
      </c>
    </row>
    <row r="186" spans="1:4" ht="15.75" customHeight="1">
      <c r="A186" s="133" t="str">
        <f>HYPERLINK("https://link.springer.com/content/pdf/10.1007%2Fs00122-009-0979-4.pdf","Marguerit et al 2009")</f>
        <v>Marguerit et al 2009</v>
      </c>
      <c r="B186" s="132">
        <v>2009</v>
      </c>
      <c r="C186" s="117" t="s">
        <v>1707</v>
      </c>
      <c r="D186" s="117" t="s">
        <v>2043</v>
      </c>
    </row>
    <row r="187" spans="1:4" ht="15.75" customHeight="1">
      <c r="A187" s="143" t="str">
        <f>HYPERLINK("https://doi.org/10.1007/s00438-008-0405-7","Mariotti et al 2009")</f>
        <v>Mariotti et al 2009</v>
      </c>
      <c r="B187" s="132">
        <v>2009</v>
      </c>
      <c r="C187" s="117" t="s">
        <v>1882</v>
      </c>
      <c r="D187" s="117" t="s">
        <v>2038</v>
      </c>
    </row>
    <row r="188" spans="1:4" ht="15.75" customHeight="1">
      <c r="A188" s="131" t="str">
        <f>HYPERLINK("https://link.springer.com/article/10.1007%2Fs10709-008-9261-y","Navajas-Pérez et al 2009")</f>
        <v>Navajas-Pérez et al 2009</v>
      </c>
      <c r="B188" s="132">
        <v>2009</v>
      </c>
      <c r="C188" s="117" t="s">
        <v>1882</v>
      </c>
      <c r="D188" s="117" t="s">
        <v>2039</v>
      </c>
    </row>
    <row r="189" spans="1:4" ht="15.75" customHeight="1">
      <c r="A189" s="128" t="str">
        <f>HYPERLINK("https://doi.org/10.1111/j.1420-9101.2008.01641.x","Oyama et al 2009")</f>
        <v>Oyama et al 2009</v>
      </c>
      <c r="B189" s="132">
        <v>2009</v>
      </c>
      <c r="C189" s="117" t="s">
        <v>1707</v>
      </c>
      <c r="D189" s="117" t="s">
        <v>2347</v>
      </c>
    </row>
    <row r="190" spans="1:4" ht="15.75" customHeight="1">
      <c r="A190" s="131" t="str">
        <f>HYPERLINK("http://dx.doi.org/10.1080/14620316.2009.11512557","Simon et al. 2009")</f>
        <v>Simon et al. 2009</v>
      </c>
      <c r="B190" s="132">
        <v>2009</v>
      </c>
      <c r="C190" s="117" t="s">
        <v>1707</v>
      </c>
      <c r="D190" s="117" t="s">
        <v>2032</v>
      </c>
    </row>
    <row r="191" spans="1:4" ht="15.75" customHeight="1">
      <c r="A191" s="131" t="str">
        <f>HYPERLINK("https://doi.org/10.1111/j.1365-2745.2009.01484.x","Vandepitte et al 2009")</f>
        <v>Vandepitte et al 2009</v>
      </c>
      <c r="B191" s="144">
        <v>2009</v>
      </c>
      <c r="C191" s="142" t="s">
        <v>1707</v>
      </c>
      <c r="D191" s="142" t="s">
        <v>2028</v>
      </c>
    </row>
    <row r="192" spans="1:4" ht="15.75" customHeight="1">
      <c r="A192" s="131" t="str">
        <f>HYPERLINK("https://doi.org/10.1186/1471-2164-10-371","Yu et al 2009")</f>
        <v>Yu et al 2009</v>
      </c>
      <c r="B192" s="132">
        <v>2009</v>
      </c>
      <c r="C192" s="117" t="s">
        <v>1707</v>
      </c>
      <c r="D192" s="117" t="s">
        <v>2348</v>
      </c>
    </row>
    <row r="193" spans="1:26" ht="16.5" customHeight="1">
      <c r="A193" s="145" t="str">
        <f>HYPERLINK("https://www.jstage.jst.go.jp/article/pjab/85/3/85_3_108/_pdf","Ohyama et al 2009")</f>
        <v>Ohyama et al 2009</v>
      </c>
      <c r="B193" s="146">
        <v>2009</v>
      </c>
      <c r="C193" s="147" t="s">
        <v>1707</v>
      </c>
      <c r="D193" s="147" t="s">
        <v>2027</v>
      </c>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spans="1:26" ht="15.75" customHeight="1">
      <c r="A194" s="133" t="str">
        <f>HYPERLINK("https://www.ncbi.nlm.nih.gov/pmc/articles/PMC2880461/pdf/nihms-197056.pdf","Ferris et al 2010")</f>
        <v>Ferris et al 2010</v>
      </c>
      <c r="B194" s="132">
        <v>2010</v>
      </c>
      <c r="C194" s="117" t="s">
        <v>1707</v>
      </c>
      <c r="D194" s="117" t="s">
        <v>2052</v>
      </c>
    </row>
    <row r="195" spans="1:26" ht="15.75" customHeight="1">
      <c r="A195" s="133" t="str">
        <f>HYPERLINK("https://www.genetics.org/content/186/4/1425.long","Golgberg et al 2010")</f>
        <v>Golgberg et al 2010</v>
      </c>
      <c r="B195" s="132">
        <v>2010</v>
      </c>
      <c r="C195" s="117" t="s">
        <v>1707</v>
      </c>
      <c r="D195" s="117" t="s">
        <v>2049</v>
      </c>
    </row>
    <row r="196" spans="1:26" ht="15.75" customHeight="1">
      <c r="A196" s="131" t="str">
        <f>HYPERLINK("https://link.springer.com/article/10.1007/s10709-010-9449-9","Gottlieb and Poggio 2010")</f>
        <v>Gottlieb and Poggio 2010</v>
      </c>
      <c r="B196" s="132">
        <v>2010</v>
      </c>
      <c r="C196" s="117" t="s">
        <v>1707</v>
      </c>
      <c r="D196" s="117" t="s">
        <v>2053</v>
      </c>
    </row>
    <row r="197" spans="1:26" ht="15.75" customHeight="1">
      <c r="A197" s="133" t="str">
        <f>HYPERLINK("https://www.uv.es/jgpausas/teach/harris-Pannell-2010-JEcol_Leucadendron-serotiny-sexual-dimorphism-dioecy.pdf","Harris and Pannell 2010")</f>
        <v>Harris and Pannell 2010</v>
      </c>
      <c r="B197" s="132">
        <v>2010</v>
      </c>
      <c r="C197" s="117" t="s">
        <v>1704</v>
      </c>
      <c r="D197" s="117" t="s">
        <v>2054</v>
      </c>
    </row>
    <row r="198" spans="1:26" ht="15.75" customHeight="1">
      <c r="A198" s="131" t="str">
        <f>HYPERLINK("https://doi.org/10.1002/bies.200900124","Ironside 2010")</f>
        <v>Ironside 2010</v>
      </c>
      <c r="B198" s="132">
        <v>2010</v>
      </c>
      <c r="C198" s="117" t="s">
        <v>1704</v>
      </c>
      <c r="D198" s="117" t="s">
        <v>2057</v>
      </c>
    </row>
    <row r="199" spans="1:26" ht="15.75" customHeight="1">
      <c r="A199" s="131" t="str">
        <f>HYPERLINK("https://doi.org/10.1139/g10-008","Ishii et al 2010")</f>
        <v>Ishii et al 2010</v>
      </c>
      <c r="B199" s="132">
        <v>2010</v>
      </c>
      <c r="C199" s="117" t="s">
        <v>1882</v>
      </c>
      <c r="D199" s="117" t="s">
        <v>2058</v>
      </c>
    </row>
    <row r="200" spans="1:26" ht="15.75" customHeight="1">
      <c r="A200" s="131" t="str">
        <f>HYPERLINK("https://academicjournals.org/article/article1380626535_Kim%20et%20al.pdf","Kim et al 2010")</f>
        <v>Kim et al 2010</v>
      </c>
      <c r="B200" s="132">
        <v>2010</v>
      </c>
      <c r="C200" s="117" t="s">
        <v>1707</v>
      </c>
      <c r="D200" s="117" t="s">
        <v>2045</v>
      </c>
    </row>
    <row r="201" spans="1:26" ht="15.75" customHeight="1">
      <c r="A201" s="131" t="str">
        <f>HYPERLINK("https://doi.org/10.1093/pcp/pcp187","Koizumi et al 2010")</f>
        <v>Koizumi et al 2010</v>
      </c>
      <c r="B201" s="132">
        <v>2010</v>
      </c>
      <c r="C201" s="117" t="s">
        <v>1707</v>
      </c>
      <c r="D201" s="117" t="s">
        <v>2349</v>
      </c>
    </row>
    <row r="202" spans="1:26" ht="15.75" customHeight="1">
      <c r="A202" s="131" t="str">
        <f>HYPERLINK("https://doi.org/10.1111/j.1095-8339.2010.01073.x","Li et al 2010")</f>
        <v>Li et al 2010</v>
      </c>
      <c r="B202" s="132">
        <v>2010</v>
      </c>
      <c r="C202" s="117" t="s">
        <v>1704</v>
      </c>
      <c r="D202" s="117" t="s">
        <v>2046</v>
      </c>
    </row>
    <row r="203" spans="1:26" ht="15.75" customHeight="1">
      <c r="A203" s="133" t="str">
        <f>HYPERLINK("https://link.springer.com/content/pdf/10.1007%2Fs11295-010-0297-7.pdf","Paolucci et al 2010")</f>
        <v>Paolucci et al 2010</v>
      </c>
      <c r="B203" s="132">
        <v>2010</v>
      </c>
      <c r="C203" s="117" t="s">
        <v>1707</v>
      </c>
      <c r="D203" s="117" t="s">
        <v>2056</v>
      </c>
    </row>
    <row r="204" spans="1:26" ht="15.75" customHeight="1">
      <c r="A204" s="133" t="str">
        <f>HYPERLINK("https://link.springer.com/article/10.1007/s11816-009-0113-8","Samantaray et al 2010")</f>
        <v>Samantaray et al 2010</v>
      </c>
      <c r="B204" s="132">
        <v>2010</v>
      </c>
      <c r="C204" s="117" t="s">
        <v>1707</v>
      </c>
      <c r="D204" s="117" t="s">
        <v>2055</v>
      </c>
    </row>
    <row r="205" spans="1:26" ht="15.75" customHeight="1">
      <c r="A205" s="153" t="str">
        <f>HYPERLINK("https://doi.org/10.1111/j.1558-5646.2010.01189.x","Spigler et al 2010a")</f>
        <v>Spigler et al 2010a</v>
      </c>
      <c r="B205" s="154">
        <v>2010</v>
      </c>
      <c r="C205" s="152" t="s">
        <v>1707</v>
      </c>
      <c r="D205" s="152" t="s">
        <v>2050</v>
      </c>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spans="1:26" ht="15.75" customHeight="1">
      <c r="A206" s="153" t="str">
        <f>HYPERLINK("https://doi.org/10.1093/jhered/esq001","Spigler et al 2010b")</f>
        <v>Spigler et al 2010b</v>
      </c>
      <c r="B206" s="146">
        <v>2010</v>
      </c>
      <c r="C206" s="147" t="s">
        <v>1707</v>
      </c>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spans="1:26" ht="15.75" customHeight="1">
      <c r="A207" s="131" t="str">
        <f>HYPERLINK("https://doi.org/10.1055/s-0030-1249978","Techen et al 2010")</f>
        <v>Techen et al 2010</v>
      </c>
      <c r="B207" s="132">
        <v>2010</v>
      </c>
      <c r="C207" s="117" t="s">
        <v>1707</v>
      </c>
      <c r="D207" s="117" t="s">
        <v>2350</v>
      </c>
    </row>
    <row r="208" spans="1:26" ht="15.75" customHeight="1">
      <c r="A208" s="131" t="str">
        <f>HYPERLINK(" https://doi.org/10.1111/j.1365-313X.2010.04284.x","Wu et al 2010")</f>
        <v>Wu et al 2010</v>
      </c>
      <c r="B208" s="132">
        <v>2010</v>
      </c>
      <c r="C208" s="117" t="s">
        <v>1707</v>
      </c>
      <c r="D208" s="117" t="s">
        <v>2048</v>
      </c>
    </row>
    <row r="209" spans="1:4" ht="15.75" customHeight="1">
      <c r="A209" s="131" t="str">
        <f>HYPERLINK("https://link.springer.com/article/10.1134/S1022795411080023","Aleksandrov et al 2011")</f>
        <v>Aleksandrov et al 2011</v>
      </c>
      <c r="B209" s="132">
        <v>2011</v>
      </c>
      <c r="C209" s="117" t="s">
        <v>1707</v>
      </c>
      <c r="D209" s="117" t="s">
        <v>2060</v>
      </c>
    </row>
    <row r="210" spans="1:4" ht="15.75" customHeight="1">
      <c r="A210" s="131" t="str">
        <f>HYPERLINK("https://link.springer.com/article/10.1007/s12041-011-0026-5","Bharathi et al 2011")</f>
        <v>Bharathi et al 2011</v>
      </c>
      <c r="B210" s="132">
        <v>2011</v>
      </c>
      <c r="C210" s="117" t="s">
        <v>1715</v>
      </c>
      <c r="D210" s="117" t="s">
        <v>2351</v>
      </c>
    </row>
    <row r="211" spans="1:4" ht="15.75" customHeight="1">
      <c r="A211" s="131" t="str">
        <f>HYPERLINK("https://doi.org/10.1186/1471-2164-12-376","Blavet et al 2011")</f>
        <v>Blavet et al 2011</v>
      </c>
      <c r="B211" s="132">
        <v>2011</v>
      </c>
      <c r="C211" s="117" t="s">
        <v>1702</v>
      </c>
      <c r="D211" s="117" t="s">
        <v>2352</v>
      </c>
    </row>
    <row r="212" spans="1:4" ht="15.75" customHeight="1">
      <c r="A212" s="128" t="str">
        <f>HYPERLINK("https://doi.org/10.1159/000328831","Divashuk et al 2011")</f>
        <v>Divashuk et al 2011</v>
      </c>
      <c r="B212" s="132">
        <v>2011</v>
      </c>
      <c r="C212" s="117" t="s">
        <v>1882</v>
      </c>
      <c r="D212" s="117" t="s">
        <v>2353</v>
      </c>
    </row>
    <row r="213" spans="1:4" ht="15.75" customHeight="1">
      <c r="A213" s="131" t="str">
        <f>HYPERLINK("https://doi.org/10.1139/b11-025","Dwarka et al 2011")</f>
        <v>Dwarka et al 2011</v>
      </c>
      <c r="B213" s="132">
        <v>2011</v>
      </c>
      <c r="C213" s="117" t="s">
        <v>1707</v>
      </c>
      <c r="D213" s="117" t="s">
        <v>2066</v>
      </c>
    </row>
    <row r="214" spans="1:4" ht="15.75" customHeight="1">
      <c r="A214" s="131" t="str">
        <f>HYPERLINK("https://doi.org/10.1111/j.1525-142X.2011.00467.x","Englund et al 2011")</f>
        <v>Englund et al 2011</v>
      </c>
      <c r="B214" s="136">
        <v>2011</v>
      </c>
      <c r="C214" s="137" t="s">
        <v>1707</v>
      </c>
      <c r="D214" s="137" t="s">
        <v>2067</v>
      </c>
    </row>
    <row r="215" spans="1:4" ht="15.75" customHeight="1">
      <c r="A215" s="131" t="str">
        <f>HYPERLINK("https://www.researchgate.net/publication/233902887_Sex_determination_of_jojoba_Simmondsia_chinensis_cv_Arizona_by_random_amplified_polymorphic_DNA_RAPD_molecular_markers","Hosseini et al 2011")</f>
        <v>Hosseini et al 2011</v>
      </c>
      <c r="B215" s="132">
        <v>2011</v>
      </c>
      <c r="C215" s="117" t="s">
        <v>1707</v>
      </c>
      <c r="D215" s="117" t="s">
        <v>2078</v>
      </c>
    </row>
    <row r="216" spans="1:4" ht="15.75" customHeight="1">
      <c r="A216" s="131" t="str">
        <f>HYPERLINK("https://doi.org/10.1017/S0021859610000948","Ince and Karaca 2011")</f>
        <v>Ince and Karaca 2011</v>
      </c>
      <c r="B216" s="132">
        <v>2011</v>
      </c>
      <c r="C216" s="117" t="s">
        <v>1707</v>
      </c>
      <c r="D216" s="117" t="s">
        <v>2079</v>
      </c>
    </row>
    <row r="217" spans="1:4" ht="15.75" customHeight="1">
      <c r="A217" s="131" t="str">
        <f>HYPERLINK("https://doi.org/10.1038/hdy.2010.76","Kaiser et al 2011")</f>
        <v>Kaiser et al 2011</v>
      </c>
      <c r="B217" s="132">
        <v>2011</v>
      </c>
      <c r="C217" s="117" t="s">
        <v>1707</v>
      </c>
      <c r="D217" s="117" t="s">
        <v>2075</v>
      </c>
    </row>
    <row r="218" spans="1:4" ht="15.75" customHeight="1">
      <c r="A218" s="133" t="str">
        <f>HYPERLINK("https://journals.plos.org/plosone/article?id=10.1371/journal.pone.0021915","Marais et al 2011")</f>
        <v>Marais et al 2011</v>
      </c>
      <c r="B218" s="132">
        <v>2011</v>
      </c>
      <c r="C218" s="117" t="s">
        <v>1707</v>
      </c>
      <c r="D218" s="117" t="s">
        <v>2076</v>
      </c>
    </row>
    <row r="219" spans="1:4" ht="15.75" customHeight="1">
      <c r="A219" s="133" t="str">
        <f>HYPERLINK("https://content.sciendo.com/configurable/contentpage/journals$002fcszma$002f60$002f1$002farticle-p1.xml","Milewicz and Sawicki 2011")</f>
        <v>Milewicz and Sawicki 2011</v>
      </c>
      <c r="B219" s="132">
        <v>2011</v>
      </c>
      <c r="C219" s="117" t="s">
        <v>1707</v>
      </c>
      <c r="D219" s="117" t="s">
        <v>2354</v>
      </c>
    </row>
    <row r="220" spans="1:4" ht="15.75" customHeight="1">
      <c r="A220" s="131" t="str">
        <f>HYPERLINK("https://doi.org/10.1146/annurev-arplant-042110-103914","Ming et al 2011")</f>
        <v>Ming et al 2011</v>
      </c>
      <c r="B220" s="132">
        <v>2011</v>
      </c>
      <c r="C220" s="117" t="s">
        <v>1704</v>
      </c>
      <c r="D220" s="117" t="s">
        <v>2355</v>
      </c>
    </row>
    <row r="221" spans="1:4" ht="15.75" customHeight="1">
      <c r="A221" s="131" t="str">
        <f>HYPERLINK("https://doi.org/10.1073/pnas.171304798 ","Okada et al 2011")</f>
        <v>Okada et al 2011</v>
      </c>
      <c r="B221" s="132">
        <v>2011</v>
      </c>
      <c r="C221" s="117" t="s">
        <v>2063</v>
      </c>
      <c r="D221" s="117" t="s">
        <v>2064</v>
      </c>
    </row>
    <row r="222" spans="1:4" ht="15.75" customHeight="1">
      <c r="A222" s="128" t="str">
        <f>HYPERLINK("https://doi.org/10.1016/j.tig.2011.05.001","Otto et al 2011")</f>
        <v>Otto et al 2011</v>
      </c>
      <c r="B222" s="132">
        <v>2011</v>
      </c>
      <c r="C222" s="117" t="s">
        <v>1704</v>
      </c>
      <c r="D222" s="117" t="s">
        <v>2072</v>
      </c>
    </row>
    <row r="223" spans="1:4" ht="15.75" customHeight="1">
      <c r="A223" s="128" t="str">
        <f>HYPERLINK("https://doi.org/10.1371/journal.pone.0018972","Penny et al 2011")</f>
        <v>Penny et al 2011</v>
      </c>
      <c r="B223" s="132">
        <v>2011</v>
      </c>
      <c r="C223" s="117" t="s">
        <v>1707</v>
      </c>
      <c r="D223" s="117" t="s">
        <v>2356</v>
      </c>
    </row>
    <row r="224" spans="1:4" ht="15.75" customHeight="1">
      <c r="A224" s="131" t="str">
        <f>HYPERLINK("https://doi.org/10.1139/G10-115","Quesada del Bosque et al 2011")</f>
        <v>Quesada del Bosque et al 2011</v>
      </c>
      <c r="B224" s="132">
        <v>2011</v>
      </c>
      <c r="C224" s="117" t="s">
        <v>2063</v>
      </c>
      <c r="D224" s="117" t="s">
        <v>2073</v>
      </c>
    </row>
    <row r="225" spans="1:4" ht="15.75" customHeight="1">
      <c r="A225" s="131" t="str">
        <f>HYPERLINK("https://doi.org/10.3897/CompCytogen.v6i3.3261","Alexandrov et al 2012")</f>
        <v>Alexandrov et al 2012</v>
      </c>
      <c r="B225" s="132">
        <v>2012</v>
      </c>
      <c r="C225" s="117" t="s">
        <v>1715</v>
      </c>
      <c r="D225" s="117" t="s">
        <v>2357</v>
      </c>
    </row>
    <row r="226" spans="1:4" ht="15.75" customHeight="1">
      <c r="A226" s="131" t="str">
        <f>HYPERLINK("https://doi.org/10.1186/1471-2164-13-226","Blavet et al 2012")</f>
        <v>Blavet et al 2012</v>
      </c>
      <c r="B226" s="132">
        <v>2012</v>
      </c>
      <c r="C226" s="117" t="s">
        <v>1702</v>
      </c>
      <c r="D226" s="117" t="s">
        <v>2358</v>
      </c>
    </row>
    <row r="227" spans="1:4" ht="15.75" customHeight="1">
      <c r="A227" s="131" t="str">
        <f>HYPERLINK("https://doi.org/10.1371/journal.pone.0031898","Cegan et al 2012")</f>
        <v>Cegan et al 2012</v>
      </c>
      <c r="B227" s="132">
        <v>2012</v>
      </c>
      <c r="C227" s="117" t="s">
        <v>1882</v>
      </c>
      <c r="D227" s="117" t="s">
        <v>2359</v>
      </c>
    </row>
    <row r="228" spans="1:4" ht="15.75" customHeight="1">
      <c r="A228" s="131" t="str">
        <f>HYPERLINK("https://doi.org/10.1007/s00438-012-0674-z","Fechter et al 2012")</f>
        <v>Fechter et al 2012</v>
      </c>
      <c r="B228" s="132">
        <v>2012</v>
      </c>
      <c r="C228" s="117" t="s">
        <v>1707</v>
      </c>
      <c r="D228" s="117" t="s">
        <v>2097</v>
      </c>
    </row>
    <row r="229" spans="1:4" ht="15.75" customHeight="1">
      <c r="A229" s="131" t="str">
        <f>HYPERLINK("https://doi.org/10.1534/g3.111.001420","Fujita et al 2012")</f>
        <v>Fujita et al 2012</v>
      </c>
      <c r="B229" s="132">
        <v>2012</v>
      </c>
      <c r="C229" s="117" t="s">
        <v>1882</v>
      </c>
      <c r="D229" s="117" t="s">
        <v>2094</v>
      </c>
    </row>
    <row r="230" spans="1:4" ht="15.75" customHeight="1">
      <c r="A230" s="131" t="str">
        <f>HYPERLINK("https://doi.org/10.1159/000339383","Grabowska-Joachimiak, et al 2012")</f>
        <v>Grabowska-Joachimiak, et al 2012</v>
      </c>
      <c r="B230" s="132">
        <v>2012</v>
      </c>
      <c r="C230" s="117" t="s">
        <v>1882</v>
      </c>
      <c r="D230" s="117" t="s">
        <v>2360</v>
      </c>
    </row>
    <row r="231" spans="1:4" ht="15.75" customHeight="1">
      <c r="A231" s="131" t="str">
        <f>HYPERLINK("https://doi.org/10.1080/00087114.2004.10589379","Guha et al 2012")</f>
        <v>Guha et al 2012</v>
      </c>
      <c r="B231" s="132">
        <v>2012</v>
      </c>
      <c r="C231" s="117" t="s">
        <v>1715</v>
      </c>
      <c r="D231" s="117" t="s">
        <v>2361</v>
      </c>
    </row>
    <row r="232" spans="1:4" ht="15.75" customHeight="1">
      <c r="A232" s="128" t="str">
        <f>HYPERLINK("https://doi.org/10.1534/g3.112.003749","Kazama et al 2012")</f>
        <v>Kazama et al 2012</v>
      </c>
      <c r="B232" s="132">
        <v>2012</v>
      </c>
      <c r="C232" s="117" t="s">
        <v>1707</v>
      </c>
      <c r="D232" s="117" t="s">
        <v>2095</v>
      </c>
    </row>
    <row r="233" spans="1:4" ht="18.75" customHeight="1">
      <c r="A233" s="133" t="str">
        <f>HYPERLINK("https://www.ajol.info/index.php/ajb/article/view/127617","Lianjun et al 2012")</f>
        <v>Lianjun et al 2012</v>
      </c>
      <c r="B233" s="132">
        <v>2012</v>
      </c>
      <c r="C233" s="117" t="s">
        <v>1707</v>
      </c>
      <c r="D233" s="117" t="s">
        <v>2085</v>
      </c>
    </row>
    <row r="234" spans="1:4" ht="16.5" customHeight="1">
      <c r="A234" s="133" t="str">
        <f>HYPERLINK("https://www.researchgate.net/publication/260430737_Development_of_an_ISSR_based_STS_marker_for_sex_identification_in_pointed_gourd_Trichosanthes_dioica_Roxb","Nanda et al 2012")</f>
        <v>Nanda et al 2012</v>
      </c>
      <c r="B234" s="132">
        <v>2012</v>
      </c>
      <c r="C234" s="117" t="s">
        <v>1707</v>
      </c>
      <c r="D234" s="117" t="s">
        <v>2086</v>
      </c>
    </row>
    <row r="235" spans="1:4" ht="16.5" customHeight="1">
      <c r="A235" s="131" t="str">
        <f>HYPERLINK("https://doi.org/10.1007/s10535-012-0083-5","Talianová et al 2012")</f>
        <v>Talianová et al 2012</v>
      </c>
      <c r="B235" s="132">
        <v>2012</v>
      </c>
      <c r="C235" s="117" t="s">
        <v>1707</v>
      </c>
      <c r="D235" s="117" t="s">
        <v>2362</v>
      </c>
    </row>
    <row r="236" spans="1:4" ht="15.75" customHeight="1">
      <c r="A236" s="131" t="str">
        <f>HYPERLINK("https://link.springer.com/article/10.1007%2Fs11295-012-0495-6","Tuskan et al 2012")</f>
        <v>Tuskan et al 2012</v>
      </c>
      <c r="B236" s="132">
        <v>2012</v>
      </c>
      <c r="C236" s="117" t="s">
        <v>1704</v>
      </c>
      <c r="D236" s="117" t="s">
        <v>2363</v>
      </c>
    </row>
    <row r="237" spans="1:4" ht="15.75" customHeight="1">
      <c r="A237" s="131" t="str">
        <f>HYPERLINK("https://link.springer.com/article/10.1007%2Fs10577-012-9312-1","Wai et al 2012")</f>
        <v>Wai et al 2012</v>
      </c>
      <c r="B237" s="132">
        <v>2012</v>
      </c>
      <c r="C237" s="117" t="s">
        <v>1882</v>
      </c>
      <c r="D237" s="117" t="s">
        <v>2364</v>
      </c>
    </row>
    <row r="238" spans="1:4" ht="15.75" customHeight="1">
      <c r="A238" s="131" t="str">
        <f>HYPERLINK("https://doi.org/10.1073/pnas.1207833109","Wang et al 2012")</f>
        <v>Wang et al 2012</v>
      </c>
      <c r="B238" s="132">
        <v>2012</v>
      </c>
      <c r="C238" s="117" t="s">
        <v>1707</v>
      </c>
      <c r="D238" s="117" t="s">
        <v>2082</v>
      </c>
    </row>
    <row r="239" spans="1:4" ht="15.75" customHeight="1">
      <c r="A239" s="131" t="str">
        <f>HYPERLINK("https://academic.oup.com/mbe/article/29/12/3909/1010407","Weingartner and Moore 2012")</f>
        <v>Weingartner and Moore 2012</v>
      </c>
      <c r="B239" s="132">
        <v>2012</v>
      </c>
      <c r="C239" s="117" t="s">
        <v>1707</v>
      </c>
      <c r="D239" s="117" t="s">
        <v>2365</v>
      </c>
    </row>
    <row r="240" spans="1:4" ht="16.5" customHeight="1">
      <c r="A240" s="155" t="str">
        <f>HYPERLINK("https://doi.org/10.1038/hdy.2012.96","Govindarajulu et al 2013")</f>
        <v>Govindarajulu et al 2013</v>
      </c>
      <c r="B240" s="136">
        <v>2013</v>
      </c>
      <c r="C240" s="137" t="s">
        <v>1707</v>
      </c>
      <c r="D240" s="87" t="s">
        <v>2100</v>
      </c>
    </row>
    <row r="241" spans="1:26" ht="15.75" customHeight="1">
      <c r="A241" s="131" t="str">
        <f>HYPERLINK("https://doi.org/10.1534/genetics.113.150755","Bergero et al 2013")</f>
        <v>Bergero et al 2013</v>
      </c>
      <c r="B241" s="132">
        <v>2013</v>
      </c>
      <c r="C241" s="117" t="s">
        <v>1707</v>
      </c>
      <c r="D241" s="117" t="s">
        <v>2113</v>
      </c>
    </row>
    <row r="242" spans="1:26" ht="15.75" customHeight="1">
      <c r="A242" s="133" t="str">
        <f>HYPERLINK("https://nph.onlinelibrary.wiley.com/doi/full/10.1111/nph.12069","Cherif et al 2013")</f>
        <v>Cherif et al 2013</v>
      </c>
      <c r="B242" s="132">
        <v>2013</v>
      </c>
      <c r="C242" s="117" t="s">
        <v>1707</v>
      </c>
      <c r="D242" s="117" t="s">
        <v>2107</v>
      </c>
    </row>
    <row r="243" spans="1:26" ht="15.75" customHeight="1">
      <c r="A243" s="133" t="str">
        <f>HYPERLINK("https://bsapubs.onlinelibrary.wiley.com/doi/pdf/10.3732/ajb.1200068","Flores-Rentería et al 2013")</f>
        <v>Flores-Rentería et al 2013</v>
      </c>
      <c r="B243" s="132">
        <v>2013</v>
      </c>
      <c r="C243" s="117" t="s">
        <v>1704</v>
      </c>
      <c r="D243" s="117" t="s">
        <v>2366</v>
      </c>
    </row>
    <row r="244" spans="1:26" ht="15.75" customHeight="1">
      <c r="A244" s="128" t="str">
        <f>HYPERLINK("https://doi.org/10.1038/hdy.2012.96","Govindarajulu et al 2013")</f>
        <v>Govindarajulu et al 2013</v>
      </c>
      <c r="B244" s="132">
        <v>2013</v>
      </c>
      <c r="C244" s="117" t="s">
        <v>1707</v>
      </c>
      <c r="D244" s="117" t="s">
        <v>2367</v>
      </c>
    </row>
    <row r="245" spans="1:26" ht="15.75" customHeight="1">
      <c r="A245" s="131" t="str">
        <f>HYPERLINK("https://doi.org/10.1371/journal.pone.0060181","Liu et al  2013")</f>
        <v>Liu et al  2013</v>
      </c>
      <c r="B245" s="132">
        <v>2013</v>
      </c>
      <c r="C245" s="117" t="s">
        <v>1702</v>
      </c>
      <c r="D245" s="117" t="s">
        <v>2368</v>
      </c>
    </row>
    <row r="246" spans="1:26" ht="15.75" customHeight="1">
      <c r="A246" s="131" t="str">
        <f>HYPERLINK("https://doi.org/10.1111/evo.12165","McDaniel et al 2013")</f>
        <v>McDaniel et al 2013</v>
      </c>
      <c r="B246" s="132">
        <v>2013</v>
      </c>
      <c r="C246" s="117" t="s">
        <v>1707</v>
      </c>
      <c r="D246" s="117" t="s">
        <v>2105</v>
      </c>
    </row>
    <row r="247" spans="1:26" ht="15.75" customHeight="1">
      <c r="A247" s="133" t="str">
        <f>HYPERLINK("https://onlinelibrary.wiley.com/doi/full/10.1111/evo.12223","Slancarova et al 2013")</f>
        <v>Slancarova et al 2013</v>
      </c>
      <c r="B247" s="132">
        <v>2013</v>
      </c>
      <c r="C247" s="117" t="s">
        <v>1707</v>
      </c>
      <c r="D247" s="117" t="s">
        <v>2114</v>
      </c>
    </row>
    <row r="248" spans="1:26" ht="15.75" customHeight="1">
      <c r="A248" s="131" t="str">
        <f>HYPERLINK("https://doi.org/10.1159/000345370","Sousa et al 2013")</f>
        <v>Sousa et al 2013</v>
      </c>
      <c r="B248" s="132">
        <v>2013</v>
      </c>
      <c r="C248" s="117" t="s">
        <v>1715</v>
      </c>
      <c r="D248" s="117" t="s">
        <v>2369</v>
      </c>
    </row>
    <row r="249" spans="1:26" ht="15.75" customHeight="1">
      <c r="A249" s="131" t="str">
        <f>HYPERLINK("https://doi.org/10.1093/gbe/evt049","Steflova et al 2013")</f>
        <v>Steflova et al 2013</v>
      </c>
      <c r="B249" s="132">
        <v>2013</v>
      </c>
      <c r="C249" s="117" t="s">
        <v>2370</v>
      </c>
      <c r="D249" s="117" t="s">
        <v>2371</v>
      </c>
    </row>
    <row r="250" spans="1:26" ht="15.75" customHeight="1">
      <c r="A250" s="131" t="str">
        <f>HYPERLINK("https://link.springer.com/article/10.1007%2Fs00438-013-0747-7","VanBuren and Ming 2013 ")</f>
        <v xml:space="preserve">VanBuren and Ming 2013 </v>
      </c>
      <c r="B250" s="132">
        <v>2013</v>
      </c>
      <c r="C250" s="117" t="s">
        <v>1707</v>
      </c>
      <c r="D250" s="117" t="s">
        <v>2372</v>
      </c>
    </row>
    <row r="251" spans="1:26" ht="15.75" customHeight="1">
      <c r="A251" s="131" t="str">
        <f>HYPERLINK("https://doi.org/10.1371/journal.pone.0064276","Xiong et al 2013")</f>
        <v>Xiong et al 2013</v>
      </c>
      <c r="B251" s="132">
        <v>2013</v>
      </c>
      <c r="C251" s="117" t="s">
        <v>1707</v>
      </c>
      <c r="D251" s="117" t="s">
        <v>2108</v>
      </c>
    </row>
    <row r="252" spans="1:26" ht="15.75" customHeight="1">
      <c r="A252" s="153" t="str">
        <f>HYPERLINK("https://doi.org/10.1534/g3.113.006288","Tennessen et al. 2013")</f>
        <v>Tennessen et al. 2013</v>
      </c>
      <c r="B252" s="146">
        <v>2013</v>
      </c>
      <c r="C252" s="147" t="s">
        <v>1702</v>
      </c>
      <c r="D252" s="156" t="s">
        <v>2101</v>
      </c>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row>
    <row r="253" spans="1:26" ht="15.75" customHeight="1">
      <c r="A253" s="133" t="str">
        <f>HYPERLINK("https://www.sciencedirect.com/science/article/pii/S0960982214009051","Ahmed et al 2014")</f>
        <v>Ahmed et al 2014</v>
      </c>
      <c r="B253" s="132">
        <v>2014</v>
      </c>
      <c r="C253" s="117" t="s">
        <v>1702</v>
      </c>
      <c r="D253" s="117" t="s">
        <v>2373</v>
      </c>
    </row>
    <row r="254" spans="1:26" ht="15.75" customHeight="1">
      <c r="A254" s="131" t="str">
        <f>HYPERLINK("https://doi.org/10.2503/jjshs1.CH-109","Akagi et al 2014")</f>
        <v>Akagi et al 2014</v>
      </c>
      <c r="B254" s="132">
        <v>2014</v>
      </c>
      <c r="C254" s="117" t="s">
        <v>1707</v>
      </c>
      <c r="D254" s="117" t="s">
        <v>2374</v>
      </c>
    </row>
    <row r="255" spans="1:26" ht="15.75" customHeight="1">
      <c r="A255" s="131" t="str">
        <f>HYPERLINK("https://doi.org/10.1186/1471-2164-15-20","Aryal et al 2014")</f>
        <v>Aryal et al 2014</v>
      </c>
      <c r="B255" s="132">
        <v>2014</v>
      </c>
      <c r="C255" s="117" t="s">
        <v>1702</v>
      </c>
      <c r="D255" s="117" t="s">
        <v>2375</v>
      </c>
    </row>
    <row r="256" spans="1:26" ht="15.75" customHeight="1">
      <c r="A256" s="131" t="str">
        <f>HYPERLINK("https://doi.org/10.1016/j.scienta.2014.06.041","Bhowmick et al 2014")</f>
        <v>Bhowmick et al 2014</v>
      </c>
      <c r="B256" s="132">
        <v>2014</v>
      </c>
      <c r="C256" s="117" t="s">
        <v>1707</v>
      </c>
      <c r="D256" s="117" t="s">
        <v>2121</v>
      </c>
    </row>
    <row r="257" spans="1:4" ht="15.75" customHeight="1">
      <c r="A257" s="131" t="str">
        <f>HYPERLINK("https://doi.org/10.1371/journal.pone.0085118","Divashuk et al 2014")</f>
        <v>Divashuk et al 2014</v>
      </c>
      <c r="B257" s="132">
        <v>2014</v>
      </c>
      <c r="C257" s="117" t="s">
        <v>1882</v>
      </c>
      <c r="D257" s="117" t="s">
        <v>2117</v>
      </c>
    </row>
    <row r="258" spans="1:4" ht="15.75" customHeight="1">
      <c r="A258" s="157" t="str">
        <f>HYPERLINK("https://doi.org/10.1271/bbb.120943","Gao et al 2014")</f>
        <v>Gao et al 2014</v>
      </c>
      <c r="B258" s="132">
        <v>2014</v>
      </c>
      <c r="C258" s="117" t="s">
        <v>1707</v>
      </c>
      <c r="D258" s="117" t="s">
        <v>2376</v>
      </c>
    </row>
    <row r="259" spans="1:4" ht="15.75" customHeight="1">
      <c r="A259" s="131" t="str">
        <f>HYPERLINK("https://doi.org/10.1186/s12870-014-0325-0","Ghadge et al 2014")</f>
        <v>Ghadge et al 2014</v>
      </c>
      <c r="B259" s="132">
        <v>2014</v>
      </c>
      <c r="C259" s="117" t="s">
        <v>1882</v>
      </c>
      <c r="D259" s="117" t="s">
        <v>2377</v>
      </c>
    </row>
    <row r="260" spans="1:4" ht="15.75" customHeight="1">
      <c r="A260" s="131" t="str">
        <f>HYPERLINK("https://doi.org/10.1111/pbr.12199","Heikrujam et al 2014")</f>
        <v>Heikrujam et al 2014</v>
      </c>
      <c r="B260" s="132">
        <v>2014</v>
      </c>
      <c r="C260" s="117" t="s">
        <v>1707</v>
      </c>
      <c r="D260" s="117" t="s">
        <v>2378</v>
      </c>
    </row>
    <row r="261" spans="1:4" ht="15.75" customHeight="1">
      <c r="A261" s="131" t="str">
        <f>HYPERLINK("https://doi.org/10.1007/s10681-014-1136-y","Heikrujam et al 2014")</f>
        <v>Heikrujam et al 2014</v>
      </c>
      <c r="B261" s="132">
        <v>2014</v>
      </c>
      <c r="C261" s="117" t="s">
        <v>1707</v>
      </c>
      <c r="D261" s="117" t="s">
        <v>2146</v>
      </c>
    </row>
    <row r="262" spans="1:4" ht="15.75" customHeight="1">
      <c r="A262" s="131" t="str">
        <f>HYPERLINK("https://link.springer.com/article/10.1007/s40011-013-0226-2","Jangra et al 2014")</f>
        <v>Jangra et al 2014</v>
      </c>
      <c r="B262" s="132">
        <v>2014</v>
      </c>
      <c r="C262" s="117" t="s">
        <v>1707</v>
      </c>
      <c r="D262" s="117" t="s">
        <v>2147</v>
      </c>
    </row>
    <row r="263" spans="1:4" ht="15.75" customHeight="1">
      <c r="A263" s="131" t="str">
        <f>HYPERLINK("https://doi.org/10.1111/plb.12048","Kersten et al 2014")</f>
        <v>Kersten et al 2014</v>
      </c>
      <c r="B263" s="132">
        <v>2014</v>
      </c>
      <c r="C263" s="117" t="s">
        <v>1707</v>
      </c>
      <c r="D263" s="117" t="s">
        <v>2379</v>
      </c>
    </row>
    <row r="264" spans="1:4" ht="15.75" customHeight="1">
      <c r="A264" s="131" t="str">
        <f>HYPERLINK("https://doi.org/10.1159/000362142","Kralova et al 2014")</f>
        <v>Kralova et al 2014</v>
      </c>
      <c r="B264" s="132">
        <v>2014</v>
      </c>
      <c r="C264" s="117" t="s">
        <v>1882</v>
      </c>
      <c r="D264" s="117" t="s">
        <v>2380</v>
      </c>
    </row>
    <row r="265" spans="1:4" ht="15.75" customHeight="1">
      <c r="A265" s="131" t="str">
        <f>HYPERLINK("https://doi.org/10.1111/nph.12669","Kubat et al 2014")</f>
        <v>Kubat et al 2014</v>
      </c>
      <c r="B265" s="132">
        <v>2014</v>
      </c>
      <c r="C265" s="117" t="s">
        <v>1882</v>
      </c>
      <c r="D265" s="117" t="s">
        <v>2143</v>
      </c>
    </row>
    <row r="266" spans="1:4" ht="15.75" customHeight="1">
      <c r="A266" s="131" t="str">
        <f>HYPERLINK("https://doi.org/10.1007/s12041-014-0326-7","Kumar et al 2014")</f>
        <v>Kumar et al 2014</v>
      </c>
      <c r="B266" s="132">
        <v>2014</v>
      </c>
      <c r="C266" s="117" t="s">
        <v>1704</v>
      </c>
      <c r="D266" s="117" t="s">
        <v>2381</v>
      </c>
    </row>
    <row r="267" spans="1:4" ht="15.75" customHeight="1">
      <c r="A267" s="131" t="str">
        <f>HYPERLINK("https://doi.org/10.1371/journal.pone.0097189","Li et al 2014")</f>
        <v>Li et al 2014</v>
      </c>
      <c r="B267" s="132">
        <v>2014</v>
      </c>
      <c r="C267" s="117" t="s">
        <v>1702</v>
      </c>
      <c r="D267" s="117" t="s">
        <v>2116</v>
      </c>
    </row>
    <row r="268" spans="1:4" ht="15.75" customHeight="1">
      <c r="A268" s="131" t="str">
        <f>HYPERLINK("https://doi.org/10.1186/1471-2164-15-285","Mathew et al 2014")</f>
        <v>Mathew et al 2014</v>
      </c>
      <c r="B268" s="132">
        <v>2014</v>
      </c>
      <c r="C268" s="117" t="s">
        <v>1702</v>
      </c>
      <c r="D268" s="117" t="s">
        <v>2382</v>
      </c>
    </row>
    <row r="269" spans="1:4" ht="15.75" customHeight="1">
      <c r="A269" s="128" t="str">
        <f>HYPERLINK("https://doi.org/10.1186/1471-2164-15-335","Na et al 2014")</f>
        <v>Na et al 2014</v>
      </c>
      <c r="B269" s="132">
        <v>2014</v>
      </c>
      <c r="C269" s="117" t="s">
        <v>1707</v>
      </c>
      <c r="D269" s="117" t="s">
        <v>2383</v>
      </c>
    </row>
    <row r="270" spans="1:4" ht="15.75" customHeight="1">
      <c r="A270" s="131" t="str">
        <f>HYPERLINK("https://doi.org/10.1086/677229","Penny 2014")</f>
        <v>Penny 2014</v>
      </c>
      <c r="B270" s="132">
        <v>2014</v>
      </c>
      <c r="C270" s="117" t="s">
        <v>1704</v>
      </c>
      <c r="D270" s="117" t="s">
        <v>2133</v>
      </c>
    </row>
    <row r="271" spans="1:4" ht="15.75" customHeight="1">
      <c r="A271" s="131" t="str">
        <f>HYPERLINK("https://doi.org/10.1159/000355212","Steflova et al 2014")</f>
        <v>Steflova et al 2014</v>
      </c>
      <c r="B271" s="132">
        <v>2014</v>
      </c>
      <c r="C271" s="117" t="s">
        <v>2063</v>
      </c>
      <c r="D271" s="117" t="s">
        <v>2384</v>
      </c>
    </row>
    <row r="272" spans="1:4" ht="15.75" customHeight="1">
      <c r="A272" s="133" t="str">
        <f>HYPERLINK("https://www.geneticsmr.com/sites/default/files/articles/year2014/vol13-1/pdf/gmr2977.pdf","Sun et al 2014")</f>
        <v>Sun et al 2014</v>
      </c>
      <c r="B272" s="132">
        <v>2014</v>
      </c>
      <c r="C272" s="117" t="s">
        <v>1707</v>
      </c>
      <c r="D272" s="117" t="s">
        <v>2136</v>
      </c>
    </row>
    <row r="273" spans="1:4" ht="15.75" customHeight="1">
      <c r="A273" s="128" t="str">
        <f>HYPERLINK("https://doi.org/10.1371/journal.pone.0124890","Chawla et al 2015")</f>
        <v>Chawla et al 2015</v>
      </c>
      <c r="B273" s="132">
        <v>2015</v>
      </c>
      <c r="C273" s="117" t="s">
        <v>1707</v>
      </c>
      <c r="D273" s="117" t="s">
        <v>2385</v>
      </c>
    </row>
    <row r="274" spans="1:4" ht="15.75" customHeight="1">
      <c r="A274" s="133" t="str">
        <f>HYPERLINK("https://www.ncbi.nlm.nih.gov/pmc/articles/PMC4528323/pdf/1663.pdf","Fujito et al 2015")</f>
        <v>Fujito et al 2015</v>
      </c>
      <c r="B274" s="132">
        <v>2015</v>
      </c>
      <c r="C274" s="117" t="s">
        <v>1882</v>
      </c>
      <c r="D274" s="117" t="s">
        <v>2178</v>
      </c>
    </row>
    <row r="275" spans="1:4" ht="15.75" customHeight="1">
      <c r="A275" s="131" t="str">
        <f>HYPERLINK("https://onlinelibrary.wiley.com/doi/full/10.1111/mec.13126","Geraldes et al 2015")</f>
        <v>Geraldes et al 2015</v>
      </c>
      <c r="B275" s="132">
        <v>2015</v>
      </c>
      <c r="C275" s="117" t="s">
        <v>1702</v>
      </c>
      <c r="D275" s="117" t="s">
        <v>2386</v>
      </c>
    </row>
    <row r="276" spans="1:4" ht="15.75" customHeight="1">
      <c r="A276" s="131" t="str">
        <f>HYPERLINK("https://doi.org/10.1007/s10577-014-9446-4","Grabowska-Joachimiak et al 2015")</f>
        <v>Grabowska-Joachimiak et al 2015</v>
      </c>
      <c r="B276" s="132">
        <v>2015</v>
      </c>
      <c r="C276" s="117" t="s">
        <v>1715</v>
      </c>
      <c r="D276" s="117" t="s">
        <v>2175</v>
      </c>
    </row>
    <row r="277" spans="1:4" ht="15.75" customHeight="1">
      <c r="A277" s="131" t="str">
        <f>HYPERLINK("https://doi.org/10.1111/nph.13389","Harkess et al 2015")</f>
        <v>Harkess et al 2015</v>
      </c>
      <c r="B277" s="132">
        <v>2015</v>
      </c>
      <c r="C277" s="117" t="s">
        <v>1702</v>
      </c>
      <c r="D277" s="117" t="s">
        <v>2149</v>
      </c>
    </row>
    <row r="278" spans="1:4" ht="15.75" customHeight="1">
      <c r="A278" s="131" t="str">
        <f>HYPERLINK("https://doi.org/10.1038/srep09076","Hou et al 2015")</f>
        <v>Hou et al 2015</v>
      </c>
      <c r="B278" s="132">
        <v>2015</v>
      </c>
      <c r="C278" s="117" t="s">
        <v>1702</v>
      </c>
      <c r="D278" s="117" t="s">
        <v>2387</v>
      </c>
    </row>
    <row r="279" spans="1:4" ht="15.75" customHeight="1">
      <c r="A279" s="133" t="str">
        <f>HYPERLINK("https://www.ncbi.nlm.nih.gov/pmc/articles/PMC4317651/pdf/413.pdf","Iovene et al 2015")</f>
        <v>Iovene et al 2015</v>
      </c>
      <c r="B279" s="132">
        <v>2015</v>
      </c>
      <c r="C279" s="117" t="s">
        <v>1882</v>
      </c>
      <c r="D279" s="117" t="s">
        <v>2162</v>
      </c>
    </row>
    <row r="280" spans="1:4" ht="15.75" customHeight="1">
      <c r="A280" s="133" t="str">
        <f>HYPERLINK("https://www.tandfonline.com/doi/abs/10.1080/14620316.2015.11513191?journalCode=thsb20","Joseph et al 2015")</f>
        <v>Joseph et al 2015</v>
      </c>
      <c r="B280" s="132">
        <v>2015</v>
      </c>
      <c r="C280" s="117" t="s">
        <v>1707</v>
      </c>
      <c r="D280" s="117" t="s">
        <v>2154</v>
      </c>
    </row>
    <row r="281" spans="1:4" ht="15.75" customHeight="1">
      <c r="A281" s="131" t="str">
        <f>HYPERLINK("https://link.springer.com/article/10.1007%2Fs00438-015-1000-3","Lappin et al 2015")</f>
        <v>Lappin et al 2015</v>
      </c>
      <c r="B281" s="132">
        <v>2015</v>
      </c>
      <c r="C281" s="117" t="s">
        <v>1702</v>
      </c>
      <c r="D281" s="117" t="s">
        <v>2388</v>
      </c>
    </row>
    <row r="282" spans="1:4" ht="15.75" customHeight="1">
      <c r="A282" s="133" t="str">
        <f>HYPERLINK("https://www.nature.com/articles/hdy2014125.pdf","Pucholt et al 2015")</f>
        <v>Pucholt et al 2015</v>
      </c>
      <c r="B282" s="132">
        <v>2015</v>
      </c>
      <c r="C282" s="117" t="s">
        <v>1707</v>
      </c>
      <c r="D282" s="117" t="s">
        <v>2176</v>
      </c>
    </row>
    <row r="283" spans="1:4" ht="15.75" customHeight="1">
      <c r="A283" s="133" t="str">
        <f>HYPERLINK("https://www.ncbi.nlm.nih.gov/pmc/articles/PMC4815579/pdf/hdy201495a.pdf","Russel and Pannell 2015")</f>
        <v>Russel and Pannell 2015</v>
      </c>
      <c r="B283" s="132">
        <v>2015</v>
      </c>
      <c r="C283" s="117" t="s">
        <v>1707</v>
      </c>
      <c r="D283" s="117" t="s">
        <v>2160</v>
      </c>
    </row>
    <row r="284" spans="1:4" ht="15.75" customHeight="1">
      <c r="A284" s="131" t="str">
        <f>HYPERLINK("https://doi.org/10.1371/journal.pone.0143861","Sola-Campoy et al 2015")</f>
        <v>Sola-Campoy et al 2015</v>
      </c>
      <c r="B284" s="132">
        <v>2015</v>
      </c>
      <c r="C284" s="117" t="s">
        <v>2063</v>
      </c>
      <c r="D284" s="117" t="s">
        <v>2389</v>
      </c>
    </row>
    <row r="285" spans="1:4" ht="15.75" customHeight="1">
      <c r="A285" s="131" t="str">
        <f>HYPERLINK("https://doi.org/10.1111/plb.12189","Wang et al 2015")</f>
        <v>Wang et al 2015</v>
      </c>
      <c r="B285" s="132">
        <v>2015</v>
      </c>
      <c r="C285" s="117" t="s">
        <v>1704</v>
      </c>
      <c r="D285" s="117" t="s">
        <v>2390</v>
      </c>
    </row>
    <row r="286" spans="1:4" ht="15.75" customHeight="1">
      <c r="A286" s="131" t="str">
        <f>HYPERLINK("https://link.springer.com/article/10.1007%2Fs00239-015-9680-1","Wu and Moore 2015")</f>
        <v>Wu and Moore 2015</v>
      </c>
      <c r="B286" s="158">
        <v>2015</v>
      </c>
      <c r="C286" s="87" t="s">
        <v>1702</v>
      </c>
      <c r="D286" s="87" t="s">
        <v>2391</v>
      </c>
    </row>
    <row r="287" spans="1:4" ht="15.75" customHeight="1">
      <c r="A287" s="131" t="str">
        <f>HYPERLINK("https://doi.org/10.1371/journal.pgen.1005536","Zemp et al 2015")</f>
        <v>Zemp et al 2015</v>
      </c>
      <c r="B287" s="132">
        <v>2015</v>
      </c>
      <c r="C287" s="117" t="s">
        <v>1702</v>
      </c>
      <c r="D287" s="117" t="s">
        <v>2392</v>
      </c>
    </row>
    <row r="288" spans="1:4" ht="15.75" customHeight="1">
      <c r="A288" s="131" t="str">
        <f>HYPERLINK("https://doi.org/10.1093/dnares/dsv019","Zhang et al 2015")</f>
        <v>Zhang et al 2015</v>
      </c>
      <c r="B288" s="132">
        <v>2015</v>
      </c>
      <c r="C288" s="117" t="s">
        <v>1702</v>
      </c>
      <c r="D288" s="117" t="s">
        <v>2148</v>
      </c>
    </row>
    <row r="289" spans="1:26" ht="15.75" customHeight="1">
      <c r="A289" s="131" t="str">
        <f>HYPERLINK("https://doi.org/10.1371/journal.pone.0147671","Chen et al 2016")</f>
        <v>Chen et al 2016</v>
      </c>
      <c r="B289" s="132">
        <v>2016</v>
      </c>
      <c r="C289" s="117" t="s">
        <v>1707</v>
      </c>
      <c r="D289" s="117" t="s">
        <v>2393</v>
      </c>
    </row>
    <row r="290" spans="1:26" ht="15.75" customHeight="1">
      <c r="A290" s="131" t="str">
        <f>HYPERLINK("https://www.ncbi.nlm.nih.gov/pubmed/27118680","Cherif et al 2016")</f>
        <v>Cherif et al 2016</v>
      </c>
      <c r="B290" s="132">
        <v>2016</v>
      </c>
      <c r="C290" s="117" t="s">
        <v>1707</v>
      </c>
      <c r="D290" s="117" t="s">
        <v>2394</v>
      </c>
    </row>
    <row r="291" spans="1:26" ht="15.75" customHeight="1">
      <c r="A291" s="128" t="str">
        <f>HYPERLINK("https://doi.org/10.1007/s10681-016-1655-9","Hill et al 2016")</f>
        <v>Hill et al 2016</v>
      </c>
      <c r="B291" s="132">
        <v>2016</v>
      </c>
      <c r="C291" s="117" t="s">
        <v>1702</v>
      </c>
      <c r="D291" s="117" t="s">
        <v>2182</v>
      </c>
    </row>
    <row r="292" spans="1:26" ht="15.75" customHeight="1">
      <c r="A292" s="131" t="str">
        <f>HYPERLINK("https://doi.org/10.1038/srep18917","Kazama et al 2016")</f>
        <v>Kazama et al 2016</v>
      </c>
      <c r="B292" s="132">
        <v>2016</v>
      </c>
      <c r="C292" s="117" t="s">
        <v>1882</v>
      </c>
      <c r="D292" s="117" t="s">
        <v>2395</v>
      </c>
    </row>
    <row r="293" spans="1:26" ht="15.75" customHeight="1">
      <c r="A293" s="131" t="str">
        <f>HYPERLINK("https://link.springer.com/article/10.1007/s00425-016-2485-7","Li et al 2016")</f>
        <v>Li et al 2016</v>
      </c>
      <c r="B293" s="132">
        <v>2016</v>
      </c>
      <c r="C293" s="117" t="s">
        <v>1704</v>
      </c>
      <c r="D293" s="117" t="s">
        <v>2187</v>
      </c>
    </row>
    <row r="294" spans="1:26" ht="15.75" customHeight="1">
      <c r="A294" s="131" t="str">
        <f>HYPERLINK("https://www.sciencedirect.com/science/article/pii/S0304423816300553","Mohanty et al 2016")</f>
        <v>Mohanty et al 2016</v>
      </c>
      <c r="B294" s="132">
        <v>2016</v>
      </c>
      <c r="C294" s="117" t="s">
        <v>1707</v>
      </c>
      <c r="D294" s="117" t="s">
        <v>2396</v>
      </c>
    </row>
    <row r="295" spans="1:26" ht="15.75" customHeight="1">
      <c r="A295" s="131" t="str">
        <f>HYPERLINK("https://doi.org/10.1111/tpj.13254","Sousa et al 2016")</f>
        <v>Sousa et al 2016</v>
      </c>
      <c r="B295" s="132">
        <v>2016</v>
      </c>
      <c r="C295" s="117" t="s">
        <v>2063</v>
      </c>
      <c r="D295" s="117" t="s">
        <v>2180</v>
      </c>
    </row>
    <row r="296" spans="1:26" ht="15.75" customHeight="1">
      <c r="A296" s="128" t="str">
        <f>HYPERLINK("https://doi.org/10.1111/nph.13983","Tennessen et al 2016")</f>
        <v>Tennessen et al 2016</v>
      </c>
      <c r="B296" s="132">
        <v>2016</v>
      </c>
      <c r="C296" s="117" t="s">
        <v>1707</v>
      </c>
      <c r="D296" s="117" t="s">
        <v>2181</v>
      </c>
    </row>
    <row r="297" spans="1:26" ht="15.75" customHeight="1">
      <c r="A297" s="159" t="str">
        <f>HYPERLINK("https://doi.org/10.1111/nph.13983","Tennessen et al. 2016")</f>
        <v>Tennessen et al. 2016</v>
      </c>
      <c r="B297" s="146">
        <v>2016</v>
      </c>
      <c r="C297" s="147" t="s">
        <v>1702</v>
      </c>
      <c r="D297" s="152" t="s">
        <v>2181</v>
      </c>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row>
    <row r="298" spans="1:26" ht="15.75" customHeight="1">
      <c r="A298" s="131" t="str">
        <f>HYPERLINK("https://link.springer.com/article/10.1007/s10722-017-0564-7","Ali et al 2017")</f>
        <v>Ali et al 2017</v>
      </c>
      <c r="B298" s="132">
        <v>2017</v>
      </c>
      <c r="C298" s="117" t="s">
        <v>1707</v>
      </c>
      <c r="D298" s="117" t="s">
        <v>2397</v>
      </c>
    </row>
    <row r="299" spans="1:26" ht="15.75" customHeight="1">
      <c r="A299" s="131" t="str">
        <f>HYPERLINK("https://doi.org/10.1038/srep45388","Bräutigam et al 2017")</f>
        <v>Bräutigam et al 2017</v>
      </c>
      <c r="B299" s="132">
        <v>2017</v>
      </c>
      <c r="C299" s="117" t="s">
        <v>1702</v>
      </c>
      <c r="D299" s="117" t="s">
        <v>2398</v>
      </c>
    </row>
    <row r="300" spans="1:26" ht="15.75" customHeight="1">
      <c r="A300" s="131" t="str">
        <f>HYPERLINK("https://doi.org/10.1093/gbe/evx174","Carlson et al 2017")</f>
        <v>Carlson et al 2017</v>
      </c>
      <c r="B300" s="132">
        <v>2017</v>
      </c>
      <c r="C300" s="117" t="s">
        <v>1702</v>
      </c>
      <c r="D300" s="117" t="s">
        <v>2399</v>
      </c>
    </row>
    <row r="301" spans="1:26" ht="15.75" customHeight="1">
      <c r="A301" s="131" t="str">
        <f>HYPERLINK("https://www.frontiersin.org/articles/10.3389/fpls.2017.00098/full","Coito et al 2017")</f>
        <v>Coito et al 2017</v>
      </c>
      <c r="B301" s="132">
        <v>2017</v>
      </c>
      <c r="C301" s="117" t="s">
        <v>1707</v>
      </c>
      <c r="D301" s="117" t="s">
        <v>2400</v>
      </c>
    </row>
    <row r="302" spans="1:26" ht="15.75" customHeight="1">
      <c r="A302" s="131" t="str">
        <f>HYPERLINK("https://doi.org/10.1186/s12870-017-1187-z","Devani et al 2017")</f>
        <v>Devani et al 2017</v>
      </c>
      <c r="B302" s="132">
        <v>2017</v>
      </c>
      <c r="C302" s="117" t="s">
        <v>1702</v>
      </c>
      <c r="D302" s="117" t="s">
        <v>2401</v>
      </c>
    </row>
    <row r="303" spans="1:26" ht="15.75" customHeight="1">
      <c r="A303" s="131" t="str">
        <f>HYPERLINK("https://www.nature.com/articles/s41467-017-01064-8","Harkess et al 2017")</f>
        <v>Harkess et al 2017</v>
      </c>
      <c r="B303" s="132">
        <v>2017</v>
      </c>
      <c r="C303" s="117" t="s">
        <v>1702</v>
      </c>
      <c r="D303" s="117" t="s">
        <v>2402</v>
      </c>
    </row>
    <row r="304" spans="1:26" ht="15.75" customHeight="1">
      <c r="A304" s="128" t="str">
        <f>HYPERLINK("https://doi.org/10.1111/tpj.13322","Manzano et al 2017")</f>
        <v>Manzano et al 2017</v>
      </c>
      <c r="B304" s="132">
        <v>2017</v>
      </c>
      <c r="C304" s="117" t="s">
        <v>1707</v>
      </c>
      <c r="D304" s="117" t="s">
        <v>2214</v>
      </c>
    </row>
    <row r="305" spans="1:26" ht="15.75" customHeight="1">
      <c r="A305" s="131" t="str">
        <f>HYPERLINK("https://doi.org/10.1016/j.gene.2017.05.058","Mohanty et al 2017")</f>
        <v>Mohanty et al 2017</v>
      </c>
      <c r="B305" s="132">
        <v>2017</v>
      </c>
      <c r="C305" s="117" t="s">
        <v>1702</v>
      </c>
      <c r="D305" s="117" t="s">
        <v>2196</v>
      </c>
    </row>
    <row r="306" spans="1:26" ht="15.75" customHeight="1">
      <c r="A306" s="131" t="str">
        <f>HYPERLINK("https://doi.org/10.1016/j.sjbs.2017.08.002","Mohei et al 2017")</f>
        <v>Mohei et al 2017</v>
      </c>
      <c r="B306" s="132">
        <v>2017</v>
      </c>
      <c r="C306" s="117" t="s">
        <v>1702</v>
      </c>
      <c r="D306" s="117" t="s">
        <v>2403</v>
      </c>
    </row>
    <row r="307" spans="1:26" ht="15.75" customHeight="1">
      <c r="A307" s="133" t="str">
        <f>HYPERLINK("https://www.ncbi.nlm.nih.gov/pmc/articles/PMC5264649/","Mori et al 2017")</f>
        <v>Mori et al 2017</v>
      </c>
      <c r="B307" s="132">
        <v>2017</v>
      </c>
      <c r="C307" s="117" t="s">
        <v>1702</v>
      </c>
      <c r="D307" s="117" t="s">
        <v>2404</v>
      </c>
    </row>
    <row r="308" spans="1:26" ht="15.75" customHeight="1">
      <c r="A308" s="131" t="str">
        <f>HYPERLINK("https://doi.org/10.1093/molbev/msx144","Pucholt et al 2017")</f>
        <v>Pucholt et al 2017</v>
      </c>
      <c r="B308" s="132">
        <v>2017</v>
      </c>
      <c r="C308" s="117" t="s">
        <v>1702</v>
      </c>
      <c r="D308" s="117" t="s">
        <v>2405</v>
      </c>
    </row>
    <row r="309" spans="1:26" ht="15.75" customHeight="1">
      <c r="A309" s="131" t="str">
        <f>HYPERLINK("https://doi.org/10.1093/gbe/evw303","Puterova et al 2017")</f>
        <v>Puterova et al 2017</v>
      </c>
      <c r="B309" s="132">
        <v>2017</v>
      </c>
      <c r="C309" s="117" t="s">
        <v>2063</v>
      </c>
      <c r="D309" s="117" t="s">
        <v>2406</v>
      </c>
    </row>
    <row r="310" spans="1:26" ht="15.75" customHeight="1">
      <c r="A310" s="131" t="str">
        <f>HYPERLINK("https://www.ncbi.nlm.nih.gov/pubmed/28555429","Sarkar et al 2017")</f>
        <v>Sarkar et al 2017</v>
      </c>
      <c r="B310" s="132">
        <v>2017</v>
      </c>
      <c r="C310" s="117" t="s">
        <v>1704</v>
      </c>
      <c r="D310" s="117" t="s">
        <v>2407</v>
      </c>
    </row>
    <row r="311" spans="1:26" ht="15.75" customHeight="1">
      <c r="A311" s="131" t="str">
        <f>HYPERLINK("https://doi.org/10.1007/s10577-017-9555-y","Sousa et al 2017")</f>
        <v>Sousa et al 2017</v>
      </c>
      <c r="B311" s="132">
        <v>2017</v>
      </c>
      <c r="C311" s="117" t="s">
        <v>1715</v>
      </c>
      <c r="D311" s="117" t="s">
        <v>2197</v>
      </c>
    </row>
    <row r="312" spans="1:26" ht="15.75" customHeight="1">
      <c r="A312" s="131" t="str">
        <f>HYPERLINK("https://doi.org/10.1186/s12915-017-0419-x","Tamiru et al 2017")</f>
        <v>Tamiru et al 2017</v>
      </c>
      <c r="B312" s="132">
        <v>2017</v>
      </c>
      <c r="C312" s="117" t="s">
        <v>2063</v>
      </c>
      <c r="D312" s="117" t="s">
        <v>2408</v>
      </c>
    </row>
    <row r="313" spans="1:26" ht="15.75" customHeight="1">
      <c r="A313" s="131" t="str">
        <f>HYPERLINK("https://doi.org/10.1371/journal.pone.0180542","Tang et al 2017")</f>
        <v>Tang et al 2017</v>
      </c>
      <c r="B313" s="132">
        <v>2017</v>
      </c>
      <c r="C313" s="117" t="s">
        <v>1702</v>
      </c>
      <c r="D313" s="117" t="s">
        <v>2409</v>
      </c>
    </row>
    <row r="314" spans="1:26" ht="15.75" customHeight="1">
      <c r="A314" s="133" t="str">
        <f>HYPERLINK("https://www.tandfonline.com/doi/abs/10.1080/00087114.2017.1339174?journalCode=tcar20","Tomasino et al 2017")</f>
        <v>Tomasino et al 2017</v>
      </c>
      <c r="B314" s="132">
        <v>2017</v>
      </c>
      <c r="C314" s="117" t="s">
        <v>1715</v>
      </c>
      <c r="D314" s="117" t="s">
        <v>2205</v>
      </c>
    </row>
    <row r="315" spans="1:26" ht="15.75" customHeight="1">
      <c r="A315" s="131" t="str">
        <f>HYPERLINK("https://www.nature.com/articles/srep41497","Tsugama et al 2017")</f>
        <v>Tsugama et al 2017</v>
      </c>
      <c r="B315" s="132">
        <v>2017</v>
      </c>
      <c r="C315" s="117" t="s">
        <v>1702</v>
      </c>
      <c r="D315" s="117" t="s">
        <v>2410</v>
      </c>
    </row>
    <row r="316" spans="1:26" ht="15.75" customHeight="1">
      <c r="A316" s="131" t="str">
        <f>HYPERLINK("https://academic.oup.com/jhered/article/108/7/731/4259314","Wei et al 2017")</f>
        <v>Wei et al 2017</v>
      </c>
      <c r="B316" s="132">
        <v>2017</v>
      </c>
      <c r="C316" s="117" t="s">
        <v>1702</v>
      </c>
      <c r="D316" s="117" t="s">
        <v>2199</v>
      </c>
    </row>
    <row r="317" spans="1:26" ht="15.75" customHeight="1">
      <c r="A317" s="157" t="str">
        <f>HYPERLINK("https://doi.org/10.1111/nph.14919 ","West and Golenberg 2017")</f>
        <v>West and Golenberg 2017</v>
      </c>
      <c r="B317" s="132">
        <v>2017</v>
      </c>
      <c r="C317" s="117" t="s">
        <v>1704</v>
      </c>
      <c r="D317" s="117" t="s">
        <v>2218</v>
      </c>
    </row>
    <row r="318" spans="1:26" ht="15.75" customHeight="1">
      <c r="A318" s="145" t="str">
        <f>HYPERLINK("https://www.sciencedirect.com/science/article/pii/S0092867417311248","Bowman et al 2017")</f>
        <v>Bowman et al 2017</v>
      </c>
      <c r="B318" s="146">
        <v>2017</v>
      </c>
      <c r="C318" s="147" t="s">
        <v>1704</v>
      </c>
      <c r="D318" s="148" t="s">
        <v>2203</v>
      </c>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row>
    <row r="319" spans="1:26" ht="15.75" customHeight="1">
      <c r="A319" s="159" t="str">
        <f>HYPERLINK("https://doi.org/10.1093/jhered/esx077","Wei et al 2017a")</f>
        <v>Wei et al 2017a</v>
      </c>
      <c r="B319" s="146">
        <v>2017</v>
      </c>
      <c r="C319" s="147" t="s">
        <v>1702</v>
      </c>
      <c r="D319" s="152" t="s">
        <v>2199</v>
      </c>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row>
    <row r="320" spans="1:26" ht="15.75" customHeight="1">
      <c r="A320" s="159" t="str">
        <f>HYPERLINK("https://doi.org/10.1111/nph.14711","Wei et al 2017b")</f>
        <v>Wei et al 2017b</v>
      </c>
      <c r="B320" s="146">
        <v>2017</v>
      </c>
      <c r="C320" s="147" t="s">
        <v>1702</v>
      </c>
      <c r="D320" s="152" t="s">
        <v>2200</v>
      </c>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row>
    <row r="321" spans="1:12" ht="15.75" customHeight="1">
      <c r="A321" s="131" t="str">
        <f>HYPERLINK("https://doi.org/10.1105/tpc.17.00787","Akagi et al 2018")</f>
        <v>Akagi et al 2018</v>
      </c>
      <c r="B321" s="132">
        <v>2018</v>
      </c>
      <c r="C321" s="117" t="s">
        <v>1702</v>
      </c>
      <c r="D321" s="117" t="s">
        <v>2220</v>
      </c>
    </row>
    <row r="322" spans="1:12" ht="15.75" customHeight="1">
      <c r="A322" s="150" t="str">
        <f>HYPERLINK("https://www.cell.com/trends/plant-science/fulltext/S1360-1385(18)30134-1","Coelho et al 2018")</f>
        <v>Coelho et al 2018</v>
      </c>
      <c r="B322" s="132">
        <v>2018</v>
      </c>
      <c r="C322" s="117" t="s">
        <v>1704</v>
      </c>
      <c r="D322" s="117" t="s">
        <v>2411</v>
      </c>
    </row>
    <row r="323" spans="1:12" ht="15.75" customHeight="1">
      <c r="A323" s="131" t="str">
        <f>HYPERLINK("https://doi.org/10.1111/mec.14466","Darolti et al 2018")</f>
        <v>Darolti et al 2018</v>
      </c>
      <c r="B323" s="132">
        <v>2018</v>
      </c>
      <c r="C323" s="117" t="s">
        <v>1702</v>
      </c>
      <c r="D323" s="117" t="s">
        <v>2412</v>
      </c>
    </row>
    <row r="324" spans="1:12" ht="15.75" customHeight="1">
      <c r="A324" s="133" t="str">
        <f>HYPERLINK("https://www.nature.com/articles/s42003-018-0019-5","Hamaji et al 2018")</f>
        <v>Hamaji et al 2018</v>
      </c>
      <c r="B324" s="132">
        <v>2018</v>
      </c>
      <c r="C324" s="117" t="s">
        <v>1702</v>
      </c>
      <c r="D324" s="117" t="s">
        <v>2413</v>
      </c>
    </row>
    <row r="325" spans="1:12" ht="15.75" customHeight="1">
      <c r="A325" s="131" t="str">
        <f>HYPERLINK("https://link.springer.com/article/10.1007%2Fs00438-017-1405-2","Kudoh et al 2018")</f>
        <v>Kudoh et al 2018</v>
      </c>
      <c r="B325" s="132">
        <v>2018</v>
      </c>
      <c r="C325" s="117" t="s">
        <v>1740</v>
      </c>
      <c r="D325" s="117" t="s">
        <v>2414</v>
      </c>
    </row>
    <row r="326" spans="1:12" ht="15.75" customHeight="1">
      <c r="A326" s="131" t="str">
        <f>HYPERLINK("https://doi.org/10.1371/journal.pone.0194605","Lee et al 2018")</f>
        <v>Lee et al 2018</v>
      </c>
      <c r="B326" s="132">
        <v>2018</v>
      </c>
      <c r="C326" s="117" t="s">
        <v>1702</v>
      </c>
      <c r="D326" s="117" t="s">
        <v>2415</v>
      </c>
    </row>
    <row r="327" spans="1:12" ht="15.75" customHeight="1">
      <c r="A327" s="128" t="str">
        <f>HYPERLINK("https://doi.org/10.1038/s41437-018-0084-z","Mangla et al 2018")</f>
        <v>Mangla et al 2018</v>
      </c>
      <c r="B327" s="132">
        <v>2018</v>
      </c>
      <c r="C327" s="117" t="s">
        <v>1707</v>
      </c>
      <c r="D327" s="117" t="s">
        <v>2416</v>
      </c>
    </row>
    <row r="328" spans="1:12" ht="15.75" customHeight="1">
      <c r="A328" s="131" t="str">
        <f>HYPERLINK("https://doi.org/10.1016/j.bcab.2018.08.004","Modi et al 2018")</f>
        <v>Modi et al 2018</v>
      </c>
      <c r="B328" s="132">
        <v>2018</v>
      </c>
      <c r="C328" s="117" t="s">
        <v>1707</v>
      </c>
      <c r="D328" s="117" t="s">
        <v>2417</v>
      </c>
    </row>
    <row r="329" spans="1:12" ht="15.75" customHeight="1">
      <c r="A329" s="131" t="str">
        <f>HYPERLINK("https://doi.org/10.3389/fpls.2018.01068","Moreno et al 2018")</f>
        <v>Moreno et al 2018</v>
      </c>
      <c r="B329" s="132">
        <v>2018</v>
      </c>
      <c r="C329" s="117" t="s">
        <v>2063</v>
      </c>
      <c r="D329" s="117" t="s">
        <v>2418</v>
      </c>
    </row>
    <row r="330" spans="1:12" ht="15.75" customHeight="1">
      <c r="A330" s="131" t="str">
        <f>HYPERLINK("https://doi.org/10.1186/s12864-018-4547-7","Puterova et al 2018")</f>
        <v>Puterova et al 2018</v>
      </c>
      <c r="B330" s="132">
        <v>2018</v>
      </c>
      <c r="C330" s="117" t="s">
        <v>2063</v>
      </c>
      <c r="D330" s="117" t="s">
        <v>2419</v>
      </c>
    </row>
    <row r="331" spans="1:12" ht="15.75" customHeight="1">
      <c r="A331" s="131" t="str">
        <f>HYPERLINK("https://doi.org/10.1371/journal.pbio.2006062","Tennessen et al 2018")</f>
        <v>Tennessen et al 2018</v>
      </c>
      <c r="B331" s="132">
        <v>2018</v>
      </c>
      <c r="C331" s="117" t="s">
        <v>1702</v>
      </c>
      <c r="D331" s="117" t="s">
        <v>2420</v>
      </c>
    </row>
    <row r="332" spans="1:12" ht="15.75" customHeight="1">
      <c r="A332" s="133" t="str">
        <f>HYPERLINK("https://www.ncbi.nlm.nih.gov/pmc/articles/PMC6162277/","Torres et al 2018")</f>
        <v>Torres et al 2018</v>
      </c>
      <c r="B332" s="132">
        <v>2018</v>
      </c>
      <c r="C332" s="117" t="s">
        <v>1702</v>
      </c>
      <c r="D332" s="117" t="s">
        <v>2421</v>
      </c>
    </row>
    <row r="333" spans="1:12" ht="15.75" customHeight="1">
      <c r="A333" s="131" t="str">
        <f>HYPERLINK("https://doi.org/10.3390/genes9060277","Veltsos et al 2018")</f>
        <v>Veltsos et al 2018</v>
      </c>
      <c r="B333" s="132">
        <v>2018</v>
      </c>
      <c r="C333" s="117" t="s">
        <v>1702</v>
      </c>
      <c r="D333" s="117" t="s">
        <v>2422</v>
      </c>
    </row>
    <row r="334" spans="1:12" ht="15.75" customHeight="1">
      <c r="A334" s="131" t="str">
        <f>HYPERLINK("https://doi.org/10.1007/s00122-018-3127-1 ","Wadlington and Ming 2018")</f>
        <v>Wadlington and Ming 2018</v>
      </c>
      <c r="B334" s="132">
        <v>2018</v>
      </c>
      <c r="C334" s="117" t="s">
        <v>1702</v>
      </c>
      <c r="D334" s="117" t="s">
        <v>2241</v>
      </c>
      <c r="E334" s="137"/>
      <c r="F334" s="137"/>
      <c r="G334" s="137"/>
      <c r="H334" s="137"/>
      <c r="I334" s="137"/>
    </row>
    <row r="335" spans="1:12" ht="15.75" customHeight="1">
      <c r="A335" s="131" t="str">
        <f>HYPERLINK("https://doi.org/10.1007/s00438-018-1473-y","Zhou et al 2018")</f>
        <v>Zhou et al 2018</v>
      </c>
      <c r="B335" s="132">
        <v>2018</v>
      </c>
      <c r="C335" s="117" t="s">
        <v>1702</v>
      </c>
      <c r="D335" s="117" t="s">
        <v>2237</v>
      </c>
      <c r="E335" s="137"/>
      <c r="F335" s="137"/>
    </row>
    <row r="336" spans="1:12" ht="15.75" customHeight="1">
      <c r="A336" s="128" t="str">
        <f>HYPERLINK("https://doi.org/10.3390/molecules23051048","Zhou et al 2018")</f>
        <v>Zhou et al 2018</v>
      </c>
      <c r="B336" s="132">
        <v>2018</v>
      </c>
      <c r="C336" s="117" t="s">
        <v>1707</v>
      </c>
      <c r="D336" s="117" t="s">
        <v>2423</v>
      </c>
      <c r="E336" s="137"/>
      <c r="F336" s="137"/>
      <c r="G336" s="137"/>
      <c r="H336" s="137"/>
      <c r="I336" s="137"/>
      <c r="J336" s="137"/>
      <c r="K336" s="137"/>
      <c r="L336" s="137"/>
    </row>
    <row r="337" spans="1:26" ht="15.75" customHeight="1">
      <c r="A337" s="145" t="str">
        <f>HYPERLINK("https://www.ncbi.nlm.nih.gov/pmc/articles/PMC6128410/","Coelho et al 2018")</f>
        <v>Coelho et al 2018</v>
      </c>
      <c r="B337" s="146">
        <v>2018</v>
      </c>
      <c r="C337" s="147" t="s">
        <v>1704</v>
      </c>
      <c r="D337" s="147" t="s">
        <v>2235</v>
      </c>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row>
    <row r="338" spans="1:26" ht="15.75" customHeight="1">
      <c r="A338" s="133" t="str">
        <f>HYPERLINK("https://www.nature.com/articles/s41598-018-37412-x","Balounová et al 2019")</f>
        <v>Balounová et al 2019</v>
      </c>
      <c r="B338" s="132">
        <v>2019</v>
      </c>
      <c r="C338" s="117" t="s">
        <v>1702</v>
      </c>
      <c r="D338" s="117" t="s">
        <v>2424</v>
      </c>
      <c r="E338" s="137"/>
      <c r="F338" s="137"/>
      <c r="G338" s="137"/>
      <c r="H338" s="137"/>
      <c r="I338" s="137"/>
      <c r="J338" s="137"/>
      <c r="K338" s="137"/>
      <c r="L338" s="137"/>
      <c r="M338" s="137"/>
      <c r="N338" s="137"/>
      <c r="O338" s="137"/>
      <c r="P338" s="137"/>
    </row>
    <row r="339" spans="1:26" ht="15.75" customHeight="1">
      <c r="A339" s="133" t="str">
        <f>HYPERLINK("https://agritrop.cirad.fr/591491/1/Cormier2019_Article_AReferenceHigh-densityGeneticM.pdf","Cormier et al 2019")</f>
        <v>Cormier et al 2019</v>
      </c>
      <c r="B339" s="132">
        <v>2019</v>
      </c>
      <c r="C339" s="117" t="s">
        <v>1702</v>
      </c>
      <c r="D339" s="117" t="s">
        <v>2244</v>
      </c>
      <c r="E339" s="137"/>
      <c r="F339" s="137"/>
      <c r="G339" s="137"/>
      <c r="H339" s="137"/>
      <c r="I339" s="137"/>
      <c r="J339" s="137"/>
      <c r="K339" s="137"/>
      <c r="L339" s="137"/>
      <c r="M339" s="137"/>
      <c r="N339" s="137"/>
    </row>
    <row r="340" spans="1:26" ht="15.75" customHeight="1">
      <c r="A340" s="133" t="str">
        <f>HYPERLINK("https://www.tandfonline.com/doi/full/10.1080/14620316.2018.1538707?scroll=top&amp;needAccess=true","Goyat et al 2019")</f>
        <v>Goyat et al 2019</v>
      </c>
      <c r="B340" s="132">
        <v>2019</v>
      </c>
      <c r="C340" s="117" t="s">
        <v>1707</v>
      </c>
      <c r="D340" s="117" t="s">
        <v>2259</v>
      </c>
    </row>
    <row r="341" spans="1:26" ht="15.75" customHeight="1">
      <c r="A341" s="133" t="str">
        <f>HYPERLINK("https://www.ncbi.nlm.nih.gov/pmc/articles/PMC6335074/pdf/PBI-17-397.pdf","Jia et al 2019")</f>
        <v>Jia et al 2019</v>
      </c>
      <c r="B341" s="132">
        <v>2019</v>
      </c>
      <c r="C341" s="117" t="s">
        <v>1702</v>
      </c>
      <c r="D341" s="117" t="s">
        <v>2425</v>
      </c>
    </row>
    <row r="342" spans="1:26" ht="15.75" customHeight="1">
      <c r="A342" s="133" t="str">
        <f>HYPERLINK("https://academic.oup.com/gbe/article/11/2/350/5288778","Martin et al 2019")</f>
        <v>Martin et al 2019</v>
      </c>
      <c r="B342" s="132">
        <v>2019</v>
      </c>
      <c r="C342" s="117" t="s">
        <v>1702</v>
      </c>
      <c r="D342" s="117" t="s">
        <v>2426</v>
      </c>
    </row>
    <row r="343" spans="1:26" ht="15.75" customHeight="1">
      <c r="A343" s="138" t="e">
        <f>HYPERLINK("https://www.cambridge.org/core/services/aop-cambridge-core/content/view/9072C8D7BB4DBFE410417166CB791D0E/S0043174519000274a.pdf/div-class-title-sex-specific-markers-for-waterhemp-span-class-italic-amaranthus-tuberculatus-span-and-palmer-amaranth-span-clas"&amp;"s-italic-amaranthus-palmeri-span-div.pdf","Montgomery et al 2019")</f>
        <v>#VALUE!</v>
      </c>
      <c r="B343" s="132">
        <v>2019</v>
      </c>
      <c r="C343" s="117" t="s">
        <v>1702</v>
      </c>
      <c r="D343" s="117" t="s">
        <v>2263</v>
      </c>
    </row>
    <row r="344" spans="1:26" ht="15.75" customHeight="1">
      <c r="A344" s="128" t="str">
        <f>HYPERLINK("https://www.biorxiv.org/content/10.1101/517946v1.abstract","Zhang et al 2019")</f>
        <v>Zhang et al 2019</v>
      </c>
      <c r="B344" s="132">
        <v>2019</v>
      </c>
      <c r="C344" s="117" t="s">
        <v>1702</v>
      </c>
      <c r="D344" s="117" t="s">
        <v>2248</v>
      </c>
    </row>
    <row r="345" spans="1:26" ht="15.75" customHeight="1">
      <c r="A345" s="159" t="str">
        <f>HYPERLINK("https://doi.org/10.1111/j.1601-5223.1957.tb03444.x","Jacobsen et al. 1956")</f>
        <v>Jacobsen et al. 1956</v>
      </c>
      <c r="B345" s="146">
        <v>1956</v>
      </c>
      <c r="C345" s="147" t="s">
        <v>1715</v>
      </c>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row>
    <row r="346" spans="1:26" ht="15.75" customHeight="1">
      <c r="A346" s="159" t="str">
        <f>HYPERLINK("https://doi.org/10.1139/g97-048","Polley et al. 1997")</f>
        <v>Polley et al. 1997</v>
      </c>
      <c r="B346" s="146">
        <v>1997</v>
      </c>
      <c r="C346" s="147" t="s">
        <v>1707</v>
      </c>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row>
    <row r="347" spans="1:26" ht="15.75" customHeight="1">
      <c r="A347" s="159" t="str">
        <f>HYPERLINK("https://doi.org/10.1046/j.1469-8137.2000.00771.x","Shepard et al. 2000")</f>
        <v>Shepard et al. 2000</v>
      </c>
      <c r="B347" s="146">
        <v>2000</v>
      </c>
      <c r="C347" s="147" t="s">
        <v>1715</v>
      </c>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row>
    <row r="348" spans="1:26" ht="15.75" customHeight="1">
      <c r="A348" s="159" t="str">
        <f>HYPERLINK("https://doi.org/10.1023/A:1024646818324","Karlov et al 2003")</f>
        <v>Karlov et al 2003</v>
      </c>
      <c r="B348" s="146">
        <v>2003</v>
      </c>
      <c r="C348" s="147" t="s">
        <v>1715</v>
      </c>
      <c r="D348" s="160"/>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row>
    <row r="349" spans="1:26" ht="15.75" customHeight="1">
      <c r="A349" s="159" t="str">
        <f>HYPERLINK("https://doi.org/10.17660/ActaHortic.2005.668.11","Danilova et al. 2005")</f>
        <v>Danilova et al. 2005</v>
      </c>
      <c r="B349" s="146">
        <v>2005</v>
      </c>
      <c r="C349" s="147" t="s">
        <v>1707</v>
      </c>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row>
    <row r="350" spans="1:26" ht="15.75" customHeight="1">
      <c r="A350" s="159" t="str">
        <f>HYPERLINK("https://doi.org/10.1134/S1022795411080023","Aleksandrov et al. 2011")</f>
        <v>Aleksandrov et al. 2011</v>
      </c>
      <c r="B350" s="146">
        <v>2011</v>
      </c>
      <c r="C350" s="147" t="s">
        <v>1707</v>
      </c>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row>
    <row r="351" spans="1:26" ht="15.75" customHeight="1">
      <c r="A351" s="131"/>
      <c r="B351" s="136"/>
      <c r="C351" s="137"/>
      <c r="D351" s="137"/>
    </row>
    <row r="352" spans="1:26" ht="15.75" customHeight="1">
      <c r="A352" s="131"/>
      <c r="B352" s="136"/>
      <c r="C352" s="137"/>
      <c r="D352" s="137"/>
    </row>
    <row r="353" spans="1:4" ht="15.75" customHeight="1">
      <c r="A353" s="131"/>
      <c r="B353" s="136"/>
      <c r="C353" s="137"/>
      <c r="D353" s="137"/>
    </row>
    <row r="354" spans="1:4" ht="15.75" customHeight="1">
      <c r="A354" s="131"/>
      <c r="B354" s="136"/>
      <c r="C354" s="137"/>
      <c r="D354" s="137"/>
    </row>
    <row r="355" spans="1:4" ht="15.75" customHeight="1">
      <c r="A355" s="131"/>
      <c r="B355" s="136"/>
      <c r="C355" s="137"/>
      <c r="D355" s="137"/>
    </row>
    <row r="356" spans="1:4" ht="15.75" customHeight="1">
      <c r="A356" s="131"/>
      <c r="B356" s="136"/>
      <c r="C356" s="137"/>
      <c r="D356" s="137"/>
    </row>
    <row r="357" spans="1:4" ht="15.75" customHeight="1">
      <c r="A357" s="131"/>
      <c r="B357" s="136"/>
      <c r="C357" s="137"/>
      <c r="D357" s="137"/>
    </row>
    <row r="358" spans="1:4" ht="15.75" customHeight="1">
      <c r="A358" s="131"/>
      <c r="B358" s="136"/>
      <c r="C358" s="137"/>
      <c r="D358" s="137"/>
    </row>
    <row r="359" spans="1:4" ht="15.75" customHeight="1">
      <c r="A359" s="131"/>
      <c r="B359" s="136"/>
      <c r="C359" s="137"/>
      <c r="D359" s="137"/>
    </row>
    <row r="360" spans="1:4" ht="15.75" customHeight="1">
      <c r="A360" s="131"/>
      <c r="B360" s="136"/>
      <c r="C360" s="137"/>
      <c r="D360" s="137"/>
    </row>
    <row r="361" spans="1:4" ht="15.75" customHeight="1">
      <c r="A361" s="131"/>
      <c r="B361" s="136"/>
      <c r="C361" s="137"/>
      <c r="D361" s="137"/>
    </row>
    <row r="362" spans="1:4" ht="15.75" customHeight="1">
      <c r="A362" s="131"/>
      <c r="B362" s="136"/>
      <c r="C362" s="137"/>
      <c r="D362" s="137"/>
    </row>
    <row r="363" spans="1:4" ht="15.75" customHeight="1">
      <c r="A363" s="131"/>
      <c r="B363" s="136"/>
      <c r="C363" s="137"/>
      <c r="D363" s="137"/>
    </row>
    <row r="364" spans="1:4" ht="15.75" customHeight="1">
      <c r="A364" s="131"/>
      <c r="B364" s="136"/>
      <c r="C364" s="137"/>
      <c r="D364" s="137"/>
    </row>
    <row r="365" spans="1:4" ht="15.75" customHeight="1">
      <c r="A365" s="131"/>
      <c r="B365" s="136"/>
      <c r="C365" s="137"/>
      <c r="D365" s="137"/>
    </row>
    <row r="366" spans="1:4" ht="15.75" customHeight="1">
      <c r="A366" s="131"/>
      <c r="B366" s="136"/>
      <c r="C366" s="137"/>
      <c r="D366" s="137"/>
    </row>
    <row r="367" spans="1:4" ht="15.75" customHeight="1">
      <c r="A367" s="131"/>
      <c r="B367" s="136"/>
      <c r="C367" s="137"/>
      <c r="D367" s="137"/>
    </row>
    <row r="368" spans="1:4" ht="15.75" customHeight="1">
      <c r="A368" s="131"/>
      <c r="B368" s="136"/>
      <c r="C368" s="137"/>
      <c r="D368" s="137"/>
    </row>
    <row r="369" spans="1:4" ht="15.75" customHeight="1">
      <c r="A369" s="131"/>
      <c r="B369" s="136"/>
      <c r="C369" s="137"/>
      <c r="D369" s="137"/>
    </row>
    <row r="370" spans="1:4" ht="15.75" customHeight="1">
      <c r="A370" s="131"/>
      <c r="B370" s="136"/>
      <c r="C370" s="137"/>
      <c r="D370" s="137"/>
    </row>
    <row r="371" spans="1:4" ht="15.75" customHeight="1">
      <c r="A371" s="131"/>
      <c r="B371" s="136"/>
      <c r="C371" s="137"/>
      <c r="D371" s="137"/>
    </row>
    <row r="372" spans="1:4" ht="15.75" customHeight="1">
      <c r="A372" s="131"/>
      <c r="B372" s="136"/>
      <c r="C372" s="137"/>
      <c r="D372" s="137"/>
    </row>
    <row r="373" spans="1:4" ht="15.75" customHeight="1">
      <c r="A373" s="131"/>
      <c r="B373" s="136"/>
      <c r="C373" s="137"/>
      <c r="D373" s="137"/>
    </row>
    <row r="374" spans="1:4" ht="15.75" customHeight="1">
      <c r="A374" s="131"/>
      <c r="B374" s="136"/>
      <c r="C374" s="137"/>
      <c r="D374" s="137"/>
    </row>
    <row r="375" spans="1:4" ht="15.75" customHeight="1">
      <c r="A375" s="131"/>
      <c r="B375" s="136"/>
      <c r="C375" s="137"/>
      <c r="D375" s="137"/>
    </row>
    <row r="376" spans="1:4" ht="15.75" customHeight="1">
      <c r="A376" s="131"/>
      <c r="B376" s="136"/>
      <c r="C376" s="137"/>
      <c r="D376" s="137"/>
    </row>
    <row r="377" spans="1:4" ht="15.75" customHeight="1">
      <c r="A377" s="131"/>
      <c r="B377" s="136"/>
      <c r="C377" s="137"/>
      <c r="D377" s="137"/>
    </row>
    <row r="378" spans="1:4" ht="15.75" customHeight="1">
      <c r="A378" s="131"/>
      <c r="B378" s="136"/>
      <c r="C378" s="137"/>
      <c r="D378" s="137"/>
    </row>
    <row r="379" spans="1:4" ht="15.75" customHeight="1">
      <c r="A379" s="131"/>
      <c r="B379" s="136"/>
      <c r="C379" s="137"/>
      <c r="D379" s="137"/>
    </row>
    <row r="380" spans="1:4" ht="15.75" customHeight="1">
      <c r="A380" s="131"/>
      <c r="B380" s="136"/>
      <c r="C380" s="137"/>
      <c r="D380" s="137"/>
    </row>
    <row r="381" spans="1:4" ht="15.75" customHeight="1">
      <c r="A381" s="131"/>
      <c r="B381" s="136"/>
      <c r="C381" s="137"/>
      <c r="D381" s="137"/>
    </row>
    <row r="382" spans="1:4" ht="15.75" customHeight="1">
      <c r="A382" s="131"/>
      <c r="B382" s="136"/>
      <c r="C382" s="137"/>
      <c r="D382" s="137"/>
    </row>
    <row r="383" spans="1:4" ht="15.75" customHeight="1">
      <c r="A383" s="131"/>
      <c r="B383" s="136"/>
      <c r="C383" s="137"/>
      <c r="D383" s="137"/>
    </row>
    <row r="384" spans="1:4" ht="15.75" customHeight="1">
      <c r="A384" s="131"/>
      <c r="B384" s="136"/>
      <c r="C384" s="137"/>
      <c r="D384" s="137"/>
    </row>
    <row r="385" spans="1:4" ht="15.75" customHeight="1">
      <c r="A385" s="131"/>
      <c r="B385" s="136"/>
      <c r="C385" s="137"/>
      <c r="D385" s="137"/>
    </row>
    <row r="386" spans="1:4" ht="15.75" customHeight="1">
      <c r="A386" s="131"/>
      <c r="B386" s="136"/>
      <c r="C386" s="137"/>
      <c r="D386" s="137"/>
    </row>
    <row r="387" spans="1:4" ht="15.75" customHeight="1">
      <c r="A387" s="131"/>
      <c r="B387" s="136"/>
      <c r="C387" s="137"/>
      <c r="D387" s="137"/>
    </row>
    <row r="388" spans="1:4" ht="15.75" customHeight="1">
      <c r="A388" s="128"/>
      <c r="B388" s="136"/>
      <c r="C388" s="137"/>
      <c r="D388" s="137"/>
    </row>
    <row r="389" spans="1:4" ht="15.75" customHeight="1">
      <c r="A389" s="128"/>
      <c r="B389" s="136"/>
      <c r="C389" s="137"/>
      <c r="D389" s="137"/>
    </row>
    <row r="390" spans="1:4" ht="15.75" customHeight="1">
      <c r="A390" s="128"/>
      <c r="B390" s="136"/>
      <c r="C390" s="137"/>
      <c r="D390" s="137"/>
    </row>
    <row r="391" spans="1:4" ht="15.75" customHeight="1">
      <c r="A391" s="128"/>
      <c r="B391" s="136"/>
      <c r="C391" s="137"/>
      <c r="D391" s="137"/>
    </row>
    <row r="392" spans="1:4" ht="15.75" customHeight="1">
      <c r="A392" s="131"/>
      <c r="B392" s="136"/>
      <c r="C392" s="137"/>
      <c r="D392" s="137"/>
    </row>
    <row r="393" spans="1:4" ht="15.75" customHeight="1">
      <c r="A393" s="131"/>
      <c r="B393" s="136"/>
      <c r="C393" s="137"/>
      <c r="D393" s="137"/>
    </row>
    <row r="394" spans="1:4" ht="15.75" customHeight="1">
      <c r="A394" s="131"/>
      <c r="B394" s="136"/>
      <c r="C394" s="137"/>
      <c r="D394" s="137"/>
    </row>
    <row r="395" spans="1:4" ht="15.75" customHeight="1">
      <c r="A395" s="131"/>
      <c r="B395" s="136"/>
      <c r="C395" s="137"/>
      <c r="D395" s="137"/>
    </row>
    <row r="396" spans="1:4" ht="15.75" customHeight="1">
      <c r="A396" s="131"/>
      <c r="B396" s="136"/>
      <c r="C396" s="137"/>
      <c r="D396" s="137"/>
    </row>
    <row r="397" spans="1:4" ht="15.75" customHeight="1">
      <c r="A397" s="131"/>
      <c r="B397" s="136"/>
      <c r="C397" s="137"/>
      <c r="D397" s="137"/>
    </row>
    <row r="398" spans="1:4" ht="15.75" customHeight="1">
      <c r="A398" s="131"/>
      <c r="B398" s="136"/>
      <c r="C398" s="137"/>
      <c r="D398" s="137"/>
    </row>
    <row r="399" spans="1:4" ht="15.75" customHeight="1">
      <c r="A399" s="131"/>
      <c r="B399" s="136"/>
      <c r="C399" s="137"/>
      <c r="D399" s="137"/>
    </row>
    <row r="400" spans="1:4" ht="15.75" customHeight="1">
      <c r="A400" s="131"/>
      <c r="B400" s="136"/>
      <c r="C400" s="137"/>
      <c r="D400" s="137"/>
    </row>
    <row r="401" spans="1:4" ht="15.75" customHeight="1">
      <c r="A401" s="131"/>
      <c r="B401" s="136"/>
      <c r="C401" s="137"/>
      <c r="D401" s="137"/>
    </row>
    <row r="402" spans="1:4" ht="15.75" customHeight="1">
      <c r="A402" s="131"/>
      <c r="B402" s="136"/>
      <c r="C402" s="137"/>
      <c r="D402" s="137"/>
    </row>
    <row r="403" spans="1:4" ht="15.75" customHeight="1">
      <c r="A403" s="128"/>
      <c r="B403" s="136"/>
      <c r="C403" s="137"/>
      <c r="D403" s="137"/>
    </row>
    <row r="404" spans="1:4" ht="15.75" customHeight="1">
      <c r="A404" s="131"/>
      <c r="B404" s="136"/>
      <c r="C404" s="137"/>
      <c r="D404" s="137"/>
    </row>
    <row r="405" spans="1:4" ht="15.75" customHeight="1">
      <c r="A405" s="131"/>
      <c r="B405" s="136"/>
      <c r="C405" s="137"/>
      <c r="D405" s="137"/>
    </row>
    <row r="406" spans="1:4" ht="15.75" customHeight="1">
      <c r="A406" s="131"/>
      <c r="B406" s="136"/>
      <c r="C406" s="137"/>
      <c r="D406" s="137"/>
    </row>
    <row r="407" spans="1:4" ht="15.75" customHeight="1">
      <c r="A407" s="131"/>
      <c r="B407" s="136"/>
      <c r="C407" s="137"/>
      <c r="D407" s="137"/>
    </row>
    <row r="408" spans="1:4" ht="15.75" customHeight="1">
      <c r="A408" s="131"/>
      <c r="B408" s="136"/>
      <c r="C408" s="137"/>
      <c r="D408" s="137"/>
    </row>
    <row r="409" spans="1:4" ht="15.75" customHeight="1">
      <c r="A409" s="131"/>
      <c r="B409" s="136"/>
      <c r="C409" s="137"/>
      <c r="D409" s="137"/>
    </row>
    <row r="410" spans="1:4" ht="15.75" customHeight="1">
      <c r="A410" s="131"/>
      <c r="B410" s="136"/>
      <c r="C410" s="137"/>
      <c r="D410" s="137"/>
    </row>
    <row r="411" spans="1:4" ht="15.75" customHeight="1">
      <c r="A411" s="131"/>
      <c r="B411" s="136"/>
      <c r="C411" s="137"/>
      <c r="D411" s="137"/>
    </row>
    <row r="412" spans="1:4" ht="15.75" customHeight="1">
      <c r="A412" s="131"/>
      <c r="B412" s="136"/>
      <c r="C412" s="137"/>
      <c r="D412" s="137"/>
    </row>
    <row r="413" spans="1:4" ht="15.75" customHeight="1">
      <c r="A413" s="131"/>
      <c r="B413" s="136"/>
      <c r="C413" s="137"/>
      <c r="D413" s="137"/>
    </row>
    <row r="414" spans="1:4" ht="15.75" customHeight="1">
      <c r="A414" s="131"/>
      <c r="B414" s="136"/>
      <c r="C414" s="137"/>
      <c r="D414" s="137"/>
    </row>
    <row r="415" spans="1:4" ht="15.75" customHeight="1">
      <c r="A415" s="131"/>
      <c r="B415" s="136"/>
      <c r="C415" s="137"/>
      <c r="D415" s="137"/>
    </row>
    <row r="416" spans="1:4" ht="15.75" customHeight="1">
      <c r="A416" s="131"/>
      <c r="B416" s="136"/>
      <c r="C416" s="137"/>
      <c r="D416" s="137"/>
    </row>
    <row r="417" spans="1:4" ht="15.75" customHeight="1">
      <c r="A417" s="131"/>
      <c r="B417" s="136"/>
      <c r="C417" s="137"/>
      <c r="D417" s="137"/>
    </row>
    <row r="418" spans="1:4" ht="15.75" customHeight="1">
      <c r="A418" s="131"/>
      <c r="B418" s="136"/>
      <c r="C418" s="137"/>
      <c r="D418" s="137"/>
    </row>
    <row r="419" spans="1:4" ht="15.75" customHeight="1">
      <c r="A419" s="131"/>
      <c r="B419" s="136"/>
      <c r="C419" s="137"/>
      <c r="D419" s="137"/>
    </row>
    <row r="420" spans="1:4" ht="15.75" customHeight="1">
      <c r="A420" s="131"/>
      <c r="B420" s="136"/>
      <c r="C420" s="137"/>
      <c r="D420" s="137"/>
    </row>
    <row r="421" spans="1:4" ht="15.75" customHeight="1">
      <c r="A421" s="131"/>
      <c r="B421" s="136"/>
      <c r="C421" s="137"/>
      <c r="D421" s="137"/>
    </row>
    <row r="422" spans="1:4" ht="15.75" customHeight="1">
      <c r="A422" s="131"/>
      <c r="B422" s="136"/>
      <c r="C422" s="137"/>
      <c r="D422" s="137"/>
    </row>
    <row r="423" spans="1:4" ht="15.75" customHeight="1">
      <c r="A423" s="131"/>
      <c r="B423" s="136"/>
      <c r="C423" s="137"/>
      <c r="D423" s="137"/>
    </row>
    <row r="424" spans="1:4" ht="15.75" customHeight="1">
      <c r="A424" s="131"/>
      <c r="B424" s="136"/>
      <c r="C424" s="137"/>
      <c r="D424" s="137"/>
    </row>
    <row r="425" spans="1:4" ht="15.75" customHeight="1">
      <c r="A425" s="131"/>
      <c r="B425" s="136"/>
      <c r="C425" s="137"/>
      <c r="D425" s="137"/>
    </row>
    <row r="426" spans="1:4" ht="15.75" customHeight="1">
      <c r="A426" s="131"/>
      <c r="B426" s="136"/>
      <c r="C426" s="137"/>
      <c r="D426" s="137"/>
    </row>
    <row r="427" spans="1:4" ht="15.75" customHeight="1">
      <c r="A427" s="131"/>
      <c r="B427" s="136"/>
      <c r="C427" s="137"/>
      <c r="D427" s="137"/>
    </row>
    <row r="428" spans="1:4" ht="15.75" customHeight="1">
      <c r="A428" s="131"/>
      <c r="B428" s="136"/>
      <c r="C428" s="137"/>
      <c r="D428" s="137"/>
    </row>
    <row r="429" spans="1:4" ht="15.75" customHeight="1">
      <c r="A429" s="131"/>
      <c r="B429" s="136"/>
      <c r="C429" s="137"/>
      <c r="D429" s="137"/>
    </row>
    <row r="430" spans="1:4" ht="15.75" customHeight="1">
      <c r="A430" s="131"/>
      <c r="B430" s="136"/>
      <c r="C430" s="137"/>
      <c r="D430" s="137"/>
    </row>
    <row r="431" spans="1:4" ht="15.75" customHeight="1">
      <c r="A431" s="131"/>
      <c r="B431" s="136"/>
      <c r="C431" s="137"/>
      <c r="D431" s="137"/>
    </row>
    <row r="432" spans="1:4" ht="15.75" customHeight="1">
      <c r="A432" s="131"/>
      <c r="B432" s="136"/>
      <c r="C432" s="137"/>
      <c r="D432" s="137"/>
    </row>
    <row r="433" spans="1:4" ht="15.75" customHeight="1">
      <c r="A433" s="131"/>
      <c r="B433" s="136"/>
      <c r="C433" s="137"/>
      <c r="D433" s="137"/>
    </row>
    <row r="434" spans="1:4" ht="15.75" customHeight="1">
      <c r="A434" s="131"/>
      <c r="B434" s="136"/>
      <c r="C434" s="137"/>
      <c r="D434" s="137"/>
    </row>
    <row r="435" spans="1:4" ht="15.75" customHeight="1">
      <c r="A435" s="131"/>
      <c r="B435" s="136"/>
      <c r="C435" s="137"/>
      <c r="D435" s="137"/>
    </row>
    <row r="436" spans="1:4" ht="15.75" customHeight="1">
      <c r="A436" s="131"/>
      <c r="B436" s="136"/>
      <c r="C436" s="137"/>
      <c r="D436" s="137"/>
    </row>
    <row r="437" spans="1:4" ht="15.75" customHeight="1">
      <c r="A437" s="131"/>
      <c r="B437" s="136"/>
      <c r="C437" s="137"/>
      <c r="D437" s="137"/>
    </row>
    <row r="438" spans="1:4" ht="15.75" customHeight="1">
      <c r="A438" s="131"/>
      <c r="B438" s="136"/>
      <c r="C438" s="137"/>
      <c r="D438" s="137"/>
    </row>
    <row r="439" spans="1:4" ht="15.75" customHeight="1">
      <c r="A439" s="131"/>
      <c r="B439" s="136"/>
      <c r="C439" s="137"/>
      <c r="D439" s="137"/>
    </row>
    <row r="440" spans="1:4" ht="15.75" customHeight="1">
      <c r="A440" s="131"/>
      <c r="B440" s="136"/>
      <c r="C440" s="137"/>
      <c r="D440" s="137"/>
    </row>
    <row r="441" spans="1:4" ht="15.75" customHeight="1">
      <c r="A441" s="131"/>
      <c r="B441" s="136"/>
      <c r="C441" s="137"/>
      <c r="D441" s="137"/>
    </row>
    <row r="442" spans="1:4" ht="15.75" customHeight="1">
      <c r="A442" s="131"/>
      <c r="B442" s="136"/>
      <c r="C442" s="137"/>
      <c r="D442" s="137"/>
    </row>
    <row r="443" spans="1:4" ht="15.75" customHeight="1">
      <c r="A443" s="131"/>
      <c r="B443" s="136"/>
      <c r="C443" s="137"/>
      <c r="D443" s="137"/>
    </row>
    <row r="444" spans="1:4" ht="15.75" customHeight="1">
      <c r="A444" s="131"/>
      <c r="B444" s="136"/>
      <c r="C444" s="137"/>
      <c r="D444" s="137"/>
    </row>
    <row r="445" spans="1:4" ht="15.75" customHeight="1">
      <c r="A445" s="131"/>
      <c r="B445" s="136"/>
      <c r="C445" s="137"/>
      <c r="D445" s="137"/>
    </row>
    <row r="446" spans="1:4" ht="15.75" customHeight="1">
      <c r="A446" s="131"/>
      <c r="B446" s="136"/>
      <c r="C446" s="137"/>
      <c r="D446" s="137"/>
    </row>
    <row r="447" spans="1:4" ht="15.75" customHeight="1">
      <c r="A447" s="131"/>
      <c r="B447" s="136"/>
      <c r="C447" s="137"/>
      <c r="D447" s="137"/>
    </row>
    <row r="448" spans="1:4" ht="15.75" customHeight="1">
      <c r="A448" s="131"/>
      <c r="B448" s="136"/>
      <c r="C448" s="137"/>
      <c r="D448" s="137"/>
    </row>
    <row r="449" spans="1:4" ht="15.75" customHeight="1">
      <c r="A449" s="131"/>
      <c r="B449" s="136"/>
      <c r="C449" s="137"/>
      <c r="D449" s="137"/>
    </row>
    <row r="450" spans="1:4" ht="15.75" customHeight="1">
      <c r="A450" s="131"/>
      <c r="B450" s="136"/>
      <c r="C450" s="137"/>
      <c r="D450" s="137"/>
    </row>
    <row r="451" spans="1:4" ht="15.75" customHeight="1">
      <c r="A451" s="131"/>
      <c r="B451" s="136"/>
      <c r="C451" s="137"/>
      <c r="D451" s="137"/>
    </row>
    <row r="452" spans="1:4" ht="15.75" customHeight="1">
      <c r="A452" s="131"/>
      <c r="B452" s="136"/>
      <c r="C452" s="137"/>
      <c r="D452" s="137"/>
    </row>
    <row r="453" spans="1:4" ht="15.75" customHeight="1">
      <c r="A453" s="131"/>
      <c r="B453" s="136"/>
      <c r="C453" s="137"/>
      <c r="D453" s="137"/>
    </row>
    <row r="454" spans="1:4" ht="15.75" customHeight="1">
      <c r="A454" s="131"/>
      <c r="B454" s="136"/>
      <c r="C454" s="137"/>
      <c r="D454" s="137"/>
    </row>
    <row r="455" spans="1:4" ht="15.75" customHeight="1">
      <c r="A455" s="131"/>
      <c r="B455" s="136"/>
      <c r="C455" s="137"/>
      <c r="D455" s="137"/>
    </row>
    <row r="456" spans="1:4" ht="15.75" customHeight="1">
      <c r="A456" s="131"/>
      <c r="B456" s="136"/>
      <c r="C456" s="137"/>
      <c r="D456" s="137"/>
    </row>
    <row r="457" spans="1:4" ht="15.75" customHeight="1">
      <c r="A457" s="131"/>
      <c r="B457" s="136"/>
      <c r="C457" s="137"/>
      <c r="D457" s="137"/>
    </row>
    <row r="458" spans="1:4" ht="15.75" customHeight="1">
      <c r="A458" s="131"/>
      <c r="B458" s="136"/>
      <c r="C458" s="137"/>
      <c r="D458" s="137"/>
    </row>
    <row r="459" spans="1:4" ht="15.75" customHeight="1">
      <c r="A459" s="161"/>
      <c r="B459" s="136"/>
      <c r="C459" s="137"/>
      <c r="D459" s="137"/>
    </row>
    <row r="460" spans="1:4" ht="15.75" customHeight="1">
      <c r="A460" s="161"/>
      <c r="B460" s="136"/>
      <c r="C460" s="137"/>
      <c r="D460" s="137"/>
    </row>
    <row r="461" spans="1:4" ht="15.75" customHeight="1">
      <c r="A461" s="161"/>
      <c r="B461" s="136"/>
      <c r="C461" s="137"/>
      <c r="D461" s="137"/>
    </row>
    <row r="462" spans="1:4" ht="15.75" customHeight="1">
      <c r="A462" s="161"/>
      <c r="B462" s="136"/>
      <c r="C462" s="137"/>
      <c r="D462" s="137"/>
    </row>
    <row r="463" spans="1:4" ht="15.75" customHeight="1">
      <c r="A463" s="161"/>
      <c r="B463" s="136"/>
      <c r="C463" s="137"/>
      <c r="D463" s="137"/>
    </row>
    <row r="464" spans="1:4" ht="15.75" customHeight="1">
      <c r="A464" s="161"/>
      <c r="B464" s="136"/>
      <c r="C464" s="137"/>
      <c r="D464" s="137"/>
    </row>
    <row r="465" spans="1:4" ht="15.75" customHeight="1">
      <c r="A465" s="161"/>
      <c r="B465" s="136"/>
      <c r="C465" s="137"/>
      <c r="D465" s="137"/>
    </row>
    <row r="466" spans="1:4" ht="15.75" customHeight="1">
      <c r="A466" s="161"/>
      <c r="B466" s="136"/>
      <c r="C466" s="137"/>
      <c r="D466" s="137"/>
    </row>
    <row r="467" spans="1:4" ht="15.75" customHeight="1">
      <c r="A467" s="161"/>
      <c r="B467" s="136"/>
      <c r="C467" s="137"/>
      <c r="D467" s="137"/>
    </row>
    <row r="468" spans="1:4" ht="15.75" customHeight="1">
      <c r="A468" s="161"/>
      <c r="B468" s="136"/>
      <c r="C468" s="137"/>
      <c r="D468" s="137"/>
    </row>
    <row r="469" spans="1:4" ht="15.75" customHeight="1">
      <c r="A469" s="161"/>
      <c r="B469" s="136"/>
      <c r="C469" s="137"/>
      <c r="D469" s="137"/>
    </row>
    <row r="470" spans="1:4" ht="15.75" customHeight="1">
      <c r="A470" s="161"/>
      <c r="B470" s="136"/>
      <c r="C470" s="137"/>
      <c r="D470" s="137"/>
    </row>
    <row r="471" spans="1:4" ht="15.75" customHeight="1">
      <c r="A471" s="161"/>
      <c r="B471" s="136"/>
      <c r="C471" s="137"/>
      <c r="D471" s="137"/>
    </row>
    <row r="472" spans="1:4" ht="15.75" customHeight="1">
      <c r="A472" s="161"/>
      <c r="B472" s="136"/>
      <c r="C472" s="137"/>
      <c r="D472" s="137"/>
    </row>
    <row r="473" spans="1:4" ht="15.75" customHeight="1">
      <c r="A473" s="161"/>
      <c r="B473" s="136"/>
      <c r="C473" s="137"/>
      <c r="D473" s="137"/>
    </row>
    <row r="474" spans="1:4" ht="15.75" customHeight="1">
      <c r="A474" s="161"/>
      <c r="B474" s="136"/>
      <c r="C474" s="137"/>
      <c r="D474" s="137"/>
    </row>
    <row r="475" spans="1:4" ht="15.75" customHeight="1">
      <c r="A475" s="161"/>
      <c r="B475" s="136"/>
      <c r="C475" s="137"/>
      <c r="D475" s="137"/>
    </row>
    <row r="476" spans="1:4" ht="15.75" customHeight="1">
      <c r="A476" s="161"/>
      <c r="B476" s="136"/>
      <c r="C476" s="137"/>
      <c r="D476" s="137"/>
    </row>
    <row r="477" spans="1:4" ht="15.75" customHeight="1">
      <c r="A477" s="161"/>
      <c r="B477" s="136"/>
      <c r="C477" s="137"/>
      <c r="D477" s="137"/>
    </row>
    <row r="478" spans="1:4" ht="15.75" customHeight="1">
      <c r="A478" s="161"/>
      <c r="B478" s="136"/>
      <c r="C478" s="137"/>
      <c r="D478" s="137"/>
    </row>
    <row r="479" spans="1:4" ht="15.75" customHeight="1">
      <c r="A479" s="161"/>
      <c r="B479" s="136"/>
      <c r="C479" s="137"/>
      <c r="D479" s="137"/>
    </row>
    <row r="480" spans="1:4" ht="15.75" customHeight="1">
      <c r="A480" s="161"/>
      <c r="B480" s="136"/>
      <c r="C480" s="137"/>
      <c r="D480" s="137"/>
    </row>
    <row r="481" spans="1:4" ht="15.75" customHeight="1">
      <c r="A481" s="161"/>
      <c r="B481" s="136"/>
      <c r="C481" s="137"/>
      <c r="D481" s="137"/>
    </row>
    <row r="482" spans="1:4" ht="15.75" customHeight="1">
      <c r="A482" s="161"/>
      <c r="B482" s="136"/>
      <c r="C482" s="137"/>
      <c r="D482" s="137"/>
    </row>
    <row r="483" spans="1:4" ht="15.75" customHeight="1">
      <c r="A483" s="161"/>
      <c r="B483" s="136"/>
      <c r="C483" s="137"/>
      <c r="D483" s="137"/>
    </row>
    <row r="484" spans="1:4" ht="15.75" customHeight="1">
      <c r="A484" s="161"/>
      <c r="B484" s="136"/>
      <c r="C484" s="137"/>
      <c r="D484" s="137"/>
    </row>
    <row r="485" spans="1:4" ht="15.75" customHeight="1">
      <c r="A485" s="161"/>
      <c r="B485" s="136"/>
      <c r="C485" s="137"/>
      <c r="D485" s="137"/>
    </row>
    <row r="486" spans="1:4" ht="15.75" customHeight="1">
      <c r="A486" s="161"/>
      <c r="B486" s="136"/>
      <c r="C486" s="137"/>
      <c r="D486" s="137"/>
    </row>
    <row r="487" spans="1:4" ht="15.75" customHeight="1">
      <c r="A487" s="161"/>
      <c r="B487" s="136"/>
      <c r="C487" s="137"/>
      <c r="D487" s="137"/>
    </row>
    <row r="488" spans="1:4" ht="15.75" customHeight="1">
      <c r="A488" s="161"/>
      <c r="B488" s="136"/>
      <c r="C488" s="137"/>
      <c r="D488" s="137"/>
    </row>
    <row r="489" spans="1:4" ht="15.75" customHeight="1">
      <c r="A489" s="161"/>
      <c r="B489" s="136"/>
      <c r="C489" s="137"/>
      <c r="D489" s="137"/>
    </row>
    <row r="490" spans="1:4" ht="15.75" customHeight="1">
      <c r="A490" s="161"/>
      <c r="B490" s="136"/>
      <c r="C490" s="137"/>
      <c r="D490" s="137"/>
    </row>
    <row r="491" spans="1:4" ht="15.75" customHeight="1">
      <c r="A491" s="161"/>
      <c r="B491" s="136"/>
      <c r="C491" s="137"/>
      <c r="D491" s="137"/>
    </row>
    <row r="492" spans="1:4" ht="15.75" customHeight="1">
      <c r="A492" s="161"/>
      <c r="B492" s="136"/>
      <c r="C492" s="137"/>
      <c r="D492" s="137"/>
    </row>
    <row r="493" spans="1:4" ht="15.75" customHeight="1">
      <c r="A493" s="161"/>
      <c r="B493" s="136"/>
      <c r="C493" s="137"/>
      <c r="D493" s="137"/>
    </row>
    <row r="494" spans="1:4" ht="15.75" customHeight="1">
      <c r="A494" s="161"/>
      <c r="B494" s="136"/>
      <c r="C494" s="137"/>
      <c r="D494" s="137"/>
    </row>
    <row r="495" spans="1:4" ht="15.75" customHeight="1">
      <c r="A495" s="161"/>
      <c r="B495" s="136"/>
      <c r="C495" s="137"/>
      <c r="D495" s="137"/>
    </row>
    <row r="496" spans="1:4" ht="15.75" customHeight="1">
      <c r="A496" s="161"/>
      <c r="B496" s="136"/>
      <c r="C496" s="137"/>
      <c r="D496" s="137"/>
    </row>
    <row r="497" spans="1:4" ht="15.75" customHeight="1">
      <c r="A497" s="161"/>
      <c r="B497" s="136"/>
      <c r="C497" s="137"/>
      <c r="D497" s="137"/>
    </row>
    <row r="498" spans="1:4" ht="15.75" customHeight="1">
      <c r="A498" s="161"/>
      <c r="B498" s="136"/>
      <c r="C498" s="137"/>
      <c r="D498" s="137"/>
    </row>
    <row r="499" spans="1:4" ht="15.75" customHeight="1">
      <c r="A499" s="161"/>
      <c r="B499" s="136"/>
      <c r="C499" s="137"/>
      <c r="D499" s="137"/>
    </row>
    <row r="500" spans="1:4" ht="15.75" customHeight="1">
      <c r="A500" s="161"/>
      <c r="B500" s="136"/>
      <c r="C500" s="137"/>
      <c r="D500" s="137"/>
    </row>
    <row r="501" spans="1:4" ht="15.75" customHeight="1">
      <c r="A501" s="161"/>
      <c r="B501" s="136"/>
      <c r="C501" s="137"/>
      <c r="D501" s="137"/>
    </row>
    <row r="502" spans="1:4" ht="15.75" customHeight="1">
      <c r="A502" s="161"/>
      <c r="B502" s="136"/>
      <c r="C502" s="137"/>
      <c r="D502" s="137"/>
    </row>
    <row r="503" spans="1:4" ht="15.75" customHeight="1">
      <c r="A503" s="161"/>
      <c r="B503" s="136"/>
      <c r="C503" s="137"/>
      <c r="D503" s="137"/>
    </row>
    <row r="504" spans="1:4" ht="15.75" customHeight="1">
      <c r="A504" s="161"/>
      <c r="B504" s="136"/>
      <c r="C504" s="137"/>
      <c r="D504" s="137"/>
    </row>
    <row r="505" spans="1:4" ht="15.75" customHeight="1">
      <c r="A505" s="161"/>
      <c r="B505" s="136"/>
      <c r="C505" s="137"/>
      <c r="D505" s="137"/>
    </row>
    <row r="506" spans="1:4" ht="15.75" customHeight="1">
      <c r="A506" s="161"/>
      <c r="B506" s="136"/>
      <c r="C506" s="137"/>
      <c r="D506" s="137"/>
    </row>
    <row r="507" spans="1:4" ht="15.75" customHeight="1">
      <c r="A507" s="161"/>
      <c r="B507" s="136"/>
      <c r="C507" s="137"/>
      <c r="D507" s="137"/>
    </row>
    <row r="508" spans="1:4" ht="15.75" customHeight="1">
      <c r="A508" s="128"/>
      <c r="B508" s="136"/>
      <c r="C508" s="137"/>
      <c r="D508" s="137"/>
    </row>
    <row r="509" spans="1:4" ht="15.75" customHeight="1">
      <c r="A509" s="161"/>
      <c r="B509" s="136"/>
      <c r="C509" s="137"/>
      <c r="D509" s="137"/>
    </row>
    <row r="510" spans="1:4" ht="15.75" customHeight="1">
      <c r="A510" s="161"/>
      <c r="B510" s="136"/>
      <c r="C510" s="137"/>
      <c r="D510" s="137"/>
    </row>
    <row r="511" spans="1:4" ht="15.75" customHeight="1">
      <c r="A511" s="161"/>
      <c r="B511" s="136"/>
      <c r="C511" s="137"/>
      <c r="D511" s="137"/>
    </row>
    <row r="512" spans="1:4" ht="15.75" customHeight="1">
      <c r="A512" s="161"/>
      <c r="B512" s="136"/>
      <c r="C512" s="137"/>
      <c r="D512" s="137"/>
    </row>
    <row r="513" spans="1:4" ht="15.75" customHeight="1">
      <c r="A513" s="161"/>
      <c r="B513" s="136"/>
      <c r="C513" s="137"/>
      <c r="D513" s="137"/>
    </row>
    <row r="514" spans="1:4" ht="15.75" customHeight="1">
      <c r="A514" s="161"/>
      <c r="B514" s="136"/>
      <c r="C514" s="137"/>
      <c r="D514" s="137"/>
    </row>
    <row r="515" spans="1:4" ht="15.75" customHeight="1">
      <c r="A515" s="161"/>
      <c r="B515" s="136"/>
      <c r="C515" s="137"/>
      <c r="D515" s="137"/>
    </row>
    <row r="516" spans="1:4" ht="15.75" customHeight="1">
      <c r="A516" s="161"/>
      <c r="B516" s="136"/>
      <c r="C516" s="137"/>
      <c r="D516" s="137"/>
    </row>
    <row r="517" spans="1:4" ht="15.75" customHeight="1">
      <c r="A517" s="161"/>
      <c r="B517" s="136"/>
      <c r="C517" s="137"/>
      <c r="D517" s="137"/>
    </row>
    <row r="518" spans="1:4" ht="15.75" customHeight="1">
      <c r="A518" s="161"/>
      <c r="B518" s="136"/>
      <c r="C518" s="137"/>
      <c r="D518" s="137"/>
    </row>
    <row r="519" spans="1:4" ht="15.75" customHeight="1">
      <c r="A519" s="161"/>
      <c r="B519" s="136"/>
      <c r="C519" s="137"/>
      <c r="D519" s="137"/>
    </row>
    <row r="520" spans="1:4" ht="15.75" customHeight="1">
      <c r="A520" s="131"/>
      <c r="B520" s="136"/>
      <c r="C520" s="137"/>
      <c r="D520" s="137"/>
    </row>
    <row r="521" spans="1:4" ht="15.75" customHeight="1">
      <c r="A521" s="131"/>
      <c r="B521" s="136"/>
      <c r="C521" s="137"/>
      <c r="D521" s="137"/>
    </row>
    <row r="522" spans="1:4" ht="15.75" customHeight="1">
      <c r="A522" s="161"/>
      <c r="B522" s="136"/>
      <c r="C522" s="137"/>
      <c r="D522" s="137"/>
    </row>
    <row r="523" spans="1:4" ht="15.75" customHeight="1">
      <c r="A523" s="161"/>
      <c r="B523" s="136"/>
      <c r="C523" s="137"/>
      <c r="D523" s="137"/>
    </row>
    <row r="524" spans="1:4" ht="15.75" customHeight="1">
      <c r="A524" s="161"/>
      <c r="B524" s="136"/>
      <c r="C524" s="137"/>
      <c r="D524" s="137"/>
    </row>
    <row r="525" spans="1:4" ht="15.75" customHeight="1">
      <c r="A525" s="161"/>
      <c r="B525" s="136"/>
      <c r="C525" s="137"/>
      <c r="D525" s="137"/>
    </row>
    <row r="526" spans="1:4" ht="15.75" customHeight="1">
      <c r="A526" s="161"/>
      <c r="B526" s="136"/>
      <c r="C526" s="137"/>
      <c r="D526" s="137"/>
    </row>
    <row r="527" spans="1:4" ht="15.75" customHeight="1">
      <c r="A527" s="161"/>
      <c r="B527" s="136"/>
      <c r="C527" s="137"/>
      <c r="D527" s="137"/>
    </row>
    <row r="528" spans="1:4" ht="15.75" customHeight="1">
      <c r="A528" s="161"/>
      <c r="B528" s="136"/>
      <c r="C528" s="137"/>
      <c r="D528" s="137"/>
    </row>
    <row r="529" spans="1:4" ht="15.75" customHeight="1">
      <c r="A529" s="131"/>
      <c r="B529" s="136"/>
      <c r="C529" s="137"/>
      <c r="D529" s="137"/>
    </row>
    <row r="530" spans="1:4" ht="15.75" customHeight="1">
      <c r="A530" s="131"/>
      <c r="B530" s="136"/>
      <c r="C530" s="137"/>
      <c r="D530" s="137"/>
    </row>
    <row r="531" spans="1:4" ht="15.75" customHeight="1">
      <c r="A531" s="161"/>
      <c r="B531" s="136"/>
      <c r="C531" s="137"/>
      <c r="D531" s="137"/>
    </row>
    <row r="532" spans="1:4" ht="15.75" customHeight="1">
      <c r="A532" s="161"/>
      <c r="B532" s="136"/>
      <c r="C532" s="137"/>
      <c r="D532" s="137"/>
    </row>
    <row r="533" spans="1:4" ht="15.75" customHeight="1">
      <c r="A533" s="161"/>
      <c r="B533" s="136"/>
      <c r="C533" s="137"/>
      <c r="D533" s="137"/>
    </row>
    <row r="534" spans="1:4" ht="15.75" customHeight="1">
      <c r="A534" s="161"/>
      <c r="B534" s="136"/>
      <c r="C534" s="137"/>
      <c r="D534" s="137"/>
    </row>
    <row r="535" spans="1:4" ht="15.75" customHeight="1">
      <c r="A535" s="161"/>
      <c r="B535" s="136"/>
      <c r="C535" s="137"/>
      <c r="D535" s="137"/>
    </row>
    <row r="536" spans="1:4" ht="15.75" customHeight="1">
      <c r="A536" s="131"/>
      <c r="B536" s="136"/>
      <c r="C536" s="137"/>
      <c r="D536" s="137"/>
    </row>
    <row r="537" spans="1:4" ht="15.75" customHeight="1">
      <c r="A537" s="131"/>
      <c r="B537" s="136"/>
      <c r="C537" s="137"/>
      <c r="D537" s="137"/>
    </row>
    <row r="538" spans="1:4" ht="15.75" customHeight="1">
      <c r="A538" s="161"/>
      <c r="B538" s="136"/>
      <c r="C538" s="137"/>
      <c r="D538" s="137"/>
    </row>
    <row r="539" spans="1:4" ht="15.75" customHeight="1">
      <c r="A539" s="161"/>
      <c r="B539" s="136"/>
      <c r="C539" s="137"/>
      <c r="D539" s="137"/>
    </row>
    <row r="540" spans="1:4" ht="15.75" customHeight="1">
      <c r="A540" s="161"/>
      <c r="B540" s="136"/>
      <c r="C540" s="137"/>
      <c r="D540" s="137"/>
    </row>
    <row r="541" spans="1:4" ht="15.75" customHeight="1">
      <c r="A541" s="161"/>
      <c r="B541" s="136"/>
      <c r="C541" s="137"/>
      <c r="D541" s="137"/>
    </row>
    <row r="542" spans="1:4" ht="15.75" customHeight="1">
      <c r="A542" s="161"/>
      <c r="B542" s="136"/>
      <c r="C542" s="137"/>
      <c r="D542" s="137"/>
    </row>
    <row r="543" spans="1:4" ht="15.75" customHeight="1">
      <c r="A543" s="161"/>
      <c r="B543" s="136"/>
      <c r="C543" s="137"/>
      <c r="D543" s="137"/>
    </row>
    <row r="544" spans="1:4" ht="15.75" customHeight="1">
      <c r="A544" s="161"/>
      <c r="B544" s="136"/>
      <c r="C544" s="137"/>
      <c r="D544" s="137"/>
    </row>
    <row r="545" spans="1:4" ht="15.75" customHeight="1">
      <c r="A545" s="161"/>
      <c r="B545" s="136"/>
      <c r="C545" s="137"/>
      <c r="D545" s="137"/>
    </row>
    <row r="546" spans="1:4" ht="15.75" customHeight="1">
      <c r="A546" s="128"/>
      <c r="B546" s="136"/>
      <c r="C546" s="137"/>
      <c r="D546" s="137"/>
    </row>
    <row r="547" spans="1:4" ht="15.75" customHeight="1">
      <c r="A547" s="128"/>
      <c r="B547" s="136"/>
      <c r="C547" s="137"/>
      <c r="D547" s="137"/>
    </row>
    <row r="548" spans="1:4" ht="15.75" customHeight="1">
      <c r="A548" s="161"/>
      <c r="B548" s="136"/>
      <c r="C548" s="137"/>
      <c r="D548" s="137"/>
    </row>
    <row r="549" spans="1:4" ht="15.75" customHeight="1">
      <c r="A549" s="161"/>
      <c r="B549" s="136"/>
      <c r="C549" s="137"/>
      <c r="D549" s="137"/>
    </row>
    <row r="550" spans="1:4" ht="15.75" customHeight="1">
      <c r="A550" s="161"/>
      <c r="B550" s="136"/>
      <c r="C550" s="137"/>
      <c r="D550" s="137"/>
    </row>
    <row r="551" spans="1:4" ht="15.75" customHeight="1"/>
    <row r="552" spans="1:4" ht="15.75" customHeight="1"/>
    <row r="553" spans="1:4" ht="15.75" customHeight="1"/>
    <row r="554" spans="1:4" ht="15.75" customHeight="1"/>
    <row r="555" spans="1:4" ht="15.75" customHeight="1"/>
    <row r="556" spans="1:4" ht="15.75" customHeight="1"/>
    <row r="557" spans="1:4" ht="15.75" customHeight="1"/>
    <row r="558" spans="1:4" ht="15.75" customHeight="1"/>
    <row r="559" spans="1:4" ht="15.75" customHeight="1"/>
    <row r="560" spans="1:4"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2.6640625" defaultRowHeight="15" customHeight="1"/>
  <cols>
    <col min="1" max="1" width="35" customWidth="1"/>
    <col min="2" max="2" width="12.6640625" customWidth="1"/>
    <col min="3" max="3" width="19.6640625" customWidth="1"/>
    <col min="4" max="4" width="258.6640625" customWidth="1"/>
    <col min="5" max="6" width="12.6640625" customWidth="1"/>
  </cols>
  <sheetData>
    <row r="1" spans="1:26" ht="15.75" customHeight="1">
      <c r="A1" s="124" t="s">
        <v>2281</v>
      </c>
      <c r="B1" s="125" t="s">
        <v>1697</v>
      </c>
      <c r="C1" s="126" t="s">
        <v>1698</v>
      </c>
      <c r="D1" s="126" t="s">
        <v>1700</v>
      </c>
      <c r="E1" s="127"/>
      <c r="F1" s="127"/>
      <c r="G1" s="127"/>
      <c r="H1" s="127"/>
      <c r="I1" s="127"/>
      <c r="J1" s="127"/>
      <c r="K1" s="127"/>
      <c r="L1" s="127"/>
      <c r="M1" s="127"/>
      <c r="N1" s="127"/>
      <c r="O1" s="127"/>
      <c r="P1" s="127"/>
      <c r="Q1" s="127"/>
      <c r="R1" s="127"/>
      <c r="S1" s="127"/>
      <c r="T1" s="127"/>
      <c r="U1" s="127"/>
      <c r="V1" s="127"/>
      <c r="W1" s="127"/>
      <c r="X1" s="127"/>
      <c r="Y1" s="127"/>
      <c r="Z1" s="127"/>
    </row>
    <row r="2" spans="1:26" ht="15.75" customHeight="1">
      <c r="A2" s="128" t="str">
        <f>HYPERLINK("https://www.jstor.org/stable/984196","Allen 1919")</f>
        <v>Allen 1919</v>
      </c>
      <c r="B2" s="129">
        <v>1919</v>
      </c>
      <c r="C2" s="130" t="s">
        <v>1704</v>
      </c>
      <c r="D2" s="130" t="s">
        <v>2282</v>
      </c>
    </row>
    <row r="3" spans="1:26" ht="15.75" customHeight="1">
      <c r="A3" s="131" t="str">
        <f>HYPERLINK("https://doi.org/10.1126/science.49.1261.218","Schacke 1919")</f>
        <v>Schacke 1919</v>
      </c>
      <c r="B3" s="132">
        <v>1919</v>
      </c>
      <c r="C3" s="117" t="s">
        <v>1715</v>
      </c>
      <c r="D3" s="117" t="s">
        <v>1767</v>
      </c>
    </row>
    <row r="4" spans="1:26" ht="15.75" customHeight="1">
      <c r="A4" s="133" t="str">
        <f>HYPERLINK("https://www.nature.com/articles/112687c0","Blackburn 1923")</f>
        <v>Blackburn 1923</v>
      </c>
      <c r="B4" s="132">
        <v>1923</v>
      </c>
      <c r="C4" s="117" t="s">
        <v>1715</v>
      </c>
      <c r="D4" s="117" t="s">
        <v>1768</v>
      </c>
    </row>
    <row r="5" spans="1:26" ht="15.75" customHeight="1">
      <c r="A5" s="133" t="str">
        <f>HYPERLINK("https://onlinelibrary.wiley.com/doi/abs/10.1111/j.1601-5223.1957.tb03444.x","Winge 1923")</f>
        <v>Winge 1923</v>
      </c>
      <c r="B5" s="132">
        <v>1923</v>
      </c>
      <c r="C5" s="117" t="s">
        <v>1715</v>
      </c>
      <c r="D5" s="117" t="s">
        <v>1810</v>
      </c>
    </row>
    <row r="6" spans="1:26" ht="15.75" customHeight="1">
      <c r="A6" s="133" t="str">
        <f>HYPERLINK("https://pdfs.semanticscholar.org/64a0/a21598c575a7c383cd5619472e562fc3570d.pdf","Blackburn 1924")</f>
        <v>Blackburn 1924</v>
      </c>
      <c r="B6" s="132">
        <v>1924</v>
      </c>
      <c r="C6" s="117" t="s">
        <v>1715</v>
      </c>
      <c r="D6" s="117" t="s">
        <v>1771</v>
      </c>
    </row>
    <row r="7" spans="1:26" ht="15.75" customHeight="1">
      <c r="A7" s="134" t="str">
        <f>HYPERLINK("https://www.journals.uchicago.edu/doi/abs/10.1086/333338?mobileUi=0","Santos 1924")</f>
        <v>Santos 1924</v>
      </c>
      <c r="B7" s="132">
        <v>1924</v>
      </c>
      <c r="C7" s="117" t="s">
        <v>1715</v>
      </c>
      <c r="D7" s="117" t="s">
        <v>1772</v>
      </c>
    </row>
    <row r="8" spans="1:26" ht="15.75" customHeight="1">
      <c r="A8" s="133" t="str">
        <f>HYPERLINK("https://link.springer.com/article/10.1007/BF01961517","Kihara and Ono 1925")</f>
        <v>Kihara and Ono 1925</v>
      </c>
      <c r="B8" s="132">
        <v>1925</v>
      </c>
      <c r="C8" s="117" t="s">
        <v>1715</v>
      </c>
      <c r="D8" s="117" t="s">
        <v>1773</v>
      </c>
    </row>
    <row r="9" spans="1:26" ht="15.75" customHeight="1">
      <c r="A9" s="133" t="str">
        <f>HYPERLINK("http://caliban.mpipz.mpg.de/correns/pflanzen_vererbung/correns_vererbung_pflanzen.pdf","Correns 1928")</f>
        <v>Correns 1928</v>
      </c>
      <c r="B9" s="132">
        <v>1928</v>
      </c>
      <c r="C9" s="117" t="s">
        <v>1715</v>
      </c>
      <c r="D9" s="117" t="s">
        <v>2283</v>
      </c>
    </row>
    <row r="10" spans="1:26" ht="15.75" customHeight="1">
      <c r="A10" s="131" t="str">
        <f>HYPERLINK("https://www.journals.uchicago.edu/doi/abs/10.1086/334075?journalCode=botanicalgazette","McKay 1930")</f>
        <v>McKay 1930</v>
      </c>
      <c r="B10" s="132">
        <v>1930</v>
      </c>
      <c r="C10" s="117" t="s">
        <v>1715</v>
      </c>
      <c r="D10" s="117" t="s">
        <v>1777</v>
      </c>
    </row>
    <row r="11" spans="1:26" ht="15.75" customHeight="1">
      <c r="A11" s="135" t="s">
        <v>2284</v>
      </c>
      <c r="B11" s="132">
        <v>1934</v>
      </c>
      <c r="C11" s="117" t="s">
        <v>1715</v>
      </c>
      <c r="D11" s="117" t="s">
        <v>2285</v>
      </c>
    </row>
    <row r="12" spans="1:26" ht="15.75" customHeight="1">
      <c r="A12" s="135" t="s">
        <v>2286</v>
      </c>
      <c r="B12" s="136">
        <v>1934</v>
      </c>
      <c r="C12" s="137" t="s">
        <v>1715</v>
      </c>
      <c r="D12" s="137" t="s">
        <v>2287</v>
      </c>
    </row>
    <row r="13" spans="1:26" ht="15.75" customHeight="1">
      <c r="A13" s="133" t="str">
        <f>HYPERLINK("https://www.genetics.org/content/genetics/21/3/282.full.pdf","Von Ubisch 1936")</f>
        <v>Von Ubisch 1936</v>
      </c>
      <c r="B13" s="132">
        <v>1936</v>
      </c>
      <c r="C13" s="117" t="s">
        <v>1715</v>
      </c>
      <c r="D13" s="117" t="s">
        <v>1784</v>
      </c>
    </row>
    <row r="14" spans="1:26" ht="15.75" customHeight="1">
      <c r="A14" s="133" t="str">
        <f>HYPERLINK("https://www.jstage.jst.go.jp/article/jplantres1887/51/603/51_603_110/_pdf/-char/en","Ono 1937")</f>
        <v>Ono 1937</v>
      </c>
      <c r="B14" s="132">
        <v>1937</v>
      </c>
      <c r="C14" s="117" t="s">
        <v>1715</v>
      </c>
      <c r="D14" s="117" t="s">
        <v>1787</v>
      </c>
    </row>
    <row r="15" spans="1:26" ht="15.75" customHeight="1">
      <c r="A15" s="138" t="str">
        <f>HYPERLINK("https://www.ncbi.nlm.nih.gov/pmc/articles/PMC1209100/pdf/409.pdf","Murray 1940")</f>
        <v>Murray 1940</v>
      </c>
      <c r="B15" s="132">
        <v>1940</v>
      </c>
      <c r="C15" s="117" t="s">
        <v>1715</v>
      </c>
      <c r="D15" s="117" t="s">
        <v>1791</v>
      </c>
    </row>
    <row r="16" spans="1:26" ht="15.75" customHeight="1">
      <c r="A16" s="133" t="str">
        <f>HYPERLINK("https://ci.nii.ac.jp/naid/10003269776/","Yamada 1943")</f>
        <v>Yamada 1943</v>
      </c>
      <c r="B16" s="132">
        <v>1943</v>
      </c>
      <c r="C16" s="117" t="s">
        <v>1715</v>
      </c>
      <c r="D16" s="117" t="s">
        <v>2288</v>
      </c>
    </row>
    <row r="17" spans="1:4" ht="15.75" customHeight="1">
      <c r="A17" s="131" t="str">
        <f>HYPERLINK("https://doi.org/10.1111/j.1601-5223.1944.tb03303.x","Löve 1944")</f>
        <v>Löve 1944</v>
      </c>
      <c r="B17" s="132">
        <v>1944</v>
      </c>
      <c r="C17" s="117" t="s">
        <v>1715</v>
      </c>
      <c r="D17" s="117" t="s">
        <v>2289</v>
      </c>
    </row>
    <row r="18" spans="1:4" ht="15.75" customHeight="1">
      <c r="A18" s="131" t="str">
        <f>HYPERLINK("https://link.springer.com/article/10.1007/BF03049901","Chakravorti 1948")</f>
        <v>Chakravorti 1948</v>
      </c>
      <c r="B18" s="132">
        <v>1948</v>
      </c>
      <c r="C18" s="117" t="s">
        <v>1715</v>
      </c>
      <c r="D18" s="117" t="s">
        <v>2290</v>
      </c>
    </row>
    <row r="19" spans="1:4" ht="15.75" customHeight="1">
      <c r="A19" s="133" t="str">
        <f>HYPERLINK("https://www.nature.com/articles/163926a0","Mather 1949")</f>
        <v>Mather 1949</v>
      </c>
      <c r="B19" s="132">
        <v>1949</v>
      </c>
      <c r="C19" s="117" t="s">
        <v>1715</v>
      </c>
      <c r="D19" s="117" t="s">
        <v>2291</v>
      </c>
    </row>
    <row r="20" spans="1:4" ht="15.75" customHeight="1">
      <c r="A20" s="133" t="str">
        <f>HYPERLINK("https://www.jstor.org/stable/2438712#metadata_info_tab_contents","Newcomer 1954")</f>
        <v>Newcomer 1954</v>
      </c>
      <c r="B20" s="132">
        <v>1954</v>
      </c>
      <c r="C20" s="117" t="s">
        <v>1715</v>
      </c>
      <c r="D20" s="117" t="s">
        <v>1802</v>
      </c>
    </row>
    <row r="21" spans="1:4" ht="15.75" customHeight="1">
      <c r="A21" s="133" t="str">
        <f>HYPERLINK("https://www.nature.com/articles/hdy195543","Bateman 1955")</f>
        <v>Bateman 1955</v>
      </c>
      <c r="B21" s="132">
        <v>1955</v>
      </c>
      <c r="C21" s="117" t="s">
        <v>1715</v>
      </c>
      <c r="D21" s="117" t="s">
        <v>1803</v>
      </c>
    </row>
    <row r="22" spans="1:4" ht="15.75" customHeight="1">
      <c r="A22" s="131" t="str">
        <f>HYPERLINK("https://doi.org/10.1038/1791143a0","Berrie 1957")</f>
        <v>Berrie 1957</v>
      </c>
      <c r="B22" s="132">
        <v>1957</v>
      </c>
      <c r="C22" s="117" t="s">
        <v>1715</v>
      </c>
      <c r="D22" s="117" t="s">
        <v>1812</v>
      </c>
    </row>
    <row r="23" spans="1:4" ht="15.75" customHeight="1">
      <c r="A23" s="133" t="str">
        <f>HYPERLINK("https://onlinelibrary.wiley.com/doi/abs/10.1111/j.1601-5223.1957.tb03444.x","Jacobsen 1957")</f>
        <v>Jacobsen 1957</v>
      </c>
      <c r="B23" s="132">
        <v>1957</v>
      </c>
      <c r="C23" s="117" t="s">
        <v>1715</v>
      </c>
      <c r="D23" s="117" t="s">
        <v>1810</v>
      </c>
    </row>
    <row r="24" spans="1:4" ht="15.75" customHeight="1">
      <c r="A24" s="133" t="str">
        <f>HYPERLINK("https://onlinelibrary.wiley.com/doi/pdf/10.1111/j.1601-5223.1957.tb03454.x","Malling et al 1957")</f>
        <v>Malling et al 1957</v>
      </c>
      <c r="B24" s="132">
        <v>1957</v>
      </c>
      <c r="C24" s="117" t="s">
        <v>1715</v>
      </c>
      <c r="D24" s="117" t="s">
        <v>1811</v>
      </c>
    </row>
    <row r="25" spans="1:4" ht="15.75" customHeight="1">
      <c r="A25" s="133" t="str">
        <f>HYPERLINK("https://academic.oup.com/jhered/article-abstract/48/6/290/905759/","Pollock 1957")</f>
        <v>Pollock 1957</v>
      </c>
      <c r="B25" s="132">
        <v>1957</v>
      </c>
      <c r="C25" s="117" t="s">
        <v>1715</v>
      </c>
      <c r="D25" s="117" t="s">
        <v>1808</v>
      </c>
    </row>
    <row r="26" spans="1:4" ht="15.75" customHeight="1">
      <c r="A26" s="133" t="str">
        <f>HYPERLINK("https://link.springer.com/content/pdf/10.1038/1811584a0.pdf","Hair et al 1958")</f>
        <v>Hair et al 1958</v>
      </c>
      <c r="B26" s="132">
        <v>1958</v>
      </c>
      <c r="C26" s="117" t="s">
        <v>1715</v>
      </c>
      <c r="D26" s="117" t="s">
        <v>1815</v>
      </c>
    </row>
    <row r="27" spans="1:4" ht="15.75" customHeight="1">
      <c r="A27" s="133" t="str">
        <f>HYPERLINK("https://www.sciencedirect.com/science/article/abs/pii/S0065266008601637","Westergaard 1958")</f>
        <v>Westergaard 1958</v>
      </c>
      <c r="B27" s="132">
        <v>1958</v>
      </c>
      <c r="C27" s="117" t="s">
        <v>1715</v>
      </c>
      <c r="D27" s="117" t="s">
        <v>2292</v>
      </c>
    </row>
    <row r="28" spans="1:4" ht="15.75" customHeight="1">
      <c r="A28" s="133" t="str">
        <f>HYPERLINK("https://doi.org/10.1093/oxfordjournals.aob.a083792","Abraham and Mathew 1962")</f>
        <v>Abraham and Mathew 1962</v>
      </c>
      <c r="B28" s="132">
        <v>1962</v>
      </c>
      <c r="C28" s="117" t="s">
        <v>1715</v>
      </c>
      <c r="D28" s="117" t="s">
        <v>1817</v>
      </c>
    </row>
    <row r="29" spans="1:4" ht="15.75" customHeight="1">
      <c r="A29" s="138" t="str">
        <f>HYPERLINK("https://www.genetics.org/content/genetics/48/10/1265.full.pdf","Smith 1963")</f>
        <v>Smith 1963</v>
      </c>
      <c r="B29" s="132">
        <v>1963</v>
      </c>
      <c r="C29" s="117" t="s">
        <v>1715</v>
      </c>
      <c r="D29" s="117" t="s">
        <v>1818</v>
      </c>
    </row>
    <row r="30" spans="1:4" ht="15.75" customHeight="1">
      <c r="A30" s="139" t="str">
        <f>HYPERLINK("https://link.springer.com/chapter/10.1007%2F978-94-007-0944-7_21","Rao 1970")</f>
        <v>Rao 1970</v>
      </c>
      <c r="B30" s="132">
        <v>1970</v>
      </c>
      <c r="C30" s="117" t="s">
        <v>1715</v>
      </c>
      <c r="D30" s="117" t="s">
        <v>1821</v>
      </c>
    </row>
    <row r="31" spans="1:4" ht="15.75" customHeight="1">
      <c r="A31" s="128" t="str">
        <f>HYPERLINK("https://doi.org/10.5586/asbp.1970.043","Zuk 1970")</f>
        <v>Zuk 1970</v>
      </c>
      <c r="B31" s="132">
        <v>1970</v>
      </c>
      <c r="C31" s="117" t="s">
        <v>1715</v>
      </c>
      <c r="D31" s="117" t="s">
        <v>1822</v>
      </c>
    </row>
    <row r="32" spans="1:4" ht="15.75" customHeight="1">
      <c r="A32" s="138" t="str">
        <f>HYPERLINK("https://link.springer.com/article/10.1007/BF00577104","Bartkowiak 1971")</f>
        <v>Bartkowiak 1971</v>
      </c>
      <c r="B32" s="132">
        <v>1971</v>
      </c>
      <c r="C32" s="117" t="s">
        <v>1715</v>
      </c>
      <c r="D32" s="117" t="s">
        <v>1829</v>
      </c>
    </row>
    <row r="33" spans="1:4" ht="15.75" customHeight="1">
      <c r="A33" s="133" t="str">
        <f>HYPERLINK("https://pdfs.semanticscholar.org/d599/63442262082968b540cdf8d9ef4c89f5c966.pdf","Negi and Olmo 1971")</f>
        <v>Negi and Olmo 1971</v>
      </c>
      <c r="B33" s="132">
        <v>1971</v>
      </c>
      <c r="C33" s="117" t="s">
        <v>1715</v>
      </c>
      <c r="D33" s="117" t="s">
        <v>2293</v>
      </c>
    </row>
    <row r="34" spans="1:4" ht="15.75" customHeight="1">
      <c r="A34" s="139" t="str">
        <f>HYPERLINK("https://www.degruyter.com/view/j/botm.1971.14.issue-2/botm.1971.14.2.113/botm.1971.14.2.113.xml","Rao 1971")</f>
        <v>Rao 1971</v>
      </c>
      <c r="B34" s="132">
        <v>1971</v>
      </c>
      <c r="C34" s="117" t="s">
        <v>1715</v>
      </c>
      <c r="D34" s="117" t="s">
        <v>2294</v>
      </c>
    </row>
    <row r="35" spans="1:4" ht="15.75" customHeight="1">
      <c r="A35" s="131" t="str">
        <f>HYPERLINK("https://doi.org/10.1266/jjg.46.33","Segawa et al 1971")</f>
        <v>Segawa et al 1971</v>
      </c>
      <c r="B35" s="132">
        <v>1971</v>
      </c>
      <c r="C35" s="117" t="s">
        <v>1715</v>
      </c>
      <c r="D35" s="117" t="s">
        <v>1825</v>
      </c>
    </row>
    <row r="36" spans="1:4" ht="15.75" customHeight="1">
      <c r="A36" s="133" t="str">
        <f>HYPERLINK("https://link.springer.com/article/10.1007/BF00277336","Singh and Smith 1971")</f>
        <v>Singh and Smith 1971</v>
      </c>
      <c r="B36" s="132">
        <v>1971</v>
      </c>
      <c r="C36" s="117" t="s">
        <v>1715</v>
      </c>
      <c r="D36" s="117" t="s">
        <v>1830</v>
      </c>
    </row>
    <row r="37" spans="1:4" ht="15.75" customHeight="1">
      <c r="A37" s="140" t="str">
        <f>HYPERLINK("https://doi.org/10.1080/00087114.1972.10796503","D'Cruz et al 1972")</f>
        <v>D'Cruz et al 1972</v>
      </c>
      <c r="B37" s="132">
        <v>1972</v>
      </c>
      <c r="C37" s="117" t="s">
        <v>1715</v>
      </c>
      <c r="D37" s="117" t="s">
        <v>2295</v>
      </c>
    </row>
    <row r="38" spans="1:4" ht="15.75" customHeight="1">
      <c r="A38" s="133" t="str">
        <f>HYPERLINK("https://www.nature.com/articles/hdy197299.pdf","Grewal and Ellis 1972")</f>
        <v>Grewal and Ellis 1972</v>
      </c>
      <c r="B38" s="132">
        <v>1972</v>
      </c>
      <c r="C38" s="117" t="s">
        <v>1715</v>
      </c>
      <c r="D38" s="117" t="s">
        <v>1834</v>
      </c>
    </row>
    <row r="39" spans="1:4" ht="15.75" customHeight="1">
      <c r="A39" s="128" t="str">
        <f>HYPERLINK("https://doi.org/10.1007/BF00265149","Meyer and Herrmann 1973")</f>
        <v>Meyer and Herrmann 1973</v>
      </c>
      <c r="B39" s="132">
        <v>1973</v>
      </c>
      <c r="C39" s="117" t="s">
        <v>1704</v>
      </c>
      <c r="D39" s="117" t="s">
        <v>2296</v>
      </c>
    </row>
    <row r="40" spans="1:4" ht="15.75" customHeight="1">
      <c r="A40" s="133" t="str">
        <f>HYPERLINK("https://nph.onlinelibrary.wiley.com/doi/pdf/10.1111/j.1469-8137.1975.tb01345.x","Lloyd 1975 ")</f>
        <v xml:space="preserve">Lloyd 1975 </v>
      </c>
      <c r="B40" s="132">
        <v>1975</v>
      </c>
      <c r="C40" s="117" t="s">
        <v>1715</v>
      </c>
      <c r="D40" s="117" t="s">
        <v>1836</v>
      </c>
    </row>
    <row r="41" spans="1:4" ht="15.75" customHeight="1">
      <c r="A41" s="133" t="str">
        <f>HYPERLINK("http://agris.fao.org/agris-search/search.do?recordID=US201303072214", "Degraeve 1976")</f>
        <v>Degraeve 1976</v>
      </c>
      <c r="B41" s="136">
        <v>1976</v>
      </c>
      <c r="C41" s="137" t="s">
        <v>1715</v>
      </c>
      <c r="D41" s="137" t="s">
        <v>2297</v>
      </c>
    </row>
    <row r="42" spans="1:4" ht="15.75" customHeight="1">
      <c r="A42" s="131" t="str">
        <f>HYPERLINK("https://doi.org/10.1038/hdy.1979.23 ","Barlow and Wiens 1979")</f>
        <v>Barlow and Wiens 1979</v>
      </c>
      <c r="B42" s="132">
        <v>1979</v>
      </c>
      <c r="C42" s="117" t="s">
        <v>1715</v>
      </c>
      <c r="D42" s="117" t="s">
        <v>1852</v>
      </c>
    </row>
    <row r="43" spans="1:4" ht="15.75" customHeight="1">
      <c r="A43" s="133" t="str">
        <f>HYPERLINK("https://ci.nii.ac.jp/naid/10006433850/","Löptien 1979")</f>
        <v>Löptien 1979</v>
      </c>
      <c r="B43" s="132">
        <v>1979</v>
      </c>
      <c r="C43" s="117" t="s">
        <v>1715</v>
      </c>
      <c r="D43" s="117" t="s">
        <v>1847</v>
      </c>
    </row>
    <row r="44" spans="1:4" ht="15.75" customHeight="1">
      <c r="A44" s="133" t="str">
        <f>HYPERLINK("https://ci.nii.ac.jp/naid/10021852346/","Shchapov 1979")</f>
        <v>Shchapov 1979</v>
      </c>
      <c r="B44" s="132">
        <v>1979</v>
      </c>
      <c r="C44" s="117" t="s">
        <v>1715</v>
      </c>
      <c r="D44" s="117" t="s">
        <v>1851</v>
      </c>
    </row>
    <row r="45" spans="1:4" ht="15.75" customHeight="1">
      <c r="A45" s="133" t="str">
        <f>HYPERLINK("https://www.jstage.jst.go.jp/article/cytologia1929/45/4/45_4_739/_pdf","Bhat and Bindroo 1980")</f>
        <v>Bhat and Bindroo 1980</v>
      </c>
      <c r="B45" s="132">
        <v>1980</v>
      </c>
      <c r="C45" s="117" t="s">
        <v>1715</v>
      </c>
      <c r="D45" s="117" t="s">
        <v>1853</v>
      </c>
    </row>
    <row r="46" spans="1:4" ht="15.75" customHeight="1">
      <c r="A46" s="131" t="str">
        <f>HYPERLINK("https://link.springer.com/article/10.1007/BF02490200","Barlow 1981")</f>
        <v>Barlow 1981</v>
      </c>
      <c r="B46" s="132">
        <v>1981</v>
      </c>
      <c r="C46" s="117" t="s">
        <v>1715</v>
      </c>
      <c r="D46" s="117" t="s">
        <v>1855</v>
      </c>
    </row>
    <row r="47" spans="1:4" ht="15.75" customHeight="1">
      <c r="A47" s="128" t="str">
        <f>HYPERLINK("https://doi.org/10.1508/cytologia.46.173","Khitha 1981")</f>
        <v>Khitha 1981</v>
      </c>
      <c r="B47" s="132">
        <v>1981</v>
      </c>
      <c r="C47" s="117" t="s">
        <v>1715</v>
      </c>
      <c r="D47" s="117" t="s">
        <v>1854</v>
      </c>
    </row>
    <row r="48" spans="1:4" ht="15.75" customHeight="1">
      <c r="A48" s="128" t="str">
        <f>HYPERLINK("http://agris.fao.org/agris-search/search.do?recordID=US201302002024","Ramsay and Berrie 1982")</f>
        <v>Ramsay and Berrie 1982</v>
      </c>
      <c r="B48" s="136">
        <v>1982</v>
      </c>
      <c r="C48" s="137" t="s">
        <v>1715</v>
      </c>
      <c r="D48" s="137" t="s">
        <v>1856</v>
      </c>
    </row>
    <row r="49" spans="1:4" ht="15.75" customHeight="1">
      <c r="A49" s="128" t="str">
        <f>HYPERLINK("https://doi.org/10.1080/0028825X.1983.10428565","Jie 1983")</f>
        <v>Jie 1983</v>
      </c>
      <c r="B49" s="132">
        <v>1983</v>
      </c>
      <c r="C49" s="117" t="s">
        <v>1715</v>
      </c>
      <c r="D49" s="117" t="s">
        <v>2298</v>
      </c>
    </row>
    <row r="50" spans="1:4" ht="15.75" customHeight="1">
      <c r="A50" s="133" t="str">
        <f>HYPERLINK("https://www.jstage.jst.go.jp/article/ggs1921/63/5/63_5_413/_article/-char/ja/","Hizume et al 1988")</f>
        <v>Hizume et al 1988</v>
      </c>
      <c r="B50" s="132">
        <v>1988</v>
      </c>
      <c r="C50" s="117" t="s">
        <v>1715</v>
      </c>
      <c r="D50" s="117" t="s">
        <v>1862</v>
      </c>
    </row>
    <row r="51" spans="1:4" ht="15.75" customHeight="1">
      <c r="A51" s="133" t="str">
        <f>HYPERLINK("https://ci.nii.ac.jp/naid/10027331098/","Roy 1990")</f>
        <v>Roy 1990</v>
      </c>
      <c r="B51" s="132">
        <v>1990</v>
      </c>
      <c r="C51" s="117" t="s">
        <v>1715</v>
      </c>
      <c r="D51" s="117" t="s">
        <v>2299</v>
      </c>
    </row>
    <row r="52" spans="1:4" ht="15.75" customHeight="1">
      <c r="A52" s="131" t="str">
        <f>HYPERLINK("https://doi.org/10.1016/0168-9452(91)90272-A","Durand and Durand 1991")</f>
        <v>Durand and Durand 1991</v>
      </c>
      <c r="B52" s="132">
        <v>1991</v>
      </c>
      <c r="C52" s="117" t="s">
        <v>1715</v>
      </c>
      <c r="D52" s="117" t="s">
        <v>2300</v>
      </c>
    </row>
    <row r="53" spans="1:4" ht="15.75" customHeight="1">
      <c r="A53" s="131" t="str">
        <f>HYPERLINK("https://doi.org/10.1007/BF00317375","McLetchie 1992")</f>
        <v>McLetchie 1992</v>
      </c>
      <c r="B53" s="132">
        <v>1992</v>
      </c>
      <c r="C53" s="117" t="s">
        <v>1715</v>
      </c>
      <c r="D53" s="117" t="s">
        <v>2301</v>
      </c>
    </row>
    <row r="54" spans="1:4" ht="15.75" customHeight="1">
      <c r="A54" s="133" t="str">
        <f>HYPERLINK("https://reader.elsevier.com/reader/sd/pii/S0024407483710259?token=9B3377CC8D492AE08FD0F55B2F4A6A63A1410DD270B22E7AC4F9D8A0A83C4105C92FCA22CFEFDF53735716F27EA4F63A","Aparicio 1993")</f>
        <v>Aparicio 1993</v>
      </c>
      <c r="B54" s="132">
        <v>1993</v>
      </c>
      <c r="C54" s="117" t="s">
        <v>1715</v>
      </c>
      <c r="D54" s="117" t="s">
        <v>2302</v>
      </c>
    </row>
    <row r="55" spans="1:4" ht="15.75" customHeight="1">
      <c r="A55" s="131" t="str">
        <f>HYPERLINK("https://doi.org/10.1105/tpc.6.12.1775","Hardenack et al 1994")</f>
        <v>Hardenack et al 1994</v>
      </c>
      <c r="B55" s="132">
        <v>1994</v>
      </c>
      <c r="C55" s="117" t="s">
        <v>1707</v>
      </c>
      <c r="D55" s="117" t="s">
        <v>1871</v>
      </c>
    </row>
    <row r="56" spans="1:4" ht="15.75" customHeight="1">
      <c r="A56" s="131" t="str">
        <f>HYPERLINK("https://doi.org/10.1105/tpc.7.10.1583","Ainsworth et al 1995")</f>
        <v>Ainsworth et al 1995</v>
      </c>
      <c r="B56" s="132">
        <v>1995</v>
      </c>
      <c r="C56" s="117" t="s">
        <v>1707</v>
      </c>
      <c r="D56" s="117" t="s">
        <v>1875</v>
      </c>
    </row>
    <row r="57" spans="1:4" ht="15.75" customHeight="1">
      <c r="A57" s="131" t="str">
        <f>HYPERLINK("https://www.researchgate.net/publication/268180715_A_Restriction_Fragment_Length_Polymorphism_Probe_for_Early_Diagnosis_of_Gender_in_Asparagus_officinalis_L","Biffi et al 1995")</f>
        <v>Biffi et al 1995</v>
      </c>
      <c r="B57" s="132">
        <v>1995</v>
      </c>
      <c r="C57" s="117" t="s">
        <v>1707</v>
      </c>
      <c r="D57" s="117" t="s">
        <v>1873</v>
      </c>
    </row>
    <row r="58" spans="1:4" ht="15.75" customHeight="1">
      <c r="A58" s="141" t="str">
        <f>HYPERLINK("https://link.springer.com/article/10.1007/BF00242255","Testolin et al 1995")</f>
        <v>Testolin et al 1995</v>
      </c>
      <c r="B58" s="132">
        <v>1995</v>
      </c>
      <c r="C58" s="117" t="s">
        <v>1704</v>
      </c>
      <c r="D58" s="117" t="s">
        <v>2303</v>
      </c>
    </row>
    <row r="59" spans="1:4" ht="15.75" customHeight="1">
      <c r="A59" s="128" t="str">
        <f>HYPERLINK("https://www.ncbi.nlm.nih.gov/pubmed/8893544","Matsunaga et al 1996")</f>
        <v>Matsunaga et al 1996</v>
      </c>
      <c r="B59" s="132">
        <v>1996</v>
      </c>
      <c r="C59" s="117" t="s">
        <v>1707</v>
      </c>
      <c r="D59" s="117" t="s">
        <v>1877</v>
      </c>
    </row>
    <row r="60" spans="1:4" ht="15.75" customHeight="1">
      <c r="A60" s="131" t="str">
        <f>HYPERLINK("https://doi.org/10.1046/j.1365-313X.1997.12040805.x","Barbacar et al 1997")</f>
        <v>Barbacar et al 1997</v>
      </c>
      <c r="B60" s="132">
        <v>1997</v>
      </c>
      <c r="C60" s="117" t="s">
        <v>1707</v>
      </c>
      <c r="D60" s="117" t="s">
        <v>1879</v>
      </c>
    </row>
    <row r="61" spans="1:4" ht="15.75" customHeight="1">
      <c r="A61" s="131" t="str">
        <f>HYPERLINK("https://www.ncbi.nlm.nih.gov/pubmed/9088644","Bůzek et al 1997")</f>
        <v>Bůzek et al 1997</v>
      </c>
      <c r="B61" s="132">
        <v>1997</v>
      </c>
      <c r="C61" s="117" t="s">
        <v>1882</v>
      </c>
      <c r="D61" s="117" t="s">
        <v>1883</v>
      </c>
    </row>
    <row r="62" spans="1:4" ht="15.75" customHeight="1">
      <c r="A62" s="131" t="str">
        <f>HYPERLINK("https://www.ncbi.nlm.nih.gov/pubmed/9426622","Hinnisdaels et al 1997")</f>
        <v>Hinnisdaels et al 1997</v>
      </c>
      <c r="B62" s="132">
        <v>1997</v>
      </c>
      <c r="C62" s="117" t="s">
        <v>1707</v>
      </c>
      <c r="D62" s="117" t="s">
        <v>2304</v>
      </c>
    </row>
    <row r="63" spans="1:4" ht="15.75" customHeight="1">
      <c r="A63" s="131" t="str">
        <f>HYPERLINK("https://doi.org/10.1046/j.1365-313X.1997.d01-4.x","Lebel‐Hardenack et al 1997")</f>
        <v>Lebel‐Hardenack et al 1997</v>
      </c>
      <c r="B63" s="132">
        <v>1997</v>
      </c>
      <c r="C63" s="117" t="s">
        <v>1707</v>
      </c>
      <c r="D63" s="117" t="s">
        <v>1885</v>
      </c>
    </row>
    <row r="64" spans="1:4" ht="15.75" customHeight="1">
      <c r="A64" s="128" t="str">
        <f>HYPERLINK("https://www.ncbi.nlm.nih.gov/pubmed/9177037","Matsunaga et al 1997")</f>
        <v>Matsunaga et al 1997</v>
      </c>
      <c r="B64" s="132">
        <v>1997</v>
      </c>
      <c r="C64" s="117" t="s">
        <v>1707</v>
      </c>
      <c r="D64" s="117" t="s">
        <v>2305</v>
      </c>
    </row>
    <row r="65" spans="1:5" ht="15.75" customHeight="1">
      <c r="A65" s="131" t="str">
        <f>HYPERLINK("https://doi.org/10.1139/g97-793","Scutt et al 1997")</f>
        <v>Scutt et al 1997</v>
      </c>
      <c r="B65" s="132">
        <v>1997</v>
      </c>
      <c r="C65" s="117" t="s">
        <v>1715</v>
      </c>
      <c r="D65" s="117" t="s">
        <v>1887</v>
      </c>
    </row>
    <row r="66" spans="1:5" ht="15.75" customHeight="1">
      <c r="A66" s="131" t="str">
        <f>HYPERLINK("https://doi.org/10.1104/pp.114.3.969","Scutt et al 1997")</f>
        <v>Scutt et al 1997</v>
      </c>
      <c r="B66" s="132">
        <v>1997</v>
      </c>
      <c r="C66" s="117" t="s">
        <v>1882</v>
      </c>
      <c r="D66" s="117" t="s">
        <v>1888</v>
      </c>
    </row>
    <row r="67" spans="1:5" ht="15.75" customHeight="1">
      <c r="A67" s="131" t="str">
        <f>HYPERLINK("https://link.springer.com/article/10.1007/s001220050914","Gill et al 1998")</f>
        <v>Gill et al 1998</v>
      </c>
      <c r="B67" s="132">
        <v>1998</v>
      </c>
      <c r="C67" s="117" t="s">
        <v>1707</v>
      </c>
      <c r="D67" s="117" t="s">
        <v>1889</v>
      </c>
    </row>
    <row r="68" spans="1:5" ht="15.75" customHeight="1">
      <c r="A68" s="128" t="str">
        <f>HYPERLINK("https://www.nature.com/articles/30492","Guttman et al 1998")</f>
        <v>Guttman et al 1998</v>
      </c>
      <c r="B68" s="132">
        <v>1998</v>
      </c>
      <c r="C68" s="117" t="s">
        <v>1707</v>
      </c>
      <c r="D68" s="117" t="s">
        <v>1894</v>
      </c>
    </row>
    <row r="69" spans="1:5" ht="15.75" customHeight="1">
      <c r="A69" s="128" t="str">
        <f>HYPERLINK("https://www.jstor.org/stable/2446304","Ruas et al 1998")</f>
        <v>Ruas et al 1998</v>
      </c>
      <c r="B69" s="132">
        <v>1998</v>
      </c>
      <c r="C69" s="117" t="s">
        <v>1882</v>
      </c>
      <c r="D69" s="117" t="s">
        <v>1893</v>
      </c>
    </row>
    <row r="70" spans="1:5" ht="15.75" customHeight="1">
      <c r="A70" s="131" t="str">
        <f>HYPERLINK("https://link.springer.com/article/10.1007%2Fs001220050995","Spada et al 1998")</f>
        <v>Spada et al 1998</v>
      </c>
      <c r="B70" s="132">
        <v>1998</v>
      </c>
      <c r="C70" s="117" t="s">
        <v>1707</v>
      </c>
      <c r="D70" s="117" t="s">
        <v>2306</v>
      </c>
    </row>
    <row r="71" spans="1:5" ht="15.75" customHeight="1">
      <c r="A71" s="131" t="str">
        <f>HYPERLINK("https://www.researchgate.net/publication/253672790_Y_chromosome_specific_markers_and_the_evolution_of_dioecy_in_the_genus_Silene","Zhang et al 1998")</f>
        <v>Zhang et al 1998</v>
      </c>
      <c r="B71" s="132">
        <v>1998</v>
      </c>
      <c r="C71" s="117" t="s">
        <v>1707</v>
      </c>
      <c r="D71" s="117" t="s">
        <v>1895</v>
      </c>
    </row>
    <row r="72" spans="1:5" ht="15.75" customHeight="1">
      <c r="A72" s="133" t="str">
        <f>HYPERLINK("https://www.jstor.org/stable/24102845?seq=1#page_scan_tab_contents","Banerjee et al 1999")</f>
        <v>Banerjee et al 1999</v>
      </c>
      <c r="B72" s="132">
        <v>1999</v>
      </c>
      <c r="C72" s="117" t="s">
        <v>1707</v>
      </c>
      <c r="D72" s="117" t="s">
        <v>2307</v>
      </c>
    </row>
    <row r="73" spans="1:5" ht="15.75" customHeight="1">
      <c r="A73" s="131" t="str">
        <f>HYPERLINK("https://doi.org/10.1093/emboj/18.15.4169","Delichère et al 1999")</f>
        <v>Delichère et al 1999</v>
      </c>
      <c r="B73" s="132">
        <v>1999</v>
      </c>
      <c r="C73" s="117" t="s">
        <v>1707</v>
      </c>
      <c r="D73" s="117" t="s">
        <v>2308</v>
      </c>
    </row>
    <row r="74" spans="1:5" ht="15.75" customHeight="1">
      <c r="A74" s="131" t="str">
        <f>HYPERLINK("https://www.researchgate.net/publication/292328703_A_subtelomeric_satellite_DNA_family_isolated_from_the_genome_of_the_dioecious_plant_Silene_latifolia","Garrido-Ramos et al 1999")</f>
        <v>Garrido-Ramos et al 1999</v>
      </c>
      <c r="B74" s="132">
        <v>1999</v>
      </c>
      <c r="C74" s="117" t="s">
        <v>1707</v>
      </c>
      <c r="D74" s="117" t="s">
        <v>1901</v>
      </c>
    </row>
    <row r="75" spans="1:5" ht="15.75" customHeight="1">
      <c r="A75" s="131" t="str">
        <f>HYPERLINK("https://www.ncbi.nlm.nih.gov/pubmed/10189703","Matsunaga et al 1999")</f>
        <v>Matsunaga et al 1999</v>
      </c>
      <c r="B75" s="132">
        <v>1999</v>
      </c>
      <c r="C75" s="117" t="s">
        <v>1882</v>
      </c>
      <c r="D75" s="117" t="s">
        <v>1902</v>
      </c>
    </row>
    <row r="76" spans="1:5" ht="15.75" customHeight="1">
      <c r="A76" s="131" t="str">
        <f>HYPERLINK("https://doi.org/10.1002/(SICI)1520-6408(1999)25:3&lt;267::AID-DVG9&gt;3.0.CO;2-9","Scutt et al 1999")</f>
        <v>Scutt et al 1999</v>
      </c>
      <c r="B76" s="132">
        <v>1999</v>
      </c>
      <c r="C76" s="117" t="s">
        <v>1707</v>
      </c>
      <c r="D76" s="117" t="s">
        <v>2309</v>
      </c>
    </row>
    <row r="77" spans="1:5" ht="15.75" customHeight="1">
      <c r="A77" s="131" t="str">
        <f>HYPERLINK("https://doi.org/10.1007/s004120050377","Shibata et al 1999")</f>
        <v>Shibata et al 1999</v>
      </c>
      <c r="B77" s="132">
        <v>1999</v>
      </c>
      <c r="C77" s="117" t="s">
        <v>1882</v>
      </c>
      <c r="D77" s="117" t="s">
        <v>1899</v>
      </c>
    </row>
    <row r="78" spans="1:5" ht="15.75" customHeight="1">
      <c r="A78" s="131" t="str">
        <f>HYPERLINK("https://doi.org/10.1139/g99-001","Terauchi and Kahl 1999")</f>
        <v>Terauchi and Kahl 1999</v>
      </c>
      <c r="B78" s="132">
        <v>1999</v>
      </c>
      <c r="C78" s="117" t="s">
        <v>1707</v>
      </c>
      <c r="D78" s="117" t="s">
        <v>1897</v>
      </c>
      <c r="E78" s="142"/>
    </row>
    <row r="79" spans="1:5" ht="18" customHeight="1">
      <c r="A79" s="131" t="str">
        <f>HYPERLINK("https://link.springer.com/article/10.1007/s004970000049","Caporali et al 2000")</f>
        <v>Caporali et al 2000</v>
      </c>
      <c r="B79" s="132">
        <v>2000</v>
      </c>
      <c r="C79" s="117" t="s">
        <v>1707</v>
      </c>
      <c r="D79" s="117" t="s">
        <v>1904</v>
      </c>
    </row>
    <row r="80" spans="1:5" ht="15.75" customHeight="1">
      <c r="A80" s="128" t="str">
        <f>HYPERLINK("https://doi.org/10.1007/s004970050009","Monéger et al 2000")</f>
        <v>Monéger et al 2000</v>
      </c>
      <c r="B80" s="132">
        <v>2000</v>
      </c>
      <c r="C80" s="117" t="s">
        <v>1704</v>
      </c>
      <c r="D80" s="117" t="s">
        <v>2310</v>
      </c>
    </row>
    <row r="81" spans="1:26" ht="15.75" customHeight="1">
      <c r="A81" s="131" t="str">
        <f>HYPERLINK("https://doi.org/10.1046/j.1365-313x.2000.00882.x","Okada et al 2000")</f>
        <v>Okada et al 2000</v>
      </c>
      <c r="B81" s="132">
        <v>2000</v>
      </c>
      <c r="C81" s="117" t="s">
        <v>1882</v>
      </c>
      <c r="D81" s="117" t="s">
        <v>1909</v>
      </c>
    </row>
    <row r="82" spans="1:26" ht="15.75" customHeight="1">
      <c r="A82" s="131" t="str">
        <f>HYPERLINK("https://www.ncbi.nlm.nih.gov/pubmed/11202435","Sakamoto et al 2000")</f>
        <v>Sakamoto et al 2000</v>
      </c>
      <c r="B82" s="132">
        <v>2000</v>
      </c>
      <c r="C82" s="117" t="s">
        <v>1882</v>
      </c>
      <c r="D82" s="117" t="s">
        <v>2311</v>
      </c>
    </row>
    <row r="83" spans="1:26" ht="15.75" customHeight="1">
      <c r="A83" s="131" t="str">
        <f>HYPERLINK("https://doi.org/10.1104/pp.124.2.627","Sheppard et al 2000")</f>
        <v>Sheppard et al 2000</v>
      </c>
      <c r="B83" s="132">
        <v>2000</v>
      </c>
      <c r="C83" s="117" t="s">
        <v>1707</v>
      </c>
      <c r="D83" s="117" t="s">
        <v>2312</v>
      </c>
    </row>
    <row r="84" spans="1:26" ht="15.75" customHeight="1">
      <c r="A84" s="143" t="str">
        <f>HYPERLINK("https://www.ncbi.nlm.nih.gov/pubmed/10791829","Shibata et al 2000")</f>
        <v>Shibata et al 2000</v>
      </c>
      <c r="B84" s="132">
        <v>2000</v>
      </c>
      <c r="C84" s="117" t="s">
        <v>1715</v>
      </c>
      <c r="D84" s="117" t="s">
        <v>1912</v>
      </c>
    </row>
    <row r="85" spans="1:26" ht="15.75" customHeight="1">
      <c r="A85" s="143" t="str">
        <f>HYPERLINK("https://link.springer.com/article/10.1023/A:1009252913344","Shibata et al 2000")</f>
        <v>Shibata et al 2000</v>
      </c>
      <c r="B85" s="132">
        <v>2000</v>
      </c>
      <c r="C85" s="117" t="s">
        <v>1882</v>
      </c>
      <c r="D85" s="117" t="s">
        <v>2313</v>
      </c>
    </row>
    <row r="86" spans="1:26" ht="15.75" customHeight="1">
      <c r="A86" s="133" t="str">
        <f>HYPERLINK("https://www.bioversityinternational.org/fileadmin/PGR/article-issue_121-art_11-lang_en.html","Shibu et al 2000")</f>
        <v>Shibu et al 2000</v>
      </c>
      <c r="B86" s="132">
        <v>2000</v>
      </c>
      <c r="C86" s="117" t="s">
        <v>1707</v>
      </c>
      <c r="D86" s="117" t="s">
        <v>1910</v>
      </c>
    </row>
    <row r="87" spans="1:26" ht="15.75" customHeight="1">
      <c r="A87" s="131" t="str">
        <f>HYPERLINK("https://doi.org/10.1093/oxfordjournals.molbev.a003762","Atanassov et al 2001")</f>
        <v>Atanassov et al 2001</v>
      </c>
      <c r="B87" s="132">
        <v>2001</v>
      </c>
      <c r="C87" s="117" t="s">
        <v>1707</v>
      </c>
      <c r="D87" s="117" t="s">
        <v>1921</v>
      </c>
    </row>
    <row r="88" spans="1:26" ht="15.75" customHeight="1">
      <c r="A88" s="128" t="str">
        <f>HYPERLINK("https://doi.org/10.1093/oxfordjournals.molbev.a003930","Filatov et al 2001")</f>
        <v>Filatov et al 2001</v>
      </c>
      <c r="B88" s="132">
        <v>2001</v>
      </c>
      <c r="C88" s="117" t="s">
        <v>1707</v>
      </c>
      <c r="D88" s="117" t="s">
        <v>1922</v>
      </c>
      <c r="E88" s="142"/>
    </row>
    <row r="89" spans="1:26" ht="15.75" customHeight="1">
      <c r="A89" s="131" t="str">
        <f>HYPERLINK("http://www.genetics.org/content/159/3/981","Fujisawa et al 2001")</f>
        <v>Fujisawa et al 2001</v>
      </c>
      <c r="B89" s="132">
        <v>2001</v>
      </c>
      <c r="C89" s="117" t="s">
        <v>1707</v>
      </c>
      <c r="D89" s="117" t="s">
        <v>1916</v>
      </c>
    </row>
    <row r="90" spans="1:26" ht="15.75" customHeight="1">
      <c r="A90" s="128" t="str">
        <f>HYPERLINK("http://www.genetics.org/content/158/3/1269","Kejnovský et al 2001")</f>
        <v>Kejnovský et al 2001</v>
      </c>
      <c r="B90" s="132">
        <v>2001</v>
      </c>
      <c r="C90" s="117" t="s">
        <v>1882</v>
      </c>
      <c r="D90" s="117" t="s">
        <v>1923</v>
      </c>
    </row>
    <row r="91" spans="1:26" ht="15.75" customHeight="1">
      <c r="A91" s="131" t="str">
        <f>HYPERLINK("https://bioone.org/journals/The-Bryologist/volume-104/issue-4/0007-2745(2001)104[0543:IODRST]2.0.CO;2/Identification-of-DNA-Regions-Specific-to-the-X-and-Y/10.1639/0007-2745(2001)104[0543:IODRST]2.0.CO;2.full","McLetchie and Collins 2001")</f>
        <v>McLetchie and Collins 2001</v>
      </c>
      <c r="B91" s="132">
        <v>2001</v>
      </c>
      <c r="C91" s="117" t="s">
        <v>1707</v>
      </c>
      <c r="D91" s="117" t="s">
        <v>1925</v>
      </c>
    </row>
    <row r="92" spans="1:26" ht="15.75" customHeight="1">
      <c r="A92" s="128" t="str">
        <f>HYPERLINK("https://doi.org/10.1016/S0764-4469(01)01322-1","Monéger 2001")</f>
        <v>Monéger 2001</v>
      </c>
      <c r="B92" s="144">
        <v>2001</v>
      </c>
      <c r="C92" s="142" t="s">
        <v>1704</v>
      </c>
      <c r="D92" s="142" t="s">
        <v>1924</v>
      </c>
    </row>
    <row r="93" spans="1:26" ht="15.75" customHeight="1">
      <c r="A93" s="128" t="str">
        <f>HYPERLINK("https://www.jstage.jst.go.jp/article/cytologia1929/66/1/66_1_55/_pdf","Sinha et al 2001")</f>
        <v>Sinha et al 2001</v>
      </c>
      <c r="B93" s="132">
        <v>2001</v>
      </c>
      <c r="C93" s="117" t="s">
        <v>1707</v>
      </c>
      <c r="D93" s="117" t="s">
        <v>1918</v>
      </c>
    </row>
    <row r="94" spans="1:26" ht="15.75" customHeight="1">
      <c r="A94" s="131" t="str">
        <f>HYPERLINK("https://www.ncbi.nlm.nih.gov/pubmed/11729166","Wolf et al 2001")</f>
        <v>Wolf et al 2001</v>
      </c>
      <c r="B94" s="132">
        <v>2001</v>
      </c>
      <c r="C94" s="117" t="s">
        <v>1707</v>
      </c>
      <c r="D94" s="117" t="s">
        <v>1920</v>
      </c>
    </row>
    <row r="95" spans="1:26" ht="15.75" customHeight="1">
      <c r="A95" s="145" t="str">
        <f>HYPERLINK("https://link.springer.com/content/pdf/10.1023/A:1011676328165.pdf","Nakayama et al 2001")</f>
        <v>Nakayama et al 2001</v>
      </c>
      <c r="B95" s="146">
        <v>2001</v>
      </c>
      <c r="C95" s="147" t="s">
        <v>1740</v>
      </c>
      <c r="D95" s="148" t="s">
        <v>1917</v>
      </c>
      <c r="E95" s="147"/>
      <c r="F95" s="147"/>
      <c r="G95" s="147"/>
      <c r="H95" s="147"/>
      <c r="I95" s="147"/>
      <c r="J95" s="147"/>
      <c r="K95" s="147"/>
      <c r="L95" s="147"/>
      <c r="M95" s="147"/>
      <c r="N95" s="147"/>
      <c r="O95" s="147"/>
      <c r="P95" s="147"/>
      <c r="Q95" s="147"/>
      <c r="R95" s="147"/>
      <c r="S95" s="147"/>
      <c r="T95" s="147"/>
      <c r="U95" s="147"/>
      <c r="V95" s="147"/>
      <c r="W95" s="147"/>
      <c r="X95" s="147"/>
      <c r="Y95" s="147"/>
      <c r="Z95" s="147"/>
    </row>
    <row r="96" spans="1:26" ht="15.75" customHeight="1">
      <c r="A96" s="131" t="str">
        <f>HYPERLINK("https://doi.org/10.1139/G01-143","Grabowska-Joachimiak and Joachimiak 2002")</f>
        <v>Grabowska-Joachimiak and Joachimiak 2002</v>
      </c>
      <c r="B96" s="132">
        <v>2002</v>
      </c>
      <c r="C96" s="117" t="s">
        <v>1715</v>
      </c>
      <c r="D96" s="117" t="s">
        <v>1932</v>
      </c>
    </row>
    <row r="97" spans="1:26" ht="15.75" customHeight="1">
      <c r="A97" s="133" t="str">
        <f>HYPERLINK("https://onlinelibrary.wiley.com/doi/pdf/10.1034/j.1601-5223.2002.01610.x","Hunziker et al 2002")</f>
        <v>Hunziker et al 2002</v>
      </c>
      <c r="B97" s="132">
        <v>2002</v>
      </c>
      <c r="C97" s="117" t="s">
        <v>1715</v>
      </c>
      <c r="D97" s="117" t="s">
        <v>1931</v>
      </c>
    </row>
    <row r="98" spans="1:26" ht="15.75" customHeight="1">
      <c r="A98" s="128" t="str">
        <f>HYPERLINK("https://doi.org/10.1139/G02-052","Janousek et al 2002")</f>
        <v>Janousek et al 2002</v>
      </c>
      <c r="B98" s="132">
        <v>2002</v>
      </c>
      <c r="C98" s="117" t="s">
        <v>1707</v>
      </c>
      <c r="D98" s="117" t="s">
        <v>1933</v>
      </c>
    </row>
    <row r="99" spans="1:26" ht="15.75" customHeight="1">
      <c r="A99" s="128" t="str">
        <f>HYPERLINK("http://www.genetics.org/content/160/2/717.long","Lebel-Hardenack et al 2002")</f>
        <v>Lebel-Hardenack et al 2002</v>
      </c>
      <c r="B99" s="132">
        <v>2002</v>
      </c>
      <c r="C99" s="117" t="s">
        <v>1707</v>
      </c>
      <c r="D99" s="117" t="s">
        <v>1934</v>
      </c>
    </row>
    <row r="100" spans="1:26" ht="15.75" customHeight="1">
      <c r="A100" s="131" t="str">
        <f>HYPERLINK("https://link.springer.com/article/10.1023/A:1016382128401","Mandolino et al 2002")</f>
        <v>Mandolino et al 2002</v>
      </c>
      <c r="B100" s="132">
        <v>2002</v>
      </c>
      <c r="C100" s="117" t="s">
        <v>1707</v>
      </c>
      <c r="D100" s="117" t="s">
        <v>1926</v>
      </c>
    </row>
    <row r="101" spans="1:26" ht="15.75" customHeight="1">
      <c r="A101" s="131" t="str">
        <f>HYPERLINK("https://www.ncbi.nlm.nih.gov/pubmed/12175078","Matsunaga et al 2002")</f>
        <v>Matsunaga et al 2002</v>
      </c>
      <c r="B101" s="132">
        <v>2002</v>
      </c>
      <c r="C101" s="117" t="s">
        <v>1882</v>
      </c>
      <c r="D101" s="117" t="s">
        <v>1935</v>
      </c>
    </row>
    <row r="102" spans="1:26" ht="15.75" customHeight="1">
      <c r="A102" s="131" t="str">
        <f>HYPERLINK("https://doi.org/10.1139/G01-151","Nakao et al 2002")</f>
        <v>Nakao et al 2002</v>
      </c>
      <c r="B102" s="132">
        <v>2002</v>
      </c>
      <c r="C102" s="117" t="s">
        <v>1882</v>
      </c>
      <c r="D102" s="117" t="s">
        <v>1936</v>
      </c>
    </row>
    <row r="103" spans="1:26" ht="15.75" customHeight="1">
      <c r="A103" s="128" t="str">
        <f>HYPERLINK("https://doi.org/10.1266/ggs.77.393","Obara et al 2002")</f>
        <v>Obara et al 2002</v>
      </c>
      <c r="B103" s="132">
        <v>2002</v>
      </c>
      <c r="C103" s="117" t="s">
        <v>1707</v>
      </c>
      <c r="D103" s="117" t="s">
        <v>2314</v>
      </c>
    </row>
    <row r="104" spans="1:26" ht="15.75" customHeight="1">
      <c r="A104" s="131" t="str">
        <f>HYPERLINK("https://doi.org/10.1007/s00412-002-0213-5","Uchida et al 2002")</f>
        <v>Uchida et al 2002</v>
      </c>
      <c r="B104" s="132">
        <v>2002</v>
      </c>
      <c r="C104" s="117" t="s">
        <v>1882</v>
      </c>
      <c r="D104" s="117" t="s">
        <v>1938</v>
      </c>
    </row>
    <row r="105" spans="1:26" ht="15.75" customHeight="1">
      <c r="A105" s="131" t="str">
        <f>HYPERLINK("https://doi.org/10.1016/S0925-4773(02)00041-2","Zhang et al 2002")</f>
        <v>Zhang et al 2002</v>
      </c>
      <c r="B105" s="132">
        <v>2002</v>
      </c>
      <c r="C105" s="117" t="s">
        <v>1707</v>
      </c>
      <c r="D105" s="117" t="s">
        <v>2315</v>
      </c>
    </row>
    <row r="106" spans="1:26" ht="15.75" customHeight="1">
      <c r="A106" s="145" t="str">
        <f>HYPERLINK("https://academic.oup.com/nar/article/30/21/4675/1105300","Ishizaki et al 2002")</f>
        <v>Ishizaki et al 2002</v>
      </c>
      <c r="B106" s="146">
        <v>2002</v>
      </c>
      <c r="C106" s="147" t="s">
        <v>1707</v>
      </c>
      <c r="D106" s="148" t="s">
        <v>1929</v>
      </c>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spans="1:26" ht="15.75" customHeight="1">
      <c r="A107" s="133" t="str">
        <f>HYPERLINK("https://www.ncbi.nlm.nih.gov/pmc/articles/PMC1691578/pdf/15058400.pdf","Dorken and Barrett 2003")</f>
        <v>Dorken and Barrett 2003</v>
      </c>
      <c r="B107" s="132">
        <v>2003</v>
      </c>
      <c r="C107" s="117" t="s">
        <v>1704</v>
      </c>
      <c r="D107" s="117" t="s">
        <v>1956</v>
      </c>
    </row>
    <row r="108" spans="1:26" ht="15.75" customHeight="1">
      <c r="A108" s="131" t="str">
        <f>HYPERLINK("https://doi.org/10.1023/A:1025941206391","Fujisawa et al 2003")</f>
        <v>Fujisawa et al 2003</v>
      </c>
      <c r="B108" s="132">
        <v>2003</v>
      </c>
      <c r="C108" s="117" t="s">
        <v>1882</v>
      </c>
      <c r="D108" s="117" t="s">
        <v>1942</v>
      </c>
    </row>
    <row r="109" spans="1:26" ht="15.75" customHeight="1">
      <c r="A109" s="131" t="str">
        <f>HYPERLINK("https://doi.org/10.1007/s10265-003-0106-6","Kazama et al 2003")</f>
        <v>Kazama et al 2003</v>
      </c>
      <c r="B109" s="132">
        <v>2003</v>
      </c>
      <c r="C109" s="117" t="s">
        <v>1882</v>
      </c>
      <c r="D109" s="117" t="s">
        <v>2316</v>
      </c>
    </row>
    <row r="110" spans="1:26" ht="15.75" customHeight="1">
      <c r="A110" s="128" t="str">
        <f>HYPERLINK("https://www.ncbi.nlm.nih.gov/pmc/articles/PMC1462768/","Lengerova et al 2003")</f>
        <v>Lengerova et al 2003</v>
      </c>
      <c r="B110" s="132">
        <v>2003</v>
      </c>
      <c r="C110" s="117" t="s">
        <v>1882</v>
      </c>
      <c r="D110" s="117" t="s">
        <v>1946</v>
      </c>
    </row>
    <row r="111" spans="1:26" ht="15.75" customHeight="1">
      <c r="A111" s="131" t="str">
        <f>HYPERLINK("https://doi.org/10.1093/molbev/msg114","Matsunaga et al 2003")</f>
        <v>Matsunaga et al 2003</v>
      </c>
      <c r="B111" s="132">
        <v>2003</v>
      </c>
      <c r="C111" s="117" t="s">
        <v>1707</v>
      </c>
      <c r="D111" s="117" t="s">
        <v>2317</v>
      </c>
    </row>
    <row r="112" spans="1:26" ht="15.75" customHeight="1">
      <c r="A112" s="131" t="str">
        <f>HYPERLINK("http://www.genetics.org/content/163/1/321.long","Moore et al 2003")</f>
        <v>Moore et al 2003</v>
      </c>
      <c r="B112" s="132">
        <v>2003</v>
      </c>
      <c r="C112" s="117" t="s">
        <v>1882</v>
      </c>
      <c r="D112" s="117" t="s">
        <v>1948</v>
      </c>
    </row>
    <row r="113" spans="1:4" ht="15.75" customHeight="1">
      <c r="A113" s="131" t="str">
        <f>HYPERLINK("https://link.springer.com/article/10.1007%2Fs00122-003-1212-5","Peil et al 2003")</f>
        <v>Peil et al 2003</v>
      </c>
      <c r="B113" s="132">
        <v>2003</v>
      </c>
      <c r="C113" s="117" t="s">
        <v>1707</v>
      </c>
      <c r="D113" s="117" t="s">
        <v>2318</v>
      </c>
    </row>
    <row r="114" spans="1:4" ht="15.75" customHeight="1">
      <c r="A114" s="131" t="str">
        <f>HYPERLINK("https://www.ncbi.nlm.nih.gov/pmc/articles/PMC1462803/","Pritham et al 2003")</f>
        <v>Pritham et al 2003</v>
      </c>
      <c r="B114" s="132">
        <v>2003</v>
      </c>
      <c r="C114" s="117" t="s">
        <v>1707</v>
      </c>
      <c r="D114" s="117" t="s">
        <v>1949</v>
      </c>
    </row>
    <row r="115" spans="1:4" ht="15.75" customHeight="1">
      <c r="A115" s="131" t="str">
        <f>HYPERLINK("https://doi.org/10.1093/dnares/10.5.213","Sugiyama et al 2003")</f>
        <v>Sugiyama et al 2003</v>
      </c>
      <c r="B115" s="132">
        <v>2003</v>
      </c>
      <c r="C115" s="117" t="s">
        <v>1707</v>
      </c>
      <c r="D115" s="117" t="s">
        <v>2319</v>
      </c>
    </row>
    <row r="116" spans="1:4" ht="15.75" customHeight="1">
      <c r="A116" s="131" t="str">
        <f>HYPERLINK("https://www.researchgate.net/publication/10787588_Characterization_of_telomere-subtelomere_junctions_in_Silene_latifolia","Sykorova et al 2003")</f>
        <v>Sykorova et al 2003</v>
      </c>
      <c r="B116" s="132">
        <v>2003</v>
      </c>
      <c r="C116" s="117" t="s">
        <v>1882</v>
      </c>
      <c r="D116" s="117" t="s">
        <v>2320</v>
      </c>
    </row>
    <row r="117" spans="1:4" ht="15.75" customHeight="1">
      <c r="A117" s="139" t="str">
        <f>HYPERLINK("https://link.springer.com/chapter/10.1007%2F978-94-007-0944-7_21","Chah et al 2004")</f>
        <v>Chah et al 2004</v>
      </c>
      <c r="B117" s="132">
        <v>2004</v>
      </c>
      <c r="C117" s="117" t="s">
        <v>1715</v>
      </c>
      <c r="D117" s="117" t="s">
        <v>1955</v>
      </c>
    </row>
    <row r="118" spans="1:4" ht="15.75" customHeight="1">
      <c r="A118" s="131" t="str">
        <f>HYPERLINK("https://doi.org/10.1093/molbev/msi003","Filatov 2004")</f>
        <v>Filatov 2004</v>
      </c>
      <c r="B118" s="132">
        <v>2004</v>
      </c>
      <c r="C118" s="117" t="s">
        <v>1707</v>
      </c>
      <c r="D118" s="117" t="s">
        <v>2321</v>
      </c>
    </row>
    <row r="119" spans="1:4" ht="15.75" customHeight="1">
      <c r="A119" s="131" t="str">
        <f>HYPERLINK("https://www.researchgate.net/publication/287851210_Variability_of_rDNA_loci_in_dioecious_Rumex_acetosa_L_detected_by_fluorescence_in_situ_hybridization","Hur et al 2004")</f>
        <v>Hur et al 2004</v>
      </c>
      <c r="B119" s="132">
        <v>2004</v>
      </c>
      <c r="C119" s="117" t="s">
        <v>1882</v>
      </c>
      <c r="D119" s="117" t="s">
        <v>1963</v>
      </c>
    </row>
    <row r="120" spans="1:4" ht="15.75" customHeight="1">
      <c r="A120" s="131" t="str">
        <f>HYPERLINK("https://www.nature.com/articles/nature02228","Liu et al 2004")</f>
        <v>Liu et al 2004</v>
      </c>
      <c r="B120" s="132">
        <v>2004</v>
      </c>
      <c r="C120" s="117" t="s">
        <v>1882</v>
      </c>
      <c r="D120" s="117" t="s">
        <v>2322</v>
      </c>
    </row>
    <row r="121" spans="1:4" ht="15.75" customHeight="1">
      <c r="A121" s="131" t="str">
        <f>HYPERLINK("https://link.springer.com/article/10.1007/s10681-004-4758-7","Moliterni et al 2004")</f>
        <v>Moliterni et al 2004</v>
      </c>
      <c r="B121" s="132">
        <v>2004</v>
      </c>
      <c r="C121" s="117" t="s">
        <v>1707</v>
      </c>
      <c r="D121" s="117" t="s">
        <v>1952</v>
      </c>
    </row>
    <row r="122" spans="1:4" ht="19.5" customHeight="1">
      <c r="A122" s="131" t="str">
        <f>HYPERLINK("https://doi.org/10.1371/journal.pbio.0030004","Nicolas et al 2004")</f>
        <v>Nicolas et al 2004</v>
      </c>
      <c r="B122" s="132">
        <v>2004</v>
      </c>
      <c r="C122" s="117" t="s">
        <v>1704</v>
      </c>
      <c r="D122" s="117" t="s">
        <v>2323</v>
      </c>
    </row>
    <row r="123" spans="1:4" ht="15.75" customHeight="1">
      <c r="A123" s="131" t="str">
        <f>HYPERLINK("https://www.researchgate.net/publication/286981393_Identification_of_a_long_Y-chromosome_enriched_repetitive_sequence_in_Rumex_acetosa_L","Park et al 2004")</f>
        <v>Park et al 2004</v>
      </c>
      <c r="B123" s="132">
        <v>2004</v>
      </c>
      <c r="C123" s="117" t="s">
        <v>1882</v>
      </c>
      <c r="D123" s="117" t="s">
        <v>1964</v>
      </c>
    </row>
    <row r="124" spans="1:4" ht="15.75" customHeight="1">
      <c r="A124" s="133" t="str">
        <f>HYPERLINK("https://link.springer.com/content/pdf/10.1007%2Fs00497-004-0208-x.pdf","Parrish et al 2004")</f>
        <v>Parrish et al 2004</v>
      </c>
      <c r="B124" s="132">
        <v>2004</v>
      </c>
      <c r="C124" s="117" t="s">
        <v>1882</v>
      </c>
      <c r="D124" s="117" t="s">
        <v>1957</v>
      </c>
    </row>
    <row r="125" spans="1:4" ht="15.75" customHeight="1">
      <c r="A125" s="131" t="str">
        <f>HYPERLINK("https://doi.org/10.1007/s00122-003-1425-7","Stehlik and Blattner 2004")</f>
        <v>Stehlik and Blattner 2004</v>
      </c>
      <c r="B125" s="132">
        <v>2004</v>
      </c>
      <c r="C125" s="117" t="s">
        <v>1707</v>
      </c>
      <c r="D125" s="117" t="s">
        <v>1965</v>
      </c>
    </row>
    <row r="126" spans="1:4" ht="15.75" customHeight="1">
      <c r="A126" s="128" t="str">
        <f>HYPERLINK("https://doi.org/10.1007/BF02805244","Suda et al 2004")</f>
        <v>Suda et al 2004</v>
      </c>
      <c r="B126" s="132">
        <v>2004</v>
      </c>
      <c r="C126" s="117" t="s">
        <v>1715</v>
      </c>
      <c r="D126" s="117" t="s">
        <v>1958</v>
      </c>
    </row>
    <row r="127" spans="1:4" ht="18" customHeight="1">
      <c r="A127" s="133" t="str">
        <f>HYPERLINK("https://link.springer.com/content/pdf/10.1023%2FB%3AEUPH.0000032741.99885.c4.pdf","Xu et al 2004")</f>
        <v>Xu et al 2004</v>
      </c>
      <c r="B127" s="132">
        <v>2004</v>
      </c>
      <c r="C127" s="117" t="s">
        <v>1707</v>
      </c>
      <c r="D127" s="117" t="s">
        <v>1959</v>
      </c>
    </row>
    <row r="128" spans="1:4" ht="18" customHeight="1">
      <c r="A128" s="143" t="str">
        <f>HYPERLINK("https://nph.onlinelibrary.wiley.com/doi/pdf/10.1111/j.1469-8137.2005.01281.x","Ainsworth et al 2005")</f>
        <v>Ainsworth et al 2005</v>
      </c>
      <c r="B128" s="132">
        <v>2005</v>
      </c>
      <c r="C128" s="117" t="s">
        <v>1715</v>
      </c>
      <c r="D128" s="117" t="s">
        <v>2324</v>
      </c>
    </row>
    <row r="129" spans="1:4" ht="15.75" customHeight="1">
      <c r="A129" s="131" t="str">
        <f>HYPERLINK("https://onlinelibrary.wiley.com/doi/full/10.1111/j.1365-313X.2005.02336.x","Di Stilio et al 2005")</f>
        <v>Di Stilio et al 2005</v>
      </c>
      <c r="B129" s="132">
        <v>2005</v>
      </c>
      <c r="C129" s="117" t="s">
        <v>1740</v>
      </c>
      <c r="D129" s="117" t="s">
        <v>1972</v>
      </c>
    </row>
    <row r="130" spans="1:4" ht="15.75" customHeight="1">
      <c r="A130" s="133" t="str">
        <f>HYPERLINK("https://www.ncbi.nlm.nih.gov/pmc/articles/PMC1456801/","Ironside and Filatov 2005")</f>
        <v>Ironside and Filatov 2005</v>
      </c>
      <c r="B130" s="132">
        <v>2005</v>
      </c>
      <c r="C130" s="117" t="s">
        <v>1707</v>
      </c>
      <c r="D130" s="117" t="s">
        <v>1978</v>
      </c>
    </row>
    <row r="131" spans="1:4" ht="15.75" customHeight="1">
      <c r="A131" s="131" t="str">
        <f>HYPERLINK("https://doi.org/10.1007/s00425-004-1365-8","Jenkins et al 2005")</f>
        <v>Jenkins et al 2005</v>
      </c>
      <c r="B131" s="132">
        <v>2005</v>
      </c>
      <c r="C131" s="117" t="s">
        <v>1707</v>
      </c>
      <c r="D131" s="117" t="s">
        <v>1979</v>
      </c>
    </row>
    <row r="132" spans="1:4" ht="15.75" customHeight="1">
      <c r="A132" s="131" t="str">
        <f>HYPERLINK("http://www.ndsl.kr/ndsl/search/detail/article/articleSearchResultDetail.do?cn=JAKO200503018546440","Jin et al 2005")</f>
        <v>Jin et al 2005</v>
      </c>
      <c r="B132" s="132">
        <v>2005</v>
      </c>
      <c r="C132" s="117" t="s">
        <v>1740</v>
      </c>
      <c r="D132" s="117" t="s">
        <v>1976</v>
      </c>
    </row>
    <row r="133" spans="1:4" ht="15.75" customHeight="1">
      <c r="A133" s="131" t="str">
        <f>HYPERLINK("https://doi.org/10.1093/pcp/pci080","Kazama et al 2005")</f>
        <v>Kazama et al 2005</v>
      </c>
      <c r="B133" s="132">
        <v>2005</v>
      </c>
      <c r="C133" s="117" t="s">
        <v>1707</v>
      </c>
      <c r="D133" s="117" t="s">
        <v>2325</v>
      </c>
    </row>
    <row r="134" spans="1:4" ht="15.75" customHeight="1">
      <c r="A134" s="131" t="str">
        <f>HYPERLINK("https://doi.org/10.1266/ggs.80.395","Matsunaga et al 2005")</f>
        <v>Matsunaga et al 2005</v>
      </c>
      <c r="B134" s="132">
        <v>2005</v>
      </c>
      <c r="C134" s="117" t="s">
        <v>1707</v>
      </c>
      <c r="D134" s="117" t="s">
        <v>2326</v>
      </c>
    </row>
    <row r="135" spans="1:4" ht="15.75" customHeight="1">
      <c r="A135" s="143" t="str">
        <f>HYPERLINK("https://doi.org/10.1007/s00239-004-0199-0","Navajas-Pérez et al 2005")</f>
        <v>Navajas-Pérez et al 2005</v>
      </c>
      <c r="B135" s="132">
        <v>2005</v>
      </c>
      <c r="C135" s="117" t="s">
        <v>1707</v>
      </c>
      <c r="D135" s="117" t="s">
        <v>2327</v>
      </c>
    </row>
    <row r="136" spans="1:4" ht="15.75" customHeight="1">
      <c r="A136" s="133" t="str">
        <f>HYPERLINK("https://dl.sciencesocieties.org/publications/cs/abstracts/45/6/2529","Renganayaki et al 2005")</f>
        <v>Renganayaki et al 2005</v>
      </c>
      <c r="B136" s="132">
        <v>2005</v>
      </c>
      <c r="C136" s="117" t="s">
        <v>1707</v>
      </c>
      <c r="D136" s="117" t="s">
        <v>2328</v>
      </c>
    </row>
    <row r="137" spans="1:4" ht="15.75" customHeight="1">
      <c r="A137" s="131" t="str">
        <f>HYPERLINK("https://doi.org/10.1534/genetics.105.040444","Zluvova et al 2005")</f>
        <v>Zluvova et al 2005</v>
      </c>
      <c r="B137" s="132">
        <v>2005</v>
      </c>
      <c r="C137" s="117" t="s">
        <v>1707</v>
      </c>
      <c r="D137" s="117" t="s">
        <v>1982</v>
      </c>
    </row>
    <row r="138" spans="1:4" ht="15.75" customHeight="1">
      <c r="A138" s="131" t="str">
        <f>HYPERLINK("https://doi.org/10.1007/s00122-006-0293-3","Hobza et al 2006")</f>
        <v>Hobza et al 2006</v>
      </c>
      <c r="B138" s="132">
        <v>2006</v>
      </c>
      <c r="C138" s="117" t="s">
        <v>1707</v>
      </c>
      <c r="D138" s="117" t="s">
        <v>2329</v>
      </c>
    </row>
    <row r="139" spans="1:4" ht="15.75" customHeight="1">
      <c r="A139" s="131" t="str">
        <f>HYPERLINK("https://doi.org/10.1007/s00412-006-0065-5","Hobza et al 2006")</f>
        <v>Hobza et al 2006</v>
      </c>
      <c r="B139" s="132">
        <v>2006</v>
      </c>
      <c r="C139" s="117" t="s">
        <v>1740</v>
      </c>
      <c r="D139" s="117" t="s">
        <v>1987</v>
      </c>
    </row>
    <row r="140" spans="1:4" ht="15.75" customHeight="1">
      <c r="A140" s="131" t="str">
        <f>HYPERLINK("https://link.springer.com/article/10.1007/s00497-006-0030-8","Kanno et al 2006")</f>
        <v>Kanno et al 2006</v>
      </c>
      <c r="B140" s="132">
        <v>2006</v>
      </c>
      <c r="C140" s="117" t="s">
        <v>1707</v>
      </c>
      <c r="D140" s="117" t="s">
        <v>2330</v>
      </c>
    </row>
    <row r="141" spans="1:4" ht="15.75" customHeight="1">
      <c r="A141" s="131" t="str">
        <f>HYPERLINK("https://doi.org/10.1007/s10709-005-5701-0","Kejnovsky et al 2006")</f>
        <v>Kejnovsky et al 2006</v>
      </c>
      <c r="B141" s="132">
        <v>2006</v>
      </c>
      <c r="C141" s="117" t="s">
        <v>1740</v>
      </c>
      <c r="D141" s="117" t="s">
        <v>1990</v>
      </c>
    </row>
    <row r="142" spans="1:4" ht="15.75" customHeight="1">
      <c r="A142" s="131" t="str">
        <f>HYPERLINK("https://doi.org/10.1007/s00438-006-0140-x","Kejnovsky et al 2006")</f>
        <v>Kejnovsky et al 2006</v>
      </c>
      <c r="B142" s="132">
        <v>2006</v>
      </c>
      <c r="C142" s="117" t="s">
        <v>1740</v>
      </c>
      <c r="D142" s="117" t="s">
        <v>1992</v>
      </c>
    </row>
    <row r="143" spans="1:4" ht="15.75" customHeight="1">
      <c r="A143" s="133" t="str">
        <f>HYPERLINK("https://link.springer.com/article/10.1007/s10681-005-9031-1","Khattak et al 2006")</f>
        <v>Khattak et al 2006</v>
      </c>
      <c r="B143" s="132">
        <v>2006</v>
      </c>
      <c r="C143" s="117" t="s">
        <v>1740</v>
      </c>
      <c r="D143" s="117" t="s">
        <v>1994</v>
      </c>
    </row>
    <row r="144" spans="1:4" ht="15.75" customHeight="1">
      <c r="A144" s="131" t="str">
        <f>HYPERLINK("https://doi.org/10.1139/G05-089","Mariotti et al 2006")</f>
        <v>Mariotti et al 2006</v>
      </c>
      <c r="B144" s="132">
        <v>2006</v>
      </c>
      <c r="C144" s="117" t="s">
        <v>1740</v>
      </c>
      <c r="D144" s="117" t="s">
        <v>1985</v>
      </c>
    </row>
    <row r="145" spans="1:4" ht="15.75" customHeight="1">
      <c r="A145" s="143" t="str">
        <f>HYPERLINK("https://doi.org/10.1016/j.gene.2005.10.013","Navajas-Pérez et al 2006")</f>
        <v>Navajas-Pérez et al 2006</v>
      </c>
      <c r="B145" s="132">
        <v>2006</v>
      </c>
      <c r="C145" s="117" t="s">
        <v>1740</v>
      </c>
      <c r="D145" s="117" t="s">
        <v>1986</v>
      </c>
    </row>
    <row r="146" spans="1:4" ht="15.75" customHeight="1">
      <c r="A146" s="131" t="str">
        <f>HYPERLINK("http://dx.doi.org/10.1554/06-104.1","Obbard et al 2006")</f>
        <v>Obbard et al 2006</v>
      </c>
      <c r="B146" s="132">
        <v>2006</v>
      </c>
      <c r="C146" s="117" t="s">
        <v>1740</v>
      </c>
      <c r="D146" s="117" t="s">
        <v>2331</v>
      </c>
    </row>
    <row r="147" spans="1:4" ht="15.75" customHeight="1">
      <c r="A147" s="133" t="str">
        <f>HYPERLINK("https://link.springer.com/content/pdf/10.1007%2Fs10681-006-9198-0.pdf","Prakash and Van Staden 2006")</f>
        <v>Prakash and Van Staden 2006</v>
      </c>
      <c r="B147" s="132">
        <v>2006</v>
      </c>
      <c r="C147" s="117" t="s">
        <v>1707</v>
      </c>
      <c r="D147" s="117" t="s">
        <v>1984</v>
      </c>
    </row>
    <row r="148" spans="1:4" ht="15.75" customHeight="1">
      <c r="A148" s="131" t="str">
        <f>HYPERLINK("https://doi.org/10.1073/pnas.0606622103","Zluvova et al 2006")</f>
        <v>Zluvova et al 2006</v>
      </c>
      <c r="B148" s="132">
        <v>2006</v>
      </c>
      <c r="C148" s="117" t="s">
        <v>1707</v>
      </c>
      <c r="D148" s="117" t="s">
        <v>1993</v>
      </c>
    </row>
    <row r="149" spans="1:4" ht="15.75" customHeight="1">
      <c r="A149" s="131" t="str">
        <f>HYPERLINK("https://doi.org/10.1007/s11816-007-0031-6","Agrawal et al 2007")</f>
        <v>Agrawal et al 2007</v>
      </c>
      <c r="B149" s="132">
        <v>2007</v>
      </c>
      <c r="C149" s="117" t="s">
        <v>1707</v>
      </c>
      <c r="D149" s="117" t="s">
        <v>2012</v>
      </c>
    </row>
    <row r="150" spans="1:4" ht="15.75" customHeight="1">
      <c r="A150" s="131" t="str">
        <f>HYPERLINK("https://doi.org/10.1534/genetics.106.070110","Bergero et al 2007")</f>
        <v>Bergero et al 2007</v>
      </c>
      <c r="B150" s="132">
        <v>2007</v>
      </c>
      <c r="C150" s="117" t="s">
        <v>1707</v>
      </c>
      <c r="D150" s="117" t="s">
        <v>2010</v>
      </c>
    </row>
    <row r="151" spans="1:4" ht="15.75" customHeight="1">
      <c r="A151" s="131" t="str">
        <f>HYPERLINK("https://doi.org/10.1534/genetics.107.081463","Chen et al 2007")</f>
        <v>Chen et al 2007</v>
      </c>
      <c r="B151" s="132">
        <v>2007</v>
      </c>
      <c r="C151" s="117" t="s">
        <v>1707</v>
      </c>
      <c r="D151" s="117" t="s">
        <v>2332</v>
      </c>
    </row>
    <row r="152" spans="1:4" ht="15.75" customHeight="1">
      <c r="A152" s="131" t="str">
        <f>HYPERLINK("https://doi.org/10.1007/s10577-007-1166-6","Cuñado et al 2007")</f>
        <v>Cuñado et al 2007</v>
      </c>
      <c r="B152" s="132">
        <v>2007</v>
      </c>
      <c r="C152" s="117" t="s">
        <v>1715</v>
      </c>
      <c r="D152" s="117" t="s">
        <v>2333</v>
      </c>
    </row>
    <row r="153" spans="1:4" ht="15.75" customHeight="1">
      <c r="A153" s="131" t="str">
        <f>HYPERLINK("https://doi.org/10.1016/j.ydbio.2006.09.013","Deyhle et al 2007")</f>
        <v>Deyhle et al 2007</v>
      </c>
      <c r="B153" s="132">
        <v>2007</v>
      </c>
      <c r="C153" s="117" t="s">
        <v>1704</v>
      </c>
      <c r="D153" s="117" t="s">
        <v>2334</v>
      </c>
    </row>
    <row r="154" spans="1:4" ht="16.5" customHeight="1">
      <c r="A154" s="133" t="str">
        <f>HYPERLINK("https://www.jstor.org/stable/24097568?seq=1#page_scan_tab_contents","Gangopadhyay et al 2007")</f>
        <v>Gangopadhyay et al 2007</v>
      </c>
      <c r="B154" s="132">
        <v>2007</v>
      </c>
      <c r="C154" s="117" t="s">
        <v>1707</v>
      </c>
      <c r="D154" s="117" t="s">
        <v>1996</v>
      </c>
    </row>
    <row r="155" spans="1:4" ht="15.75" customHeight="1">
      <c r="A155" s="133" t="str">
        <f>HYPERLINK("https://www.jstor.org/stable/24099164?seq=1#page_scan_tab_contents","George et al 2007")</f>
        <v>George et al 2007</v>
      </c>
      <c r="B155" s="132">
        <v>2007</v>
      </c>
      <c r="C155" s="117" t="s">
        <v>1707</v>
      </c>
      <c r="D155" s="117" t="s">
        <v>2335</v>
      </c>
    </row>
    <row r="156" spans="1:4" ht="15.75" customHeight="1">
      <c r="A156" s="131" t="str">
        <f>HYPERLINK("https://doi.org/10.1055/s-2006-924728","Korpelainen and Kostamo 2007")</f>
        <v>Korpelainen and Kostamo 2007</v>
      </c>
      <c r="B156" s="132">
        <v>2007</v>
      </c>
      <c r="C156" s="117" t="s">
        <v>1715</v>
      </c>
      <c r="D156" s="117" t="s">
        <v>2009</v>
      </c>
    </row>
    <row r="157" spans="1:4" ht="15.75" customHeight="1">
      <c r="A157" s="131" t="str">
        <f>HYPERLINK("https://doi.org/10.1534/genetics.107.075424","McDaniel et al 2007")</f>
        <v>McDaniel et al 2007</v>
      </c>
      <c r="B157" s="132">
        <v>2007</v>
      </c>
      <c r="C157" s="117" t="s">
        <v>1707</v>
      </c>
      <c r="D157" s="117" t="s">
        <v>2001</v>
      </c>
    </row>
    <row r="158" spans="1:4" ht="15.75" customHeight="1">
      <c r="A158" s="131" t="str">
        <f>HYPERLINK("https://doi.org/10.3732/ajb.94.2.141","Ming et al 2007")</f>
        <v>Ming et al 2007</v>
      </c>
      <c r="B158" s="132">
        <v>2007</v>
      </c>
      <c r="C158" s="117" t="s">
        <v>1704</v>
      </c>
      <c r="D158" s="117" t="s">
        <v>2007</v>
      </c>
    </row>
    <row r="159" spans="1:4" ht="15.75" customHeight="1">
      <c r="A159" s="133" t="str">
        <f>HYPERLINK("https://www.ajol.info/index.php/ajb/article/view/56121","Mwase et al 2007")</f>
        <v>Mwase et al 2007</v>
      </c>
      <c r="B159" s="132">
        <v>2007</v>
      </c>
      <c r="C159" s="117" t="s">
        <v>1707</v>
      </c>
      <c r="D159" s="117" t="s">
        <v>2002</v>
      </c>
    </row>
    <row r="160" spans="1:4" ht="15.75" customHeight="1">
      <c r="A160" s="131" t="str">
        <f>HYPERLINK("https://link.springer.com/chapter/10.1007/978-3-540-71233-6_11","Navajas-Pérez et al 2007")</f>
        <v>Navajas-Pérez et al 2007</v>
      </c>
      <c r="B160" s="132">
        <v>2007</v>
      </c>
      <c r="C160" s="117" t="s">
        <v>1707</v>
      </c>
      <c r="D160" s="117" t="s">
        <v>2336</v>
      </c>
    </row>
    <row r="161" spans="1:26" ht="15.75" customHeight="1">
      <c r="A161" s="149" t="str">
        <f>HYPERLINK("https://www.nrcresearchpress.com/doi/abs/10.1139/G07-066#.XZKBq1UzaM8","Vinod et al 2007")</f>
        <v>Vinod et al 2007</v>
      </c>
      <c r="B161" s="132">
        <v>2007</v>
      </c>
      <c r="C161" s="117" t="s">
        <v>1707</v>
      </c>
      <c r="D161" s="117" t="s">
        <v>2003</v>
      </c>
    </row>
    <row r="162" spans="1:26" ht="15.75" customHeight="1">
      <c r="A162" s="131" t="str">
        <f>HYPERLINK("https://link.springer.com/article/10.1007%2Fs00438-007-0243-z","Yu et al 2007")</f>
        <v>Yu et al 2007</v>
      </c>
      <c r="B162" s="132">
        <v>2007</v>
      </c>
      <c r="C162" s="117" t="s">
        <v>1740</v>
      </c>
      <c r="D162" s="117" t="s">
        <v>1997</v>
      </c>
    </row>
    <row r="163" spans="1:26" ht="15.75" customHeight="1">
      <c r="A163" s="131" t="str">
        <f>HYPERLINK("https://doi.org/10.1534/genetics.107.071175","Zluvova et al 2007")</f>
        <v>Zluvova et al 2007</v>
      </c>
      <c r="B163" s="132">
        <v>2007</v>
      </c>
      <c r="C163" s="117" t="s">
        <v>1715</v>
      </c>
      <c r="D163" s="117" t="s">
        <v>2011</v>
      </c>
    </row>
    <row r="164" spans="1:26" ht="15.75" customHeight="1">
      <c r="A164" s="145" t="str">
        <f>HYPERLINK("https://www.pnas.org/content/pnas/104/15/6472.full.pdf","Yamato et al  2007")</f>
        <v>Yamato et al  2007</v>
      </c>
      <c r="B164" s="146">
        <v>2007</v>
      </c>
      <c r="C164" s="147" t="s">
        <v>1740</v>
      </c>
      <c r="D164" s="147" t="s">
        <v>2005</v>
      </c>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spans="1:26" ht="15.75" customHeight="1">
      <c r="A165" s="128" t="str">
        <f>HYPERLINK("https://doi.org/10.1007/s10577-008-1254-2","Cermak et al 2008")</f>
        <v>Cermak et al 2008</v>
      </c>
      <c r="B165" s="132">
        <v>2008</v>
      </c>
      <c r="C165" s="117" t="s">
        <v>1740</v>
      </c>
      <c r="D165" s="117" t="s">
        <v>2020</v>
      </c>
    </row>
    <row r="166" spans="1:26" ht="15.75" customHeight="1">
      <c r="A166" s="150" t="str">
        <f>HYPERLINK(" https://doi.org/10.1017/S0016672307009056","Filatov 2008")</f>
        <v>Filatov 2008</v>
      </c>
      <c r="B166" s="132">
        <v>2008</v>
      </c>
      <c r="C166" s="117" t="s">
        <v>1707</v>
      </c>
      <c r="D166" s="117" t="s">
        <v>2337</v>
      </c>
    </row>
    <row r="167" spans="1:26" ht="15.75" customHeight="1">
      <c r="A167" s="131" t="str">
        <f>HYPERLINK("https://doi.org/10.1508/cytologia.73.159","Fujita et al 2008")</f>
        <v>Fujita et al 2008</v>
      </c>
      <c r="B167" s="132">
        <v>2008</v>
      </c>
      <c r="C167" s="117" t="s">
        <v>1740</v>
      </c>
      <c r="D167" s="117" t="s">
        <v>2022</v>
      </c>
    </row>
    <row r="168" spans="1:26" ht="15.75" customHeight="1">
      <c r="A168" s="128" t="str">
        <f>HYPERLINK("https://doi.org/10.1007/s11032-007-9114-x","Jaksa et al 2008")</f>
        <v>Jaksa et al 2008</v>
      </c>
      <c r="B168" s="132">
        <v>2008</v>
      </c>
      <c r="C168" s="117" t="s">
        <v>1707</v>
      </c>
      <c r="D168" s="117" t="s">
        <v>2016</v>
      </c>
    </row>
    <row r="169" spans="1:26" ht="15.75" customHeight="1">
      <c r="A169" s="131" t="str">
        <f>HYPERLINK("https://doi.org/10.1159/000121075","Jamilena et al 2008")</f>
        <v>Jamilena et al 2008</v>
      </c>
      <c r="B169" s="132">
        <v>2008</v>
      </c>
      <c r="C169" s="117" t="s">
        <v>1704</v>
      </c>
      <c r="D169" s="117" t="s">
        <v>2338</v>
      </c>
    </row>
    <row r="170" spans="1:26" ht="15.75" customHeight="1">
      <c r="A170" s="131" t="str">
        <f>HYPERLINK("https://doi.org/10.1139/G08-024","Kubat et al 2008")</f>
        <v>Kubat et al 2008</v>
      </c>
      <c r="B170" s="132">
        <v>2008</v>
      </c>
      <c r="C170" s="117" t="s">
        <v>1740</v>
      </c>
      <c r="D170" s="117" t="s">
        <v>2024</v>
      </c>
    </row>
    <row r="171" spans="1:26" ht="15.75" customHeight="1">
      <c r="A171" s="131" t="str">
        <f>HYPERLINK("https://doi.org/10.1038/nature06856","Ming et al 2008")</f>
        <v>Ming et al 2008</v>
      </c>
      <c r="B171" s="132">
        <v>2008</v>
      </c>
      <c r="C171" s="117" t="s">
        <v>1707</v>
      </c>
      <c r="D171" s="117" t="s">
        <v>2014</v>
      </c>
    </row>
    <row r="172" spans="1:26" ht="15.75" customHeight="1">
      <c r="A172" s="131" t="str">
        <f>HYPERLINK("https://doi.org/10.1534/genetics.107.085670","Mrackova et al 2008")</f>
        <v>Mrackova et al 2008</v>
      </c>
      <c r="B172" s="132">
        <v>2008</v>
      </c>
      <c r="C172" s="117" t="s">
        <v>1882</v>
      </c>
      <c r="D172" s="117" t="s">
        <v>2025</v>
      </c>
    </row>
    <row r="173" spans="1:26" ht="15.75" customHeight="1">
      <c r="A173" s="131" t="str">
        <f>HYPERLINK("https://doi.org/10.1111/j.1439-0523.2005.01079.x","Rode et al 2008")</f>
        <v>Rode et al 2008</v>
      </c>
      <c r="B173" s="132">
        <v>2008</v>
      </c>
      <c r="C173" s="117" t="s">
        <v>1707</v>
      </c>
      <c r="D173" s="117" t="s">
        <v>2013</v>
      </c>
    </row>
    <row r="174" spans="1:26" ht="15.75" customHeight="1">
      <c r="A174" s="133" t="str">
        <f>HYPERLINK("https://www.nature.com/articles/hdy2008100.pdf","Spigler et al 2008")</f>
        <v>Spigler et al 2008</v>
      </c>
      <c r="B174" s="132">
        <v>2008</v>
      </c>
      <c r="C174" s="117" t="s">
        <v>1707</v>
      </c>
      <c r="D174" s="117" t="s">
        <v>2339</v>
      </c>
    </row>
    <row r="175" spans="1:26" ht="15.75" customHeight="1">
      <c r="A175" s="131" t="str">
        <f>HYPERLINK("https://doi.org/10.1111/j.1365-313X.2007.03329.x","Yu et al 2008")</f>
        <v>Yu et al 2008</v>
      </c>
      <c r="B175" s="132">
        <v>2008</v>
      </c>
      <c r="C175" s="117" t="s">
        <v>1707</v>
      </c>
      <c r="D175" s="117" t="s">
        <v>2340</v>
      </c>
    </row>
    <row r="176" spans="1:26" ht="15.75" customHeight="1">
      <c r="A176" s="151" t="str">
        <f>HYPERLINK("https://doi.org/10.1038/hdy.2008.100","Spigler et al. 2008")</f>
        <v>Spigler et al. 2008</v>
      </c>
      <c r="B176" s="146">
        <v>2008</v>
      </c>
      <c r="C176" s="147" t="s">
        <v>1707</v>
      </c>
      <c r="D176" s="152" t="s">
        <v>2015</v>
      </c>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spans="1:4" ht="15.75" customHeight="1">
      <c r="A177" s="133" t="str">
        <f>HYPERLINK("https://onlinelibrary.wiley.com/doi/full/10.1111/j.1755-0998.2009.02570.x","Eppley et al 2009")</f>
        <v>Eppley et al 2009</v>
      </c>
      <c r="B177" s="132">
        <v>2009</v>
      </c>
      <c r="C177" s="117" t="s">
        <v>1707</v>
      </c>
      <c r="D177" s="117" t="s">
        <v>2341</v>
      </c>
    </row>
    <row r="178" spans="1:4" ht="15.75" customHeight="1">
      <c r="A178" s="128" t="str">
        <f>HYPERLINK("https://doi.org/10.1534/genetics.108.099267","Filatov et al 2009")</f>
        <v>Filatov et al 2009</v>
      </c>
      <c r="B178" s="132">
        <v>2009</v>
      </c>
      <c r="C178" s="117" t="s">
        <v>1882</v>
      </c>
      <c r="D178" s="117" t="s">
        <v>2342</v>
      </c>
    </row>
    <row r="179" spans="1:4" ht="15.75" customHeight="1">
      <c r="A179" s="131" t="str">
        <f>HYPERLINK("https://www.ncbi.nlm.nih.gov/pubmed/19284545","Fraser et al 2009")</f>
        <v>Fraser et al 2009</v>
      </c>
      <c r="B179" s="132">
        <v>2009</v>
      </c>
      <c r="C179" s="117" t="s">
        <v>1707</v>
      </c>
      <c r="D179" s="117" t="s">
        <v>2343</v>
      </c>
    </row>
    <row r="180" spans="1:4" ht="15.75" customHeight="1">
      <c r="A180" s="133" t="str">
        <f>HYPERLINK("https://link.springer.com/article/10.1007/s11461-009-0037-z","Hou et al 2009")</f>
        <v>Hou et al 2009</v>
      </c>
      <c r="B180" s="132">
        <v>2009</v>
      </c>
      <c r="C180" s="117" t="s">
        <v>1707</v>
      </c>
      <c r="D180" s="117" t="s">
        <v>2344</v>
      </c>
    </row>
    <row r="181" spans="1:4" ht="15.75" customHeight="1">
      <c r="A181" s="133" t="str">
        <f>HYPERLINK("https://www.genetics.org/content/182/4/1109","Howell et al 2009")</f>
        <v>Howell et al 2009</v>
      </c>
      <c r="B181" s="132">
        <v>2009</v>
      </c>
      <c r="C181" s="117" t="s">
        <v>1715</v>
      </c>
      <c r="D181" s="117" t="s">
        <v>2040</v>
      </c>
    </row>
    <row r="182" spans="1:4" ht="15.75" customHeight="1">
      <c r="A182" s="131" t="str">
        <f>HYPERLINK("https://doi.org/10.1093/molbev/msp141","Kaiser et al 2009")</f>
        <v>Kaiser et al 2009</v>
      </c>
      <c r="B182" s="132">
        <v>2009</v>
      </c>
      <c r="C182" s="117" t="s">
        <v>1707</v>
      </c>
      <c r="D182" s="117" t="s">
        <v>2345</v>
      </c>
    </row>
    <row r="183" spans="1:4" ht="15.75" customHeight="1">
      <c r="A183" s="131" t="str">
        <f>HYPERLINK("https://doi.org/10.1093/pcp/pcp064","Kazama et al 2009")</f>
        <v>Kazama et al 2009</v>
      </c>
      <c r="B183" s="132">
        <v>2009</v>
      </c>
      <c r="C183" s="117" t="s">
        <v>1707</v>
      </c>
      <c r="D183" s="117" t="s">
        <v>2346</v>
      </c>
    </row>
    <row r="184" spans="1:4" ht="15.75" customHeight="1">
      <c r="A184" s="131" t="str">
        <f>HYPERLINK("https://www.nature.com/articles/hdy200917","Kejnovsky et al 2009")</f>
        <v>Kejnovsky et al 2009</v>
      </c>
      <c r="B184" s="132">
        <v>2009</v>
      </c>
      <c r="C184" s="117" t="s">
        <v>1704</v>
      </c>
      <c r="D184" s="117" t="s">
        <v>2037</v>
      </c>
    </row>
    <row r="185" spans="1:4" ht="15.75" customHeight="1">
      <c r="A185" s="133" t="str">
        <f>HYPERLINK("https://www.nrcresearchpress.com/doi/10.1139/G08-120#.XZKDbVUzaM8","Maki 2009")</f>
        <v>Maki 2009</v>
      </c>
      <c r="B185" s="132">
        <v>2009</v>
      </c>
      <c r="C185" s="117" t="s">
        <v>1707</v>
      </c>
      <c r="D185" s="117" t="s">
        <v>2030</v>
      </c>
    </row>
    <row r="186" spans="1:4" ht="15.75" customHeight="1">
      <c r="A186" s="133" t="str">
        <f>HYPERLINK("https://link.springer.com/content/pdf/10.1007%2Fs00122-009-0979-4.pdf","Marguerit et al 2009")</f>
        <v>Marguerit et al 2009</v>
      </c>
      <c r="B186" s="132">
        <v>2009</v>
      </c>
      <c r="C186" s="117" t="s">
        <v>1707</v>
      </c>
      <c r="D186" s="117" t="s">
        <v>2043</v>
      </c>
    </row>
    <row r="187" spans="1:4" ht="15.75" customHeight="1">
      <c r="A187" s="143" t="str">
        <f>HYPERLINK("https://doi.org/10.1007/s00438-008-0405-7","Mariotti et al 2009")</f>
        <v>Mariotti et al 2009</v>
      </c>
      <c r="B187" s="132">
        <v>2009</v>
      </c>
      <c r="C187" s="117" t="s">
        <v>1882</v>
      </c>
      <c r="D187" s="117" t="s">
        <v>2038</v>
      </c>
    </row>
    <row r="188" spans="1:4" ht="15.75" customHeight="1">
      <c r="A188" s="131" t="str">
        <f>HYPERLINK("https://link.springer.com/article/10.1007%2Fs10709-008-9261-y","Navajas-Pérez et al 2009")</f>
        <v>Navajas-Pérez et al 2009</v>
      </c>
      <c r="B188" s="132">
        <v>2009</v>
      </c>
      <c r="C188" s="117" t="s">
        <v>1882</v>
      </c>
      <c r="D188" s="117" t="s">
        <v>2039</v>
      </c>
    </row>
    <row r="189" spans="1:4" ht="15.75" customHeight="1">
      <c r="A189" s="128" t="str">
        <f>HYPERLINK("https://doi.org/10.1111/j.1420-9101.2008.01641.x","Oyama et al 2009")</f>
        <v>Oyama et al 2009</v>
      </c>
      <c r="B189" s="132">
        <v>2009</v>
      </c>
      <c r="C189" s="117" t="s">
        <v>1707</v>
      </c>
      <c r="D189" s="117" t="s">
        <v>2347</v>
      </c>
    </row>
    <row r="190" spans="1:4" ht="15.75" customHeight="1">
      <c r="A190" s="131" t="str">
        <f>HYPERLINK("http://dx.doi.org/10.1080/14620316.2009.11512557","Simon et al. 2009")</f>
        <v>Simon et al. 2009</v>
      </c>
      <c r="B190" s="132">
        <v>2009</v>
      </c>
      <c r="C190" s="117" t="s">
        <v>1707</v>
      </c>
      <c r="D190" s="117" t="s">
        <v>2032</v>
      </c>
    </row>
    <row r="191" spans="1:4" ht="15.75" customHeight="1">
      <c r="A191" s="131" t="str">
        <f>HYPERLINK("https://doi.org/10.1111/j.1365-2745.2009.01484.x","Vandepitte et al 2009")</f>
        <v>Vandepitte et al 2009</v>
      </c>
      <c r="B191" s="144">
        <v>2009</v>
      </c>
      <c r="C191" s="142" t="s">
        <v>1707</v>
      </c>
      <c r="D191" s="142" t="s">
        <v>2028</v>
      </c>
    </row>
    <row r="192" spans="1:4" ht="15.75" customHeight="1">
      <c r="A192" s="131" t="str">
        <f>HYPERLINK("https://doi.org/10.1186/1471-2164-10-371","Yu et al 2009")</f>
        <v>Yu et al 2009</v>
      </c>
      <c r="B192" s="132">
        <v>2009</v>
      </c>
      <c r="C192" s="117" t="s">
        <v>1707</v>
      </c>
      <c r="D192" s="117" t="s">
        <v>2348</v>
      </c>
    </row>
    <row r="193" spans="1:26" ht="16.5" customHeight="1">
      <c r="A193" s="145" t="str">
        <f>HYPERLINK("https://www.jstage.jst.go.jp/article/pjab/85/3/85_3_108/_pdf","Ohyama et al 2009")</f>
        <v>Ohyama et al 2009</v>
      </c>
      <c r="B193" s="146">
        <v>2009</v>
      </c>
      <c r="C193" s="147" t="s">
        <v>1707</v>
      </c>
      <c r="D193" s="147" t="s">
        <v>2027</v>
      </c>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spans="1:26" ht="15.75" customHeight="1">
      <c r="A194" s="133" t="str">
        <f>HYPERLINK("https://www.ncbi.nlm.nih.gov/pmc/articles/PMC2880461/pdf/nihms-197056.pdf","Ferris et al 2010")</f>
        <v>Ferris et al 2010</v>
      </c>
      <c r="B194" s="132">
        <v>2010</v>
      </c>
      <c r="C194" s="117" t="s">
        <v>1707</v>
      </c>
      <c r="D194" s="117" t="s">
        <v>2052</v>
      </c>
    </row>
    <row r="195" spans="1:26" ht="15.75" customHeight="1">
      <c r="A195" s="133" t="str">
        <f>HYPERLINK("https://www.genetics.org/content/186/4/1425.long","Golgberg et al 2010")</f>
        <v>Golgberg et al 2010</v>
      </c>
      <c r="B195" s="132">
        <v>2010</v>
      </c>
      <c r="C195" s="117" t="s">
        <v>1707</v>
      </c>
      <c r="D195" s="117" t="s">
        <v>2049</v>
      </c>
    </row>
    <row r="196" spans="1:26" ht="15.75" customHeight="1">
      <c r="A196" s="131" t="str">
        <f>HYPERLINK("https://link.springer.com/article/10.1007/s10709-010-9449-9","Gottlieb and Poggio 2010")</f>
        <v>Gottlieb and Poggio 2010</v>
      </c>
      <c r="B196" s="132">
        <v>2010</v>
      </c>
      <c r="C196" s="117" t="s">
        <v>1707</v>
      </c>
      <c r="D196" s="117" t="s">
        <v>2053</v>
      </c>
    </row>
    <row r="197" spans="1:26" ht="15.75" customHeight="1">
      <c r="A197" s="133" t="str">
        <f>HYPERLINK("https://www.uv.es/jgpausas/teach/harris-Pannell-2010-JEcol_Leucadendron-serotiny-sexual-dimorphism-dioecy.pdf","Harris and Pannell 2010")</f>
        <v>Harris and Pannell 2010</v>
      </c>
      <c r="B197" s="132">
        <v>2010</v>
      </c>
      <c r="C197" s="117" t="s">
        <v>1704</v>
      </c>
      <c r="D197" s="117" t="s">
        <v>2054</v>
      </c>
    </row>
    <row r="198" spans="1:26" ht="15.75" customHeight="1">
      <c r="A198" s="131" t="str">
        <f>HYPERLINK("https://doi.org/10.1002/bies.200900124","Ironside 2010")</f>
        <v>Ironside 2010</v>
      </c>
      <c r="B198" s="132">
        <v>2010</v>
      </c>
      <c r="C198" s="117" t="s">
        <v>1704</v>
      </c>
      <c r="D198" s="117" t="s">
        <v>2057</v>
      </c>
    </row>
    <row r="199" spans="1:26" ht="15.75" customHeight="1">
      <c r="A199" s="131" t="str">
        <f>HYPERLINK("https://doi.org/10.1139/g10-008","Ishii et al 2010")</f>
        <v>Ishii et al 2010</v>
      </c>
      <c r="B199" s="132">
        <v>2010</v>
      </c>
      <c r="C199" s="117" t="s">
        <v>1882</v>
      </c>
      <c r="D199" s="117" t="s">
        <v>2058</v>
      </c>
    </row>
    <row r="200" spans="1:26" ht="15.75" customHeight="1">
      <c r="A200" s="131" t="str">
        <f>HYPERLINK("https://academicjournals.org/article/article1380626535_Kim%20et%20al.pdf","Kim et al 2010")</f>
        <v>Kim et al 2010</v>
      </c>
      <c r="B200" s="132">
        <v>2010</v>
      </c>
      <c r="C200" s="117" t="s">
        <v>1707</v>
      </c>
      <c r="D200" s="117" t="s">
        <v>2045</v>
      </c>
    </row>
    <row r="201" spans="1:26" ht="15.75" customHeight="1">
      <c r="A201" s="131" t="str">
        <f>HYPERLINK("https://doi.org/10.1093/pcp/pcp187","Koizumi et al 2010")</f>
        <v>Koizumi et al 2010</v>
      </c>
      <c r="B201" s="132">
        <v>2010</v>
      </c>
      <c r="C201" s="117" t="s">
        <v>1707</v>
      </c>
      <c r="D201" s="117" t="s">
        <v>2349</v>
      </c>
    </row>
    <row r="202" spans="1:26" ht="15.75" customHeight="1">
      <c r="A202" s="131" t="str">
        <f>HYPERLINK("https://doi.org/10.1111/j.1095-8339.2010.01073.x","Li et al 2010")</f>
        <v>Li et al 2010</v>
      </c>
      <c r="B202" s="132">
        <v>2010</v>
      </c>
      <c r="C202" s="117" t="s">
        <v>1704</v>
      </c>
      <c r="D202" s="117" t="s">
        <v>2046</v>
      </c>
    </row>
    <row r="203" spans="1:26" ht="15.75" customHeight="1">
      <c r="A203" s="133" t="str">
        <f>HYPERLINK("https://link.springer.com/content/pdf/10.1007%2Fs11295-010-0297-7.pdf","Paolucci et al 2010")</f>
        <v>Paolucci et al 2010</v>
      </c>
      <c r="B203" s="132">
        <v>2010</v>
      </c>
      <c r="C203" s="117" t="s">
        <v>1707</v>
      </c>
      <c r="D203" s="117" t="s">
        <v>2056</v>
      </c>
    </row>
    <row r="204" spans="1:26" ht="15.75" customHeight="1">
      <c r="A204" s="133" t="str">
        <f>HYPERLINK("https://link.springer.com/article/10.1007/s11816-009-0113-8","Samantaray et al 2010")</f>
        <v>Samantaray et al 2010</v>
      </c>
      <c r="B204" s="132">
        <v>2010</v>
      </c>
      <c r="C204" s="117" t="s">
        <v>1707</v>
      </c>
      <c r="D204" s="117" t="s">
        <v>2055</v>
      </c>
    </row>
    <row r="205" spans="1:26" ht="15.75" customHeight="1">
      <c r="A205" s="153" t="str">
        <f>HYPERLINK("https://doi.org/10.1111/j.1558-5646.2010.01189.x","Spigler et al 2010a")</f>
        <v>Spigler et al 2010a</v>
      </c>
      <c r="B205" s="154">
        <v>2010</v>
      </c>
      <c r="C205" s="152" t="s">
        <v>1707</v>
      </c>
      <c r="D205" s="152" t="s">
        <v>2050</v>
      </c>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spans="1:26" ht="15.75" customHeight="1">
      <c r="A206" s="153" t="str">
        <f>HYPERLINK("https://doi.org/10.1093/jhered/esq001","Spigler et al 2010b")</f>
        <v>Spigler et al 2010b</v>
      </c>
      <c r="B206" s="146">
        <v>2010</v>
      </c>
      <c r="C206" s="147" t="s">
        <v>1707</v>
      </c>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spans="1:26" ht="15.75" customHeight="1">
      <c r="A207" s="131" t="str">
        <f>HYPERLINK("https://doi.org/10.1055/s-0030-1249978","Techen et al 2010")</f>
        <v>Techen et al 2010</v>
      </c>
      <c r="B207" s="132">
        <v>2010</v>
      </c>
      <c r="C207" s="117" t="s">
        <v>1707</v>
      </c>
      <c r="D207" s="117" t="s">
        <v>2350</v>
      </c>
    </row>
    <row r="208" spans="1:26" ht="15.75" customHeight="1">
      <c r="A208" s="131" t="str">
        <f>HYPERLINK(" https://doi.org/10.1111/j.1365-313X.2010.04284.x","Wu et al 2010")</f>
        <v>Wu et al 2010</v>
      </c>
      <c r="B208" s="132">
        <v>2010</v>
      </c>
      <c r="C208" s="117" t="s">
        <v>1707</v>
      </c>
      <c r="D208" s="117" t="s">
        <v>2048</v>
      </c>
    </row>
    <row r="209" spans="1:4" ht="15.75" customHeight="1">
      <c r="A209" s="131" t="str">
        <f>HYPERLINK("https://link.springer.com/article/10.1134/S1022795411080023","Aleksandrov et al 2011")</f>
        <v>Aleksandrov et al 2011</v>
      </c>
      <c r="B209" s="132">
        <v>2011</v>
      </c>
      <c r="C209" s="117" t="s">
        <v>1707</v>
      </c>
      <c r="D209" s="117" t="s">
        <v>2060</v>
      </c>
    </row>
    <row r="210" spans="1:4" ht="15.75" customHeight="1">
      <c r="A210" s="131" t="str">
        <f>HYPERLINK("https://link.springer.com/article/10.1007/s12041-011-0026-5","Bharathi et al 2011")</f>
        <v>Bharathi et al 2011</v>
      </c>
      <c r="B210" s="132">
        <v>2011</v>
      </c>
      <c r="C210" s="117" t="s">
        <v>1715</v>
      </c>
      <c r="D210" s="117" t="s">
        <v>2351</v>
      </c>
    </row>
    <row r="211" spans="1:4" ht="15.75" customHeight="1">
      <c r="A211" s="131" t="str">
        <f>HYPERLINK("https://doi.org/10.1186/1471-2164-12-376","Blavet et al 2011")</f>
        <v>Blavet et al 2011</v>
      </c>
      <c r="B211" s="132">
        <v>2011</v>
      </c>
      <c r="C211" s="117" t="s">
        <v>1702</v>
      </c>
      <c r="D211" s="117" t="s">
        <v>2352</v>
      </c>
    </row>
    <row r="212" spans="1:4" ht="15.75" customHeight="1">
      <c r="A212" s="128" t="str">
        <f>HYPERLINK("https://doi.org/10.1159/000328831","Divashuk et al 2011")</f>
        <v>Divashuk et al 2011</v>
      </c>
      <c r="B212" s="132">
        <v>2011</v>
      </c>
      <c r="C212" s="117" t="s">
        <v>1882</v>
      </c>
      <c r="D212" s="117" t="s">
        <v>2353</v>
      </c>
    </row>
    <row r="213" spans="1:4" ht="15.75" customHeight="1">
      <c r="A213" s="131" t="str">
        <f>HYPERLINK("https://doi.org/10.1139/b11-025","Dwarka et al 2011")</f>
        <v>Dwarka et al 2011</v>
      </c>
      <c r="B213" s="132">
        <v>2011</v>
      </c>
      <c r="C213" s="117" t="s">
        <v>1707</v>
      </c>
      <c r="D213" s="117" t="s">
        <v>2066</v>
      </c>
    </row>
    <row r="214" spans="1:4" ht="15.75" customHeight="1">
      <c r="A214" s="131" t="str">
        <f>HYPERLINK("https://doi.org/10.1111/j.1525-142X.2011.00467.x","Englund et al 2011")</f>
        <v>Englund et al 2011</v>
      </c>
      <c r="B214" s="136">
        <v>2011</v>
      </c>
      <c r="C214" s="137" t="s">
        <v>1707</v>
      </c>
      <c r="D214" s="137" t="s">
        <v>2067</v>
      </c>
    </row>
    <row r="215" spans="1:4" ht="15.75" customHeight="1">
      <c r="A215" s="131" t="str">
        <f>HYPERLINK("https://www.researchgate.net/publication/233902887_Sex_determination_of_jojoba_Simmondsia_chinensis_cv_Arizona_by_random_amplified_polymorphic_DNA_RAPD_molecular_markers","Hosseini et al 2011")</f>
        <v>Hosseini et al 2011</v>
      </c>
      <c r="B215" s="132">
        <v>2011</v>
      </c>
      <c r="C215" s="117" t="s">
        <v>1707</v>
      </c>
      <c r="D215" s="117" t="s">
        <v>2078</v>
      </c>
    </row>
    <row r="216" spans="1:4" ht="15.75" customHeight="1">
      <c r="A216" s="131" t="str">
        <f>HYPERLINK("https://doi.org/10.1017/S0021859610000948","Ince and Karaca 2011")</f>
        <v>Ince and Karaca 2011</v>
      </c>
      <c r="B216" s="132">
        <v>2011</v>
      </c>
      <c r="C216" s="117" t="s">
        <v>1707</v>
      </c>
      <c r="D216" s="117" t="s">
        <v>2079</v>
      </c>
    </row>
    <row r="217" spans="1:4" ht="15.75" customHeight="1">
      <c r="A217" s="131" t="str">
        <f>HYPERLINK("https://doi.org/10.1038/hdy.2010.76","Kaiser et al 2011")</f>
        <v>Kaiser et al 2011</v>
      </c>
      <c r="B217" s="132">
        <v>2011</v>
      </c>
      <c r="C217" s="117" t="s">
        <v>1707</v>
      </c>
      <c r="D217" s="117" t="s">
        <v>2075</v>
      </c>
    </row>
    <row r="218" spans="1:4" ht="15.75" customHeight="1">
      <c r="A218" s="133" t="str">
        <f>HYPERLINK("https://journals.plos.org/plosone/article?id=10.1371/journal.pone.0021915","Marais et al 2011")</f>
        <v>Marais et al 2011</v>
      </c>
      <c r="B218" s="132">
        <v>2011</v>
      </c>
      <c r="C218" s="117" t="s">
        <v>1707</v>
      </c>
      <c r="D218" s="117" t="s">
        <v>2076</v>
      </c>
    </row>
    <row r="219" spans="1:4" ht="15.75" customHeight="1">
      <c r="A219" s="133" t="str">
        <f>HYPERLINK("https://content.sciendo.com/configurable/contentpage/journals$002fcszma$002f60$002f1$002farticle-p1.xml","Milewicz and Sawicki 2011")</f>
        <v>Milewicz and Sawicki 2011</v>
      </c>
      <c r="B219" s="132">
        <v>2011</v>
      </c>
      <c r="C219" s="117" t="s">
        <v>1707</v>
      </c>
      <c r="D219" s="117" t="s">
        <v>2354</v>
      </c>
    </row>
    <row r="220" spans="1:4" ht="15.75" customHeight="1">
      <c r="A220" s="131" t="str">
        <f>HYPERLINK("https://doi.org/10.1146/annurev-arplant-042110-103914","Ming et al 2011")</f>
        <v>Ming et al 2011</v>
      </c>
      <c r="B220" s="132">
        <v>2011</v>
      </c>
      <c r="C220" s="117" t="s">
        <v>1704</v>
      </c>
      <c r="D220" s="117" t="s">
        <v>2355</v>
      </c>
    </row>
    <row r="221" spans="1:4" ht="15.75" customHeight="1">
      <c r="A221" s="131" t="str">
        <f>HYPERLINK("https://doi.org/10.1073/pnas.171304798 ","Okada et al 2011")</f>
        <v>Okada et al 2011</v>
      </c>
      <c r="B221" s="132">
        <v>2011</v>
      </c>
      <c r="C221" s="117" t="s">
        <v>2063</v>
      </c>
      <c r="D221" s="117" t="s">
        <v>2064</v>
      </c>
    </row>
    <row r="222" spans="1:4" ht="15.75" customHeight="1">
      <c r="A222" s="128" t="str">
        <f>HYPERLINK("https://doi.org/10.1016/j.tig.2011.05.001","Otto et al 2011")</f>
        <v>Otto et al 2011</v>
      </c>
      <c r="B222" s="132">
        <v>2011</v>
      </c>
      <c r="C222" s="117" t="s">
        <v>1704</v>
      </c>
      <c r="D222" s="117" t="s">
        <v>2072</v>
      </c>
    </row>
    <row r="223" spans="1:4" ht="15.75" customHeight="1">
      <c r="A223" s="128" t="str">
        <f>HYPERLINK("https://doi.org/10.1371/journal.pone.0018972","Penny et al 2011")</f>
        <v>Penny et al 2011</v>
      </c>
      <c r="B223" s="132">
        <v>2011</v>
      </c>
      <c r="C223" s="117" t="s">
        <v>1707</v>
      </c>
      <c r="D223" s="117" t="s">
        <v>2356</v>
      </c>
    </row>
    <row r="224" spans="1:4" ht="15.75" customHeight="1">
      <c r="A224" s="131" t="str">
        <f>HYPERLINK("https://doi.org/10.1139/G10-115","Quesada del Bosque et al 2011")</f>
        <v>Quesada del Bosque et al 2011</v>
      </c>
      <c r="B224" s="132">
        <v>2011</v>
      </c>
      <c r="C224" s="117" t="s">
        <v>2063</v>
      </c>
      <c r="D224" s="117" t="s">
        <v>2073</v>
      </c>
    </row>
    <row r="225" spans="1:4" ht="15.75" customHeight="1">
      <c r="A225" s="131" t="str">
        <f>HYPERLINK("https://doi.org/10.3897/CompCytogen.v6i3.3261","Alexandrov et al 2012")</f>
        <v>Alexandrov et al 2012</v>
      </c>
      <c r="B225" s="132">
        <v>2012</v>
      </c>
      <c r="C225" s="117" t="s">
        <v>1715</v>
      </c>
      <c r="D225" s="117" t="s">
        <v>2357</v>
      </c>
    </row>
    <row r="226" spans="1:4" ht="15.75" customHeight="1">
      <c r="A226" s="131" t="str">
        <f>HYPERLINK("https://doi.org/10.1186/1471-2164-13-226","Blavet et al 2012")</f>
        <v>Blavet et al 2012</v>
      </c>
      <c r="B226" s="132">
        <v>2012</v>
      </c>
      <c r="C226" s="117" t="s">
        <v>1702</v>
      </c>
      <c r="D226" s="117" t="s">
        <v>2358</v>
      </c>
    </row>
    <row r="227" spans="1:4" ht="15.75" customHeight="1">
      <c r="A227" s="131" t="str">
        <f>HYPERLINK("https://doi.org/10.1371/journal.pone.0031898","Cegan et al 2012")</f>
        <v>Cegan et al 2012</v>
      </c>
      <c r="B227" s="132">
        <v>2012</v>
      </c>
      <c r="C227" s="117" t="s">
        <v>1882</v>
      </c>
      <c r="D227" s="117" t="s">
        <v>2359</v>
      </c>
    </row>
    <row r="228" spans="1:4" ht="15.75" customHeight="1">
      <c r="A228" s="131" t="str">
        <f>HYPERLINK("https://doi.org/10.1007/s00438-012-0674-z","Fechter et al 2012")</f>
        <v>Fechter et al 2012</v>
      </c>
      <c r="B228" s="132">
        <v>2012</v>
      </c>
      <c r="C228" s="117" t="s">
        <v>1707</v>
      </c>
      <c r="D228" s="117" t="s">
        <v>2097</v>
      </c>
    </row>
    <row r="229" spans="1:4" ht="15.75" customHeight="1">
      <c r="A229" s="131" t="str">
        <f>HYPERLINK("https://doi.org/10.1534/g3.111.001420","Fujita et al 2012")</f>
        <v>Fujita et al 2012</v>
      </c>
      <c r="B229" s="132">
        <v>2012</v>
      </c>
      <c r="C229" s="117" t="s">
        <v>1882</v>
      </c>
      <c r="D229" s="117" t="s">
        <v>2094</v>
      </c>
    </row>
    <row r="230" spans="1:4" ht="15.75" customHeight="1">
      <c r="A230" s="131" t="str">
        <f>HYPERLINK("https://doi.org/10.1159/000339383","Grabowska-Joachimiak, et al 2012")</f>
        <v>Grabowska-Joachimiak, et al 2012</v>
      </c>
      <c r="B230" s="132">
        <v>2012</v>
      </c>
      <c r="C230" s="117" t="s">
        <v>1882</v>
      </c>
      <c r="D230" s="117" t="s">
        <v>2360</v>
      </c>
    </row>
    <row r="231" spans="1:4" ht="15.75" customHeight="1">
      <c r="A231" s="131" t="str">
        <f>HYPERLINK("https://doi.org/10.1080/00087114.2004.10589379","Guha et al 2012")</f>
        <v>Guha et al 2012</v>
      </c>
      <c r="B231" s="132">
        <v>2012</v>
      </c>
      <c r="C231" s="117" t="s">
        <v>1715</v>
      </c>
      <c r="D231" s="117" t="s">
        <v>2361</v>
      </c>
    </row>
    <row r="232" spans="1:4" ht="15.75" customHeight="1">
      <c r="A232" s="128" t="str">
        <f>HYPERLINK("https://doi.org/10.1534/g3.112.003749","Kazama et al 2012")</f>
        <v>Kazama et al 2012</v>
      </c>
      <c r="B232" s="132">
        <v>2012</v>
      </c>
      <c r="C232" s="117" t="s">
        <v>1707</v>
      </c>
      <c r="D232" s="117" t="s">
        <v>2095</v>
      </c>
    </row>
    <row r="233" spans="1:4" ht="18.75" customHeight="1">
      <c r="A233" s="133" t="str">
        <f>HYPERLINK("https://www.ajol.info/index.php/ajb/article/view/127617","Lianjun et al 2012")</f>
        <v>Lianjun et al 2012</v>
      </c>
      <c r="B233" s="132">
        <v>2012</v>
      </c>
      <c r="C233" s="117" t="s">
        <v>1707</v>
      </c>
      <c r="D233" s="117" t="s">
        <v>2085</v>
      </c>
    </row>
    <row r="234" spans="1:4" ht="16.5" customHeight="1">
      <c r="A234" s="133" t="str">
        <f>HYPERLINK("https://www.researchgate.net/publication/260430737_Development_of_an_ISSR_based_STS_marker_for_sex_identification_in_pointed_gourd_Trichosanthes_dioica_Roxb","Nanda et al 2012")</f>
        <v>Nanda et al 2012</v>
      </c>
      <c r="B234" s="132">
        <v>2012</v>
      </c>
      <c r="C234" s="117" t="s">
        <v>1707</v>
      </c>
      <c r="D234" s="117" t="s">
        <v>2086</v>
      </c>
    </row>
    <row r="235" spans="1:4" ht="16.5" customHeight="1">
      <c r="A235" s="131" t="str">
        <f>HYPERLINK("https://doi.org/10.1007/s10535-012-0083-5","Talianová et al 2012")</f>
        <v>Talianová et al 2012</v>
      </c>
      <c r="B235" s="132">
        <v>2012</v>
      </c>
      <c r="C235" s="117" t="s">
        <v>1707</v>
      </c>
      <c r="D235" s="117" t="s">
        <v>2362</v>
      </c>
    </row>
    <row r="236" spans="1:4" ht="15.75" customHeight="1">
      <c r="A236" s="131" t="str">
        <f>HYPERLINK("https://link.springer.com/article/10.1007%2Fs11295-012-0495-6","Tuskan et al 2012")</f>
        <v>Tuskan et al 2012</v>
      </c>
      <c r="B236" s="132">
        <v>2012</v>
      </c>
      <c r="C236" s="117" t="s">
        <v>1704</v>
      </c>
      <c r="D236" s="117" t="s">
        <v>2363</v>
      </c>
    </row>
    <row r="237" spans="1:4" ht="15.75" customHeight="1">
      <c r="A237" s="131" t="str">
        <f>HYPERLINK("https://link.springer.com/article/10.1007%2Fs10577-012-9312-1","Wai et al 2012")</f>
        <v>Wai et al 2012</v>
      </c>
      <c r="B237" s="132">
        <v>2012</v>
      </c>
      <c r="C237" s="117" t="s">
        <v>1882</v>
      </c>
      <c r="D237" s="117" t="s">
        <v>2364</v>
      </c>
    </row>
    <row r="238" spans="1:4" ht="15.75" customHeight="1">
      <c r="A238" s="131" t="str">
        <f>HYPERLINK("https://doi.org/10.1073/pnas.1207833109","Wang et al 2012")</f>
        <v>Wang et al 2012</v>
      </c>
      <c r="B238" s="132">
        <v>2012</v>
      </c>
      <c r="C238" s="117" t="s">
        <v>1707</v>
      </c>
      <c r="D238" s="117" t="s">
        <v>2082</v>
      </c>
    </row>
    <row r="239" spans="1:4" ht="15.75" customHeight="1">
      <c r="A239" s="131" t="str">
        <f>HYPERLINK("https://academic.oup.com/mbe/article/29/12/3909/1010407","Weingartner and Moore 2012")</f>
        <v>Weingartner and Moore 2012</v>
      </c>
      <c r="B239" s="132">
        <v>2012</v>
      </c>
      <c r="C239" s="117" t="s">
        <v>1707</v>
      </c>
      <c r="D239" s="117" t="s">
        <v>2365</v>
      </c>
    </row>
    <row r="240" spans="1:4" ht="16.5" customHeight="1">
      <c r="A240" s="155" t="str">
        <f>HYPERLINK("https://doi.org/10.1038/hdy.2012.96","Govindarajulu et al 2013")</f>
        <v>Govindarajulu et al 2013</v>
      </c>
      <c r="B240" s="136">
        <v>2013</v>
      </c>
      <c r="C240" s="137" t="s">
        <v>1707</v>
      </c>
      <c r="D240" s="87" t="s">
        <v>2100</v>
      </c>
    </row>
    <row r="241" spans="1:26" ht="15.75" customHeight="1">
      <c r="A241" s="131" t="str">
        <f>HYPERLINK("https://doi.org/10.1534/genetics.113.150755","Bergero et al 2013")</f>
        <v>Bergero et al 2013</v>
      </c>
      <c r="B241" s="132">
        <v>2013</v>
      </c>
      <c r="C241" s="117" t="s">
        <v>1707</v>
      </c>
      <c r="D241" s="117" t="s">
        <v>2113</v>
      </c>
    </row>
    <row r="242" spans="1:26" ht="15.75" customHeight="1">
      <c r="A242" s="133" t="str">
        <f>HYPERLINK("https://nph.onlinelibrary.wiley.com/doi/full/10.1111/nph.12069","Cherif et al 2013")</f>
        <v>Cherif et al 2013</v>
      </c>
      <c r="B242" s="132">
        <v>2013</v>
      </c>
      <c r="C242" s="117" t="s">
        <v>1707</v>
      </c>
      <c r="D242" s="117" t="s">
        <v>2107</v>
      </c>
    </row>
    <row r="243" spans="1:26" ht="15.75" customHeight="1">
      <c r="A243" s="133" t="str">
        <f>HYPERLINK("https://bsapubs.onlinelibrary.wiley.com/doi/pdf/10.3732/ajb.1200068","Flores-Rentería et al 2013")</f>
        <v>Flores-Rentería et al 2013</v>
      </c>
      <c r="B243" s="132">
        <v>2013</v>
      </c>
      <c r="C243" s="117" t="s">
        <v>1704</v>
      </c>
      <c r="D243" s="117" t="s">
        <v>2366</v>
      </c>
    </row>
    <row r="244" spans="1:26" ht="15.75" customHeight="1">
      <c r="A244" s="128" t="str">
        <f>HYPERLINK("https://doi.org/10.1038/hdy.2012.96","Govindarajulu et al 2013")</f>
        <v>Govindarajulu et al 2013</v>
      </c>
      <c r="B244" s="132">
        <v>2013</v>
      </c>
      <c r="C244" s="117" t="s">
        <v>1707</v>
      </c>
      <c r="D244" s="117" t="s">
        <v>2367</v>
      </c>
    </row>
    <row r="245" spans="1:26" ht="15.75" customHeight="1">
      <c r="A245" s="131" t="str">
        <f>HYPERLINK("https://doi.org/10.1371/journal.pone.0060181","Liu et al  2013")</f>
        <v>Liu et al  2013</v>
      </c>
      <c r="B245" s="132">
        <v>2013</v>
      </c>
      <c r="C245" s="117" t="s">
        <v>1702</v>
      </c>
      <c r="D245" s="117" t="s">
        <v>2368</v>
      </c>
    </row>
    <row r="246" spans="1:26" ht="15.75" customHeight="1">
      <c r="A246" s="131" t="str">
        <f>HYPERLINK("https://doi.org/10.1111/evo.12165","McDaniel et al 2013")</f>
        <v>McDaniel et al 2013</v>
      </c>
      <c r="B246" s="132">
        <v>2013</v>
      </c>
      <c r="C246" s="117" t="s">
        <v>1707</v>
      </c>
      <c r="D246" s="117" t="s">
        <v>2105</v>
      </c>
    </row>
    <row r="247" spans="1:26" ht="15.75" customHeight="1">
      <c r="A247" s="133" t="str">
        <f>HYPERLINK("https://onlinelibrary.wiley.com/doi/full/10.1111/evo.12223","Slancarova et al 2013")</f>
        <v>Slancarova et al 2013</v>
      </c>
      <c r="B247" s="132">
        <v>2013</v>
      </c>
      <c r="C247" s="117" t="s">
        <v>1707</v>
      </c>
      <c r="D247" s="117" t="s">
        <v>2114</v>
      </c>
    </row>
    <row r="248" spans="1:26" ht="15.75" customHeight="1">
      <c r="A248" s="131" t="str">
        <f>HYPERLINK("https://doi.org/10.1159/000345370","Sousa et al 2013")</f>
        <v>Sousa et al 2013</v>
      </c>
      <c r="B248" s="132">
        <v>2013</v>
      </c>
      <c r="C248" s="117" t="s">
        <v>1715</v>
      </c>
      <c r="D248" s="117" t="s">
        <v>2369</v>
      </c>
    </row>
    <row r="249" spans="1:26" ht="15.75" customHeight="1">
      <c r="A249" s="131" t="str">
        <f>HYPERLINK("https://doi.org/10.1093/gbe/evt049","Steflova et al 2013")</f>
        <v>Steflova et al 2013</v>
      </c>
      <c r="B249" s="132">
        <v>2013</v>
      </c>
      <c r="C249" s="117" t="s">
        <v>2370</v>
      </c>
      <c r="D249" s="117" t="s">
        <v>2371</v>
      </c>
    </row>
    <row r="250" spans="1:26" ht="15.75" customHeight="1">
      <c r="A250" s="131" t="str">
        <f>HYPERLINK("https://link.springer.com/article/10.1007%2Fs00438-013-0747-7","VanBuren and Ming 2013 ")</f>
        <v xml:space="preserve">VanBuren and Ming 2013 </v>
      </c>
      <c r="B250" s="132">
        <v>2013</v>
      </c>
      <c r="C250" s="117" t="s">
        <v>1707</v>
      </c>
      <c r="D250" s="117" t="s">
        <v>2372</v>
      </c>
    </row>
    <row r="251" spans="1:26" ht="15.75" customHeight="1">
      <c r="A251" s="131" t="str">
        <f>HYPERLINK("https://doi.org/10.1371/journal.pone.0064276","Xiong et al 2013")</f>
        <v>Xiong et al 2013</v>
      </c>
      <c r="B251" s="132">
        <v>2013</v>
      </c>
      <c r="C251" s="117" t="s">
        <v>1707</v>
      </c>
      <c r="D251" s="117" t="s">
        <v>2108</v>
      </c>
    </row>
    <row r="252" spans="1:26" ht="15.75" customHeight="1">
      <c r="A252" s="153" t="str">
        <f>HYPERLINK("https://doi.org/10.1534/g3.113.006288","Tennessen et al. 2013")</f>
        <v>Tennessen et al. 2013</v>
      </c>
      <c r="B252" s="146">
        <v>2013</v>
      </c>
      <c r="C252" s="147" t="s">
        <v>1702</v>
      </c>
      <c r="D252" s="156" t="s">
        <v>2101</v>
      </c>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row>
    <row r="253" spans="1:26" ht="15.75" customHeight="1">
      <c r="A253" s="133" t="str">
        <f>HYPERLINK("https://www.sciencedirect.com/science/article/pii/S0960982214009051","Ahmed et al 2014")</f>
        <v>Ahmed et al 2014</v>
      </c>
      <c r="B253" s="132">
        <v>2014</v>
      </c>
      <c r="C253" s="117" t="s">
        <v>1702</v>
      </c>
      <c r="D253" s="117" t="s">
        <v>2373</v>
      </c>
    </row>
    <row r="254" spans="1:26" ht="15.75" customHeight="1">
      <c r="A254" s="131" t="str">
        <f>HYPERLINK("https://doi.org/10.2503/jjshs1.CH-109","Akagi et al 2014")</f>
        <v>Akagi et al 2014</v>
      </c>
      <c r="B254" s="132">
        <v>2014</v>
      </c>
      <c r="C254" s="117" t="s">
        <v>1707</v>
      </c>
      <c r="D254" s="117" t="s">
        <v>2374</v>
      </c>
    </row>
    <row r="255" spans="1:26" ht="15.75" customHeight="1">
      <c r="A255" s="131" t="str">
        <f>HYPERLINK("https://doi.org/10.1186/1471-2164-15-20","Aryal et al 2014")</f>
        <v>Aryal et al 2014</v>
      </c>
      <c r="B255" s="132">
        <v>2014</v>
      </c>
      <c r="C255" s="117" t="s">
        <v>1702</v>
      </c>
      <c r="D255" s="117" t="s">
        <v>2375</v>
      </c>
    </row>
    <row r="256" spans="1:26" ht="15.75" customHeight="1">
      <c r="A256" s="131" t="str">
        <f>HYPERLINK("https://doi.org/10.1016/j.scienta.2014.06.041","Bhowmick et al 2014")</f>
        <v>Bhowmick et al 2014</v>
      </c>
      <c r="B256" s="132">
        <v>2014</v>
      </c>
      <c r="C256" s="117" t="s">
        <v>1707</v>
      </c>
      <c r="D256" s="117" t="s">
        <v>2121</v>
      </c>
    </row>
    <row r="257" spans="1:4" ht="15.75" customHeight="1">
      <c r="A257" s="131" t="str">
        <f>HYPERLINK("https://doi.org/10.1371/journal.pone.0085118","Divashuk et al 2014")</f>
        <v>Divashuk et al 2014</v>
      </c>
      <c r="B257" s="132">
        <v>2014</v>
      </c>
      <c r="C257" s="117" t="s">
        <v>1882</v>
      </c>
      <c r="D257" s="117" t="s">
        <v>2117</v>
      </c>
    </row>
    <row r="258" spans="1:4" ht="15.75" customHeight="1">
      <c r="A258" s="157" t="str">
        <f>HYPERLINK("https://doi.org/10.1271/bbb.120943","Gao et al 2014")</f>
        <v>Gao et al 2014</v>
      </c>
      <c r="B258" s="132">
        <v>2014</v>
      </c>
      <c r="C258" s="117" t="s">
        <v>1707</v>
      </c>
      <c r="D258" s="117" t="s">
        <v>2376</v>
      </c>
    </row>
    <row r="259" spans="1:4" ht="15.75" customHeight="1">
      <c r="A259" s="131" t="str">
        <f>HYPERLINK("https://doi.org/10.1186/s12870-014-0325-0","Ghadge et al 2014")</f>
        <v>Ghadge et al 2014</v>
      </c>
      <c r="B259" s="132">
        <v>2014</v>
      </c>
      <c r="C259" s="117" t="s">
        <v>1882</v>
      </c>
      <c r="D259" s="117" t="s">
        <v>2377</v>
      </c>
    </row>
    <row r="260" spans="1:4" ht="15.75" customHeight="1">
      <c r="A260" s="131" t="str">
        <f>HYPERLINK("https://doi.org/10.1111/pbr.12199","Heikrujam et al 2014")</f>
        <v>Heikrujam et al 2014</v>
      </c>
      <c r="B260" s="132">
        <v>2014</v>
      </c>
      <c r="C260" s="117" t="s">
        <v>1707</v>
      </c>
      <c r="D260" s="117" t="s">
        <v>2378</v>
      </c>
    </row>
    <row r="261" spans="1:4" ht="15.75" customHeight="1">
      <c r="A261" s="131" t="str">
        <f>HYPERLINK("https://doi.org/10.1007/s10681-014-1136-y","Heikrujam et al 2014")</f>
        <v>Heikrujam et al 2014</v>
      </c>
      <c r="B261" s="132">
        <v>2014</v>
      </c>
      <c r="C261" s="117" t="s">
        <v>1707</v>
      </c>
      <c r="D261" s="117" t="s">
        <v>2146</v>
      </c>
    </row>
    <row r="262" spans="1:4" ht="15.75" customHeight="1">
      <c r="A262" s="131" t="str">
        <f>HYPERLINK("https://link.springer.com/article/10.1007/s40011-013-0226-2","Jangra et al 2014")</f>
        <v>Jangra et al 2014</v>
      </c>
      <c r="B262" s="132">
        <v>2014</v>
      </c>
      <c r="C262" s="117" t="s">
        <v>1707</v>
      </c>
      <c r="D262" s="117" t="s">
        <v>2147</v>
      </c>
    </row>
    <row r="263" spans="1:4" ht="15.75" customHeight="1">
      <c r="A263" s="131" t="str">
        <f>HYPERLINK("https://doi.org/10.1111/plb.12048","Kersten et al 2014")</f>
        <v>Kersten et al 2014</v>
      </c>
      <c r="B263" s="132">
        <v>2014</v>
      </c>
      <c r="C263" s="117" t="s">
        <v>1707</v>
      </c>
      <c r="D263" s="117" t="s">
        <v>2379</v>
      </c>
    </row>
    <row r="264" spans="1:4" ht="15.75" customHeight="1">
      <c r="A264" s="131" t="str">
        <f>HYPERLINK("https://doi.org/10.1159/000362142","Kralova et al 2014")</f>
        <v>Kralova et al 2014</v>
      </c>
      <c r="B264" s="132">
        <v>2014</v>
      </c>
      <c r="C264" s="117" t="s">
        <v>1882</v>
      </c>
      <c r="D264" s="117" t="s">
        <v>2380</v>
      </c>
    </row>
    <row r="265" spans="1:4" ht="15.75" customHeight="1">
      <c r="A265" s="131" t="str">
        <f>HYPERLINK("https://doi.org/10.1111/nph.12669","Kubat et al 2014")</f>
        <v>Kubat et al 2014</v>
      </c>
      <c r="B265" s="132">
        <v>2014</v>
      </c>
      <c r="C265" s="117" t="s">
        <v>1882</v>
      </c>
      <c r="D265" s="117" t="s">
        <v>2143</v>
      </c>
    </row>
    <row r="266" spans="1:4" ht="15.75" customHeight="1">
      <c r="A266" s="131" t="str">
        <f>HYPERLINK("https://doi.org/10.1007/s12041-014-0326-7","Kumar et al 2014")</f>
        <v>Kumar et al 2014</v>
      </c>
      <c r="B266" s="132">
        <v>2014</v>
      </c>
      <c r="C266" s="117" t="s">
        <v>1704</v>
      </c>
      <c r="D266" s="117" t="s">
        <v>2381</v>
      </c>
    </row>
    <row r="267" spans="1:4" ht="15.75" customHeight="1">
      <c r="A267" s="131" t="str">
        <f>HYPERLINK("https://doi.org/10.1371/journal.pone.0097189","Li et al 2014")</f>
        <v>Li et al 2014</v>
      </c>
      <c r="B267" s="132">
        <v>2014</v>
      </c>
      <c r="C267" s="117" t="s">
        <v>1702</v>
      </c>
      <c r="D267" s="117" t="s">
        <v>2116</v>
      </c>
    </row>
    <row r="268" spans="1:4" ht="15.75" customHeight="1">
      <c r="A268" s="131" t="str">
        <f>HYPERLINK("https://doi.org/10.1186/1471-2164-15-285","Mathew et al 2014")</f>
        <v>Mathew et al 2014</v>
      </c>
      <c r="B268" s="132">
        <v>2014</v>
      </c>
      <c r="C268" s="117" t="s">
        <v>1702</v>
      </c>
      <c r="D268" s="117" t="s">
        <v>2382</v>
      </c>
    </row>
    <row r="269" spans="1:4" ht="15.75" customHeight="1">
      <c r="A269" s="128" t="str">
        <f>HYPERLINK("https://doi.org/10.1186/1471-2164-15-335","Na et al 2014")</f>
        <v>Na et al 2014</v>
      </c>
      <c r="B269" s="132">
        <v>2014</v>
      </c>
      <c r="C269" s="117" t="s">
        <v>1707</v>
      </c>
      <c r="D269" s="117" t="s">
        <v>2383</v>
      </c>
    </row>
    <row r="270" spans="1:4" ht="15.75" customHeight="1">
      <c r="A270" s="131" t="str">
        <f>HYPERLINK("https://doi.org/10.1086/677229","Penny 2014")</f>
        <v>Penny 2014</v>
      </c>
      <c r="B270" s="132">
        <v>2014</v>
      </c>
      <c r="C270" s="117" t="s">
        <v>1704</v>
      </c>
      <c r="D270" s="117" t="s">
        <v>2133</v>
      </c>
    </row>
    <row r="271" spans="1:4" ht="15.75" customHeight="1">
      <c r="A271" s="131" t="str">
        <f>HYPERLINK("https://doi.org/10.1159/000355212","Steflova et al 2014")</f>
        <v>Steflova et al 2014</v>
      </c>
      <c r="B271" s="132">
        <v>2014</v>
      </c>
      <c r="C271" s="117" t="s">
        <v>2063</v>
      </c>
      <c r="D271" s="117" t="s">
        <v>2384</v>
      </c>
    </row>
    <row r="272" spans="1:4" ht="15.75" customHeight="1">
      <c r="A272" s="133" t="str">
        <f>HYPERLINK("https://www.geneticsmr.com/sites/default/files/articles/year2014/vol13-1/pdf/gmr2977.pdf","Sun et al 2014")</f>
        <v>Sun et al 2014</v>
      </c>
      <c r="B272" s="132">
        <v>2014</v>
      </c>
      <c r="C272" s="117" t="s">
        <v>1707</v>
      </c>
      <c r="D272" s="117" t="s">
        <v>2136</v>
      </c>
    </row>
    <row r="273" spans="1:4" ht="15.75" customHeight="1">
      <c r="A273" s="128" t="str">
        <f>HYPERLINK("https://doi.org/10.1371/journal.pone.0124890","Chawla et al 2015")</f>
        <v>Chawla et al 2015</v>
      </c>
      <c r="B273" s="132">
        <v>2015</v>
      </c>
      <c r="C273" s="117" t="s">
        <v>1707</v>
      </c>
      <c r="D273" s="117" t="s">
        <v>2385</v>
      </c>
    </row>
    <row r="274" spans="1:4" ht="15.75" customHeight="1">
      <c r="A274" s="133" t="str">
        <f>HYPERLINK("https://www.ncbi.nlm.nih.gov/pmc/articles/PMC4528323/pdf/1663.pdf","Fujito et al 2015")</f>
        <v>Fujito et al 2015</v>
      </c>
      <c r="B274" s="132">
        <v>2015</v>
      </c>
      <c r="C274" s="117" t="s">
        <v>1882</v>
      </c>
      <c r="D274" s="117" t="s">
        <v>2178</v>
      </c>
    </row>
    <row r="275" spans="1:4" ht="15.75" customHeight="1">
      <c r="A275" s="131" t="str">
        <f>HYPERLINK("https://onlinelibrary.wiley.com/doi/full/10.1111/mec.13126","Geraldes et al 2015")</f>
        <v>Geraldes et al 2015</v>
      </c>
      <c r="B275" s="132">
        <v>2015</v>
      </c>
      <c r="C275" s="117" t="s">
        <v>1702</v>
      </c>
      <c r="D275" s="117" t="s">
        <v>2386</v>
      </c>
    </row>
    <row r="276" spans="1:4" ht="15.75" customHeight="1">
      <c r="A276" s="131" t="str">
        <f>HYPERLINK("https://doi.org/10.1007/s10577-014-9446-4","Grabowska-Joachimiak et al 2015")</f>
        <v>Grabowska-Joachimiak et al 2015</v>
      </c>
      <c r="B276" s="132">
        <v>2015</v>
      </c>
      <c r="C276" s="117" t="s">
        <v>1715</v>
      </c>
      <c r="D276" s="117" t="s">
        <v>2175</v>
      </c>
    </row>
    <row r="277" spans="1:4" ht="15.75" customHeight="1">
      <c r="A277" s="131" t="str">
        <f>HYPERLINK("https://doi.org/10.1111/nph.13389","Harkess et al 2015")</f>
        <v>Harkess et al 2015</v>
      </c>
      <c r="B277" s="132">
        <v>2015</v>
      </c>
      <c r="C277" s="117" t="s">
        <v>1702</v>
      </c>
      <c r="D277" s="117" t="s">
        <v>2149</v>
      </c>
    </row>
    <row r="278" spans="1:4" ht="15.75" customHeight="1">
      <c r="A278" s="131" t="str">
        <f>HYPERLINK("https://doi.org/10.1038/srep09076","Hou et al 2015")</f>
        <v>Hou et al 2015</v>
      </c>
      <c r="B278" s="132">
        <v>2015</v>
      </c>
      <c r="C278" s="117" t="s">
        <v>1702</v>
      </c>
      <c r="D278" s="117" t="s">
        <v>2387</v>
      </c>
    </row>
    <row r="279" spans="1:4" ht="15.75" customHeight="1">
      <c r="A279" s="133" t="str">
        <f>HYPERLINK("https://www.ncbi.nlm.nih.gov/pmc/articles/PMC4317651/pdf/413.pdf","Iovene et al 2015")</f>
        <v>Iovene et al 2015</v>
      </c>
      <c r="B279" s="132">
        <v>2015</v>
      </c>
      <c r="C279" s="117" t="s">
        <v>1882</v>
      </c>
      <c r="D279" s="117" t="s">
        <v>2162</v>
      </c>
    </row>
    <row r="280" spans="1:4" ht="15.75" customHeight="1">
      <c r="A280" s="133" t="str">
        <f>HYPERLINK("https://www.tandfonline.com/doi/abs/10.1080/14620316.2015.11513191?journalCode=thsb20","Joseph et al 2015")</f>
        <v>Joseph et al 2015</v>
      </c>
      <c r="B280" s="132">
        <v>2015</v>
      </c>
      <c r="C280" s="117" t="s">
        <v>1707</v>
      </c>
      <c r="D280" s="117" t="s">
        <v>2154</v>
      </c>
    </row>
    <row r="281" spans="1:4" ht="15.75" customHeight="1">
      <c r="A281" s="131" t="str">
        <f>HYPERLINK("https://link.springer.com/article/10.1007%2Fs00438-015-1000-3","Lappin et al 2015")</f>
        <v>Lappin et al 2015</v>
      </c>
      <c r="B281" s="132">
        <v>2015</v>
      </c>
      <c r="C281" s="117" t="s">
        <v>1702</v>
      </c>
      <c r="D281" s="117" t="s">
        <v>2388</v>
      </c>
    </row>
    <row r="282" spans="1:4" ht="15.75" customHeight="1">
      <c r="A282" s="133" t="str">
        <f>HYPERLINK("https://www.nature.com/articles/hdy2014125.pdf","Pucholt et al 2015")</f>
        <v>Pucholt et al 2015</v>
      </c>
      <c r="B282" s="132">
        <v>2015</v>
      </c>
      <c r="C282" s="117" t="s">
        <v>1707</v>
      </c>
      <c r="D282" s="117" t="s">
        <v>2176</v>
      </c>
    </row>
    <row r="283" spans="1:4" ht="15.75" customHeight="1">
      <c r="A283" s="133" t="str">
        <f>HYPERLINK("https://www.ncbi.nlm.nih.gov/pmc/articles/PMC4815579/pdf/hdy201495a.pdf","Russel and Pannell 2015")</f>
        <v>Russel and Pannell 2015</v>
      </c>
      <c r="B283" s="132">
        <v>2015</v>
      </c>
      <c r="C283" s="117" t="s">
        <v>1707</v>
      </c>
      <c r="D283" s="117" t="s">
        <v>2160</v>
      </c>
    </row>
    <row r="284" spans="1:4" ht="15.75" customHeight="1">
      <c r="A284" s="131" t="str">
        <f>HYPERLINK("https://doi.org/10.1371/journal.pone.0143861","Sola-Campoy et al 2015")</f>
        <v>Sola-Campoy et al 2015</v>
      </c>
      <c r="B284" s="132">
        <v>2015</v>
      </c>
      <c r="C284" s="117" t="s">
        <v>2063</v>
      </c>
      <c r="D284" s="117" t="s">
        <v>2389</v>
      </c>
    </row>
    <row r="285" spans="1:4" ht="15.75" customHeight="1">
      <c r="A285" s="131" t="str">
        <f>HYPERLINK("https://doi.org/10.1111/plb.12189","Wang et al 2015")</f>
        <v>Wang et al 2015</v>
      </c>
      <c r="B285" s="132">
        <v>2015</v>
      </c>
      <c r="C285" s="117" t="s">
        <v>1704</v>
      </c>
      <c r="D285" s="117" t="s">
        <v>2390</v>
      </c>
    </row>
    <row r="286" spans="1:4" ht="15.75" customHeight="1">
      <c r="A286" s="131" t="str">
        <f>HYPERLINK("https://link.springer.com/article/10.1007%2Fs00239-015-9680-1","Wu and Moore 2015")</f>
        <v>Wu and Moore 2015</v>
      </c>
      <c r="B286" s="158">
        <v>2015</v>
      </c>
      <c r="C286" s="87" t="s">
        <v>1702</v>
      </c>
      <c r="D286" s="87" t="s">
        <v>2391</v>
      </c>
    </row>
    <row r="287" spans="1:4" ht="15.75" customHeight="1">
      <c r="A287" s="131" t="str">
        <f>HYPERLINK("https://doi.org/10.1371/journal.pgen.1005536","Zemp et al 2015")</f>
        <v>Zemp et al 2015</v>
      </c>
      <c r="B287" s="132">
        <v>2015</v>
      </c>
      <c r="C287" s="117" t="s">
        <v>1702</v>
      </c>
      <c r="D287" s="117" t="s">
        <v>2392</v>
      </c>
    </row>
    <row r="288" spans="1:4" ht="15.75" customHeight="1">
      <c r="A288" s="131" t="str">
        <f>HYPERLINK("https://doi.org/10.1093/dnares/dsv019","Zhang et al 2015")</f>
        <v>Zhang et al 2015</v>
      </c>
      <c r="B288" s="132">
        <v>2015</v>
      </c>
      <c r="C288" s="117" t="s">
        <v>1702</v>
      </c>
      <c r="D288" s="117" t="s">
        <v>2148</v>
      </c>
    </row>
    <row r="289" spans="1:26" ht="15.75" customHeight="1">
      <c r="A289" s="131" t="str">
        <f>HYPERLINK("https://doi.org/10.1371/journal.pone.0147671","Chen et al 2016")</f>
        <v>Chen et al 2016</v>
      </c>
      <c r="B289" s="132">
        <v>2016</v>
      </c>
      <c r="C289" s="117" t="s">
        <v>1707</v>
      </c>
      <c r="D289" s="117" t="s">
        <v>2393</v>
      </c>
    </row>
    <row r="290" spans="1:26" ht="15.75" customHeight="1">
      <c r="A290" s="131" t="str">
        <f>HYPERLINK("https://www.ncbi.nlm.nih.gov/pubmed/27118680","Cherif et al 2016")</f>
        <v>Cherif et al 2016</v>
      </c>
      <c r="B290" s="132">
        <v>2016</v>
      </c>
      <c r="C290" s="117" t="s">
        <v>1707</v>
      </c>
      <c r="D290" s="117" t="s">
        <v>2394</v>
      </c>
    </row>
    <row r="291" spans="1:26" ht="15.75" customHeight="1">
      <c r="A291" s="128" t="str">
        <f>HYPERLINK("https://doi.org/10.1007/s10681-016-1655-9","Hill et al 2016")</f>
        <v>Hill et al 2016</v>
      </c>
      <c r="B291" s="132">
        <v>2016</v>
      </c>
      <c r="C291" s="117" t="s">
        <v>1702</v>
      </c>
      <c r="D291" s="117" t="s">
        <v>2182</v>
      </c>
    </row>
    <row r="292" spans="1:26" ht="15.75" customHeight="1">
      <c r="A292" s="131" t="str">
        <f>HYPERLINK("https://doi.org/10.1038/srep18917","Kazama et al 2016")</f>
        <v>Kazama et al 2016</v>
      </c>
      <c r="B292" s="132">
        <v>2016</v>
      </c>
      <c r="C292" s="117" t="s">
        <v>1882</v>
      </c>
      <c r="D292" s="117" t="s">
        <v>2395</v>
      </c>
    </row>
    <row r="293" spans="1:26" ht="15.75" customHeight="1">
      <c r="A293" s="131" t="str">
        <f>HYPERLINK("https://link.springer.com/article/10.1007/s00425-016-2485-7","Li et al 2016")</f>
        <v>Li et al 2016</v>
      </c>
      <c r="B293" s="132">
        <v>2016</v>
      </c>
      <c r="C293" s="117" t="s">
        <v>1704</v>
      </c>
      <c r="D293" s="117" t="s">
        <v>2187</v>
      </c>
    </row>
    <row r="294" spans="1:26" ht="15.75" customHeight="1">
      <c r="A294" s="131" t="str">
        <f>HYPERLINK("https://www.sciencedirect.com/science/article/pii/S0304423816300553","Mohanty et al 2016")</f>
        <v>Mohanty et al 2016</v>
      </c>
      <c r="B294" s="132">
        <v>2016</v>
      </c>
      <c r="C294" s="117" t="s">
        <v>1707</v>
      </c>
      <c r="D294" s="117" t="s">
        <v>2396</v>
      </c>
    </row>
    <row r="295" spans="1:26" ht="15.75" customHeight="1">
      <c r="A295" s="131" t="str">
        <f>HYPERLINK("https://doi.org/10.1111/tpj.13254","Sousa et al 2016")</f>
        <v>Sousa et al 2016</v>
      </c>
      <c r="B295" s="132">
        <v>2016</v>
      </c>
      <c r="C295" s="117" t="s">
        <v>2063</v>
      </c>
      <c r="D295" s="117" t="s">
        <v>2180</v>
      </c>
    </row>
    <row r="296" spans="1:26" ht="15.75" customHeight="1">
      <c r="A296" s="128" t="str">
        <f>HYPERLINK("https://doi.org/10.1111/nph.13983","Tennessen et al 2016")</f>
        <v>Tennessen et al 2016</v>
      </c>
      <c r="B296" s="132">
        <v>2016</v>
      </c>
      <c r="C296" s="117" t="s">
        <v>1707</v>
      </c>
      <c r="D296" s="117" t="s">
        <v>2181</v>
      </c>
    </row>
    <row r="297" spans="1:26" ht="15.75" customHeight="1">
      <c r="A297" s="159" t="str">
        <f>HYPERLINK("https://doi.org/10.1111/nph.13983","Tennessen et al. 2016")</f>
        <v>Tennessen et al. 2016</v>
      </c>
      <c r="B297" s="146">
        <v>2016</v>
      </c>
      <c r="C297" s="147" t="s">
        <v>1702</v>
      </c>
      <c r="D297" s="152" t="s">
        <v>2181</v>
      </c>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row>
    <row r="298" spans="1:26" ht="15.75" customHeight="1">
      <c r="A298" s="131" t="str">
        <f>HYPERLINK("https://link.springer.com/article/10.1007/s10722-017-0564-7","Ali et al 2017")</f>
        <v>Ali et al 2017</v>
      </c>
      <c r="B298" s="132">
        <v>2017</v>
      </c>
      <c r="C298" s="117" t="s">
        <v>1707</v>
      </c>
      <c r="D298" s="117" t="s">
        <v>2397</v>
      </c>
    </row>
    <row r="299" spans="1:26" ht="15.75" customHeight="1">
      <c r="A299" s="131" t="str">
        <f>HYPERLINK("https://doi.org/10.1038/srep45388","Bräutigam et al 2017")</f>
        <v>Bräutigam et al 2017</v>
      </c>
      <c r="B299" s="132">
        <v>2017</v>
      </c>
      <c r="C299" s="117" t="s">
        <v>1702</v>
      </c>
      <c r="D299" s="117" t="s">
        <v>2398</v>
      </c>
    </row>
    <row r="300" spans="1:26" ht="15.75" customHeight="1">
      <c r="A300" s="131" t="str">
        <f>HYPERLINK("https://doi.org/10.1093/gbe/evx174","Carlson et al 2017")</f>
        <v>Carlson et al 2017</v>
      </c>
      <c r="B300" s="132">
        <v>2017</v>
      </c>
      <c r="C300" s="117" t="s">
        <v>1702</v>
      </c>
      <c r="D300" s="117" t="s">
        <v>2399</v>
      </c>
    </row>
    <row r="301" spans="1:26" ht="15.75" customHeight="1">
      <c r="A301" s="131" t="str">
        <f>HYPERLINK("https://www.frontiersin.org/articles/10.3389/fpls.2017.00098/full","Coito et al 2017")</f>
        <v>Coito et al 2017</v>
      </c>
      <c r="B301" s="132">
        <v>2017</v>
      </c>
      <c r="C301" s="117" t="s">
        <v>1707</v>
      </c>
      <c r="D301" s="117" t="s">
        <v>2400</v>
      </c>
    </row>
    <row r="302" spans="1:26" ht="15.75" customHeight="1">
      <c r="A302" s="131" t="str">
        <f>HYPERLINK("https://doi.org/10.1186/s12870-017-1187-z","Devani et al 2017")</f>
        <v>Devani et al 2017</v>
      </c>
      <c r="B302" s="132">
        <v>2017</v>
      </c>
      <c r="C302" s="117" t="s">
        <v>1702</v>
      </c>
      <c r="D302" s="117" t="s">
        <v>2401</v>
      </c>
    </row>
    <row r="303" spans="1:26" ht="15.75" customHeight="1">
      <c r="A303" s="131" t="str">
        <f>HYPERLINK("https://www.nature.com/articles/s41467-017-01064-8","Harkess et al 2017")</f>
        <v>Harkess et al 2017</v>
      </c>
      <c r="B303" s="132">
        <v>2017</v>
      </c>
      <c r="C303" s="117" t="s">
        <v>1702</v>
      </c>
      <c r="D303" s="117" t="s">
        <v>2402</v>
      </c>
    </row>
    <row r="304" spans="1:26" ht="15.75" customHeight="1">
      <c r="A304" s="128" t="str">
        <f>HYPERLINK("https://doi.org/10.1111/tpj.13322","Manzano et al 2017")</f>
        <v>Manzano et al 2017</v>
      </c>
      <c r="B304" s="132">
        <v>2017</v>
      </c>
      <c r="C304" s="117" t="s">
        <v>1707</v>
      </c>
      <c r="D304" s="117" t="s">
        <v>2214</v>
      </c>
    </row>
    <row r="305" spans="1:26" ht="15.75" customHeight="1">
      <c r="A305" s="131" t="str">
        <f>HYPERLINK("https://doi.org/10.1016/j.gene.2017.05.058","Mohanty et al 2017")</f>
        <v>Mohanty et al 2017</v>
      </c>
      <c r="B305" s="132">
        <v>2017</v>
      </c>
      <c r="C305" s="117" t="s">
        <v>1702</v>
      </c>
      <c r="D305" s="117" t="s">
        <v>2196</v>
      </c>
    </row>
    <row r="306" spans="1:26" ht="15.75" customHeight="1">
      <c r="A306" s="131" t="str">
        <f>HYPERLINK("https://doi.org/10.1016/j.sjbs.2017.08.002","Mohei et al 2017")</f>
        <v>Mohei et al 2017</v>
      </c>
      <c r="B306" s="132">
        <v>2017</v>
      </c>
      <c r="C306" s="117" t="s">
        <v>1702</v>
      </c>
      <c r="D306" s="117" t="s">
        <v>2403</v>
      </c>
    </row>
    <row r="307" spans="1:26" ht="15.75" customHeight="1">
      <c r="A307" s="133" t="str">
        <f>HYPERLINK("https://www.ncbi.nlm.nih.gov/pmc/articles/PMC5264649/","Mori et al 2017")</f>
        <v>Mori et al 2017</v>
      </c>
      <c r="B307" s="132">
        <v>2017</v>
      </c>
      <c r="C307" s="117" t="s">
        <v>1702</v>
      </c>
      <c r="D307" s="117" t="s">
        <v>2404</v>
      </c>
    </row>
    <row r="308" spans="1:26" ht="15.75" customHeight="1">
      <c r="A308" s="131" t="str">
        <f>HYPERLINK("https://doi.org/10.1093/molbev/msx144","Pucholt et al 2017")</f>
        <v>Pucholt et al 2017</v>
      </c>
      <c r="B308" s="132">
        <v>2017</v>
      </c>
      <c r="C308" s="117" t="s">
        <v>1702</v>
      </c>
      <c r="D308" s="117" t="s">
        <v>2405</v>
      </c>
    </row>
    <row r="309" spans="1:26" ht="15.75" customHeight="1">
      <c r="A309" s="131" t="str">
        <f>HYPERLINK("https://doi.org/10.1093/gbe/evw303","Puterova et al 2017")</f>
        <v>Puterova et al 2017</v>
      </c>
      <c r="B309" s="132">
        <v>2017</v>
      </c>
      <c r="C309" s="117" t="s">
        <v>2063</v>
      </c>
      <c r="D309" s="117" t="s">
        <v>2406</v>
      </c>
    </row>
    <row r="310" spans="1:26" ht="15.75" customHeight="1">
      <c r="A310" s="131" t="str">
        <f>HYPERLINK("https://www.ncbi.nlm.nih.gov/pubmed/28555429","Sarkar et al 2017")</f>
        <v>Sarkar et al 2017</v>
      </c>
      <c r="B310" s="132">
        <v>2017</v>
      </c>
      <c r="C310" s="117" t="s">
        <v>1704</v>
      </c>
      <c r="D310" s="117" t="s">
        <v>2407</v>
      </c>
    </row>
    <row r="311" spans="1:26" ht="15.75" customHeight="1">
      <c r="A311" s="131" t="str">
        <f>HYPERLINK("https://doi.org/10.1007/s10577-017-9555-y","Sousa et al 2017")</f>
        <v>Sousa et al 2017</v>
      </c>
      <c r="B311" s="132">
        <v>2017</v>
      </c>
      <c r="C311" s="117" t="s">
        <v>1715</v>
      </c>
      <c r="D311" s="117" t="s">
        <v>2197</v>
      </c>
    </row>
    <row r="312" spans="1:26" ht="15.75" customHeight="1">
      <c r="A312" s="131" t="str">
        <f>HYPERLINK("https://doi.org/10.1186/s12915-017-0419-x","Tamiru et al 2017")</f>
        <v>Tamiru et al 2017</v>
      </c>
      <c r="B312" s="132">
        <v>2017</v>
      </c>
      <c r="C312" s="117" t="s">
        <v>2063</v>
      </c>
      <c r="D312" s="117" t="s">
        <v>2408</v>
      </c>
    </row>
    <row r="313" spans="1:26" ht="15.75" customHeight="1">
      <c r="A313" s="131" t="str">
        <f>HYPERLINK("https://doi.org/10.1371/journal.pone.0180542","Tang et al 2017")</f>
        <v>Tang et al 2017</v>
      </c>
      <c r="B313" s="132">
        <v>2017</v>
      </c>
      <c r="C313" s="117" t="s">
        <v>1702</v>
      </c>
      <c r="D313" s="117" t="s">
        <v>2409</v>
      </c>
    </row>
    <row r="314" spans="1:26" ht="15.75" customHeight="1">
      <c r="A314" s="133" t="str">
        <f>HYPERLINK("https://www.tandfonline.com/doi/abs/10.1080/00087114.2017.1339174?journalCode=tcar20","Tomasino et al 2017")</f>
        <v>Tomasino et al 2017</v>
      </c>
      <c r="B314" s="132">
        <v>2017</v>
      </c>
      <c r="C314" s="117" t="s">
        <v>1715</v>
      </c>
      <c r="D314" s="117" t="s">
        <v>2205</v>
      </c>
    </row>
    <row r="315" spans="1:26" ht="15.75" customHeight="1">
      <c r="A315" s="131" t="str">
        <f>HYPERLINK("https://www.nature.com/articles/srep41497","Tsugama et al 2017")</f>
        <v>Tsugama et al 2017</v>
      </c>
      <c r="B315" s="132">
        <v>2017</v>
      </c>
      <c r="C315" s="117" t="s">
        <v>1702</v>
      </c>
      <c r="D315" s="117" t="s">
        <v>2410</v>
      </c>
    </row>
    <row r="316" spans="1:26" ht="15.75" customHeight="1">
      <c r="A316" s="131" t="str">
        <f>HYPERLINK("https://academic.oup.com/jhered/article/108/7/731/4259314","Wei et al 2017")</f>
        <v>Wei et al 2017</v>
      </c>
      <c r="B316" s="132">
        <v>2017</v>
      </c>
      <c r="C316" s="117" t="s">
        <v>1702</v>
      </c>
      <c r="D316" s="117" t="s">
        <v>2199</v>
      </c>
    </row>
    <row r="317" spans="1:26" ht="15.75" customHeight="1">
      <c r="A317" s="157" t="str">
        <f>HYPERLINK("https://doi.org/10.1111/nph.14919 ","West and Golenberg 2017")</f>
        <v>West and Golenberg 2017</v>
      </c>
      <c r="B317" s="132">
        <v>2017</v>
      </c>
      <c r="C317" s="117" t="s">
        <v>1704</v>
      </c>
      <c r="D317" s="117" t="s">
        <v>2218</v>
      </c>
    </row>
    <row r="318" spans="1:26" ht="15.75" customHeight="1">
      <c r="A318" s="145" t="str">
        <f>HYPERLINK("https://www.sciencedirect.com/science/article/pii/S0092867417311248","Bowman et al 2017")</f>
        <v>Bowman et al 2017</v>
      </c>
      <c r="B318" s="146">
        <v>2017</v>
      </c>
      <c r="C318" s="147" t="s">
        <v>1704</v>
      </c>
      <c r="D318" s="148" t="s">
        <v>2203</v>
      </c>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row>
    <row r="319" spans="1:26" ht="15.75" customHeight="1">
      <c r="A319" s="159" t="str">
        <f>HYPERLINK("https://doi.org/10.1093/jhered/esx077","Wei et al 2017a")</f>
        <v>Wei et al 2017a</v>
      </c>
      <c r="B319" s="146">
        <v>2017</v>
      </c>
      <c r="C319" s="147" t="s">
        <v>1702</v>
      </c>
      <c r="D319" s="152" t="s">
        <v>2199</v>
      </c>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row>
    <row r="320" spans="1:26" ht="15.75" customHeight="1">
      <c r="A320" s="159" t="str">
        <f>HYPERLINK("https://doi.org/10.1111/nph.14711","Wei et al 2017b")</f>
        <v>Wei et al 2017b</v>
      </c>
      <c r="B320" s="146">
        <v>2017</v>
      </c>
      <c r="C320" s="147" t="s">
        <v>1702</v>
      </c>
      <c r="D320" s="152" t="s">
        <v>2200</v>
      </c>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row>
    <row r="321" spans="1:12" ht="15.75" customHeight="1">
      <c r="A321" s="131" t="str">
        <f>HYPERLINK("https://doi.org/10.1105/tpc.17.00787","Akagi et al 2018")</f>
        <v>Akagi et al 2018</v>
      </c>
      <c r="B321" s="132">
        <v>2018</v>
      </c>
      <c r="C321" s="117" t="s">
        <v>1702</v>
      </c>
      <c r="D321" s="117" t="s">
        <v>2220</v>
      </c>
    </row>
    <row r="322" spans="1:12" ht="15.75" customHeight="1">
      <c r="A322" s="150" t="str">
        <f>HYPERLINK("https://www.cell.com/trends/plant-science/fulltext/S1360-1385(18)30134-1","Coelho et al 2018")</f>
        <v>Coelho et al 2018</v>
      </c>
      <c r="B322" s="132">
        <v>2018</v>
      </c>
      <c r="C322" s="117" t="s">
        <v>1704</v>
      </c>
      <c r="D322" s="117" t="s">
        <v>2411</v>
      </c>
    </row>
    <row r="323" spans="1:12" ht="15.75" customHeight="1">
      <c r="A323" s="131" t="str">
        <f>HYPERLINK("https://doi.org/10.1111/mec.14466","Darolti et al 2018")</f>
        <v>Darolti et al 2018</v>
      </c>
      <c r="B323" s="132">
        <v>2018</v>
      </c>
      <c r="C323" s="117" t="s">
        <v>1702</v>
      </c>
      <c r="D323" s="117" t="s">
        <v>2412</v>
      </c>
    </row>
    <row r="324" spans="1:12" ht="15.75" customHeight="1">
      <c r="A324" s="133" t="str">
        <f>HYPERLINK("https://www.nature.com/articles/s42003-018-0019-5","Hamaji et al 2018")</f>
        <v>Hamaji et al 2018</v>
      </c>
      <c r="B324" s="132">
        <v>2018</v>
      </c>
      <c r="C324" s="117" t="s">
        <v>1702</v>
      </c>
      <c r="D324" s="117" t="s">
        <v>2413</v>
      </c>
    </row>
    <row r="325" spans="1:12" ht="15.75" customHeight="1">
      <c r="A325" s="131" t="str">
        <f>HYPERLINK("https://link.springer.com/article/10.1007%2Fs00438-017-1405-2","Kudoh et al 2018")</f>
        <v>Kudoh et al 2018</v>
      </c>
      <c r="B325" s="132">
        <v>2018</v>
      </c>
      <c r="C325" s="117" t="s">
        <v>1740</v>
      </c>
      <c r="D325" s="117" t="s">
        <v>2414</v>
      </c>
    </row>
    <row r="326" spans="1:12" ht="15.75" customHeight="1">
      <c r="A326" s="131" t="str">
        <f>HYPERLINK("https://doi.org/10.1371/journal.pone.0194605","Lee et al 2018")</f>
        <v>Lee et al 2018</v>
      </c>
      <c r="B326" s="132">
        <v>2018</v>
      </c>
      <c r="C326" s="117" t="s">
        <v>1702</v>
      </c>
      <c r="D326" s="117" t="s">
        <v>2415</v>
      </c>
    </row>
    <row r="327" spans="1:12" ht="15.75" customHeight="1">
      <c r="A327" s="128" t="str">
        <f>HYPERLINK("https://doi.org/10.1038/s41437-018-0084-z","Mangla et al 2018")</f>
        <v>Mangla et al 2018</v>
      </c>
      <c r="B327" s="132">
        <v>2018</v>
      </c>
      <c r="C327" s="117" t="s">
        <v>1707</v>
      </c>
      <c r="D327" s="117" t="s">
        <v>2416</v>
      </c>
    </row>
    <row r="328" spans="1:12" ht="15.75" customHeight="1">
      <c r="A328" s="131" t="str">
        <f>HYPERLINK("https://doi.org/10.1016/j.bcab.2018.08.004","Modi et al 2018")</f>
        <v>Modi et al 2018</v>
      </c>
      <c r="B328" s="132">
        <v>2018</v>
      </c>
      <c r="C328" s="117" t="s">
        <v>1707</v>
      </c>
      <c r="D328" s="117" t="s">
        <v>2417</v>
      </c>
    </row>
    <row r="329" spans="1:12" ht="15.75" customHeight="1">
      <c r="A329" s="131" t="str">
        <f>HYPERLINK("https://doi.org/10.3389/fpls.2018.01068","Moreno et al 2018")</f>
        <v>Moreno et al 2018</v>
      </c>
      <c r="B329" s="132">
        <v>2018</v>
      </c>
      <c r="C329" s="117" t="s">
        <v>2063</v>
      </c>
      <c r="D329" s="117" t="s">
        <v>2418</v>
      </c>
    </row>
    <row r="330" spans="1:12" ht="15.75" customHeight="1">
      <c r="A330" s="131" t="str">
        <f>HYPERLINK("https://doi.org/10.1186/s12864-018-4547-7","Puterova et al 2018")</f>
        <v>Puterova et al 2018</v>
      </c>
      <c r="B330" s="132">
        <v>2018</v>
      </c>
      <c r="C330" s="117" t="s">
        <v>2063</v>
      </c>
      <c r="D330" s="117" t="s">
        <v>2419</v>
      </c>
    </row>
    <row r="331" spans="1:12" ht="15.75" customHeight="1">
      <c r="A331" s="131" t="str">
        <f>HYPERLINK("https://doi.org/10.1371/journal.pbio.2006062","Tennessen et al 2018")</f>
        <v>Tennessen et al 2018</v>
      </c>
      <c r="B331" s="132">
        <v>2018</v>
      </c>
      <c r="C331" s="117" t="s">
        <v>1702</v>
      </c>
      <c r="D331" s="117" t="s">
        <v>2420</v>
      </c>
    </row>
    <row r="332" spans="1:12" ht="15.75" customHeight="1">
      <c r="A332" s="133" t="str">
        <f>HYPERLINK("https://www.ncbi.nlm.nih.gov/pmc/articles/PMC6162277/","Torres et al 2018")</f>
        <v>Torres et al 2018</v>
      </c>
      <c r="B332" s="132">
        <v>2018</v>
      </c>
      <c r="C332" s="117" t="s">
        <v>1702</v>
      </c>
      <c r="D332" s="117" t="s">
        <v>2421</v>
      </c>
    </row>
    <row r="333" spans="1:12" ht="15.75" customHeight="1">
      <c r="A333" s="131" t="str">
        <f>HYPERLINK("https://doi.org/10.3390/genes9060277","Veltsos et al 2018")</f>
        <v>Veltsos et al 2018</v>
      </c>
      <c r="B333" s="132">
        <v>2018</v>
      </c>
      <c r="C333" s="117" t="s">
        <v>1702</v>
      </c>
      <c r="D333" s="117" t="s">
        <v>2422</v>
      </c>
    </row>
    <row r="334" spans="1:12" ht="15.75" customHeight="1">
      <c r="A334" s="131" t="str">
        <f>HYPERLINK("https://doi.org/10.1007/s00122-018-3127-1 ","Wadlington and Ming 2018")</f>
        <v>Wadlington and Ming 2018</v>
      </c>
      <c r="B334" s="132">
        <v>2018</v>
      </c>
      <c r="C334" s="117" t="s">
        <v>1702</v>
      </c>
      <c r="D334" s="117" t="s">
        <v>2241</v>
      </c>
      <c r="E334" s="137"/>
      <c r="F334" s="137"/>
      <c r="G334" s="137"/>
      <c r="H334" s="137"/>
      <c r="I334" s="137"/>
    </row>
    <row r="335" spans="1:12" ht="15.75" customHeight="1">
      <c r="A335" s="131" t="str">
        <f>HYPERLINK("https://doi.org/10.1007/s00438-018-1473-y","Zhou et al 2018")</f>
        <v>Zhou et al 2018</v>
      </c>
      <c r="B335" s="132">
        <v>2018</v>
      </c>
      <c r="C335" s="117" t="s">
        <v>1702</v>
      </c>
      <c r="D335" s="117" t="s">
        <v>2237</v>
      </c>
      <c r="E335" s="137"/>
      <c r="F335" s="137"/>
    </row>
    <row r="336" spans="1:12" ht="15.75" customHeight="1">
      <c r="A336" s="128" t="str">
        <f>HYPERLINK("https://doi.org/10.3390/molecules23051048","Zhou et al 2018")</f>
        <v>Zhou et al 2018</v>
      </c>
      <c r="B336" s="132">
        <v>2018</v>
      </c>
      <c r="C336" s="117" t="s">
        <v>1707</v>
      </c>
      <c r="D336" s="117" t="s">
        <v>2423</v>
      </c>
      <c r="E336" s="137"/>
      <c r="F336" s="137"/>
      <c r="G336" s="137"/>
      <c r="H336" s="137"/>
      <c r="I336" s="137"/>
      <c r="J336" s="137"/>
      <c r="K336" s="137"/>
      <c r="L336" s="137"/>
    </row>
    <row r="337" spans="1:26" ht="15.75" customHeight="1">
      <c r="A337" s="145" t="str">
        <f>HYPERLINK("https://www.ncbi.nlm.nih.gov/pmc/articles/PMC6128410/","Coelho et al 2018")</f>
        <v>Coelho et al 2018</v>
      </c>
      <c r="B337" s="146">
        <v>2018</v>
      </c>
      <c r="C337" s="147" t="s">
        <v>1704</v>
      </c>
      <c r="D337" s="147" t="s">
        <v>2235</v>
      </c>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row>
    <row r="338" spans="1:26" ht="15.75" customHeight="1">
      <c r="A338" s="133" t="str">
        <f>HYPERLINK("https://www.nature.com/articles/s41598-018-37412-x","Balounová et al 2019")</f>
        <v>Balounová et al 2019</v>
      </c>
      <c r="B338" s="132">
        <v>2019</v>
      </c>
      <c r="C338" s="117" t="s">
        <v>1702</v>
      </c>
      <c r="D338" s="117" t="s">
        <v>2424</v>
      </c>
      <c r="E338" s="137"/>
      <c r="F338" s="137"/>
      <c r="G338" s="137"/>
      <c r="H338" s="137"/>
      <c r="I338" s="137"/>
      <c r="J338" s="137"/>
      <c r="K338" s="137"/>
      <c r="L338" s="137"/>
      <c r="M338" s="137"/>
      <c r="N338" s="137"/>
      <c r="O338" s="137"/>
      <c r="P338" s="137"/>
    </row>
    <row r="339" spans="1:26" ht="15.75" customHeight="1">
      <c r="A339" s="133" t="str">
        <f>HYPERLINK("https://agritrop.cirad.fr/591491/1/Cormier2019_Article_AReferenceHigh-densityGeneticM.pdf","Cormier et al 2019")</f>
        <v>Cormier et al 2019</v>
      </c>
      <c r="B339" s="132">
        <v>2019</v>
      </c>
      <c r="C339" s="117" t="s">
        <v>1702</v>
      </c>
      <c r="D339" s="117" t="s">
        <v>2244</v>
      </c>
      <c r="E339" s="137"/>
      <c r="F339" s="137"/>
      <c r="G339" s="137"/>
      <c r="H339" s="137"/>
      <c r="I339" s="137"/>
      <c r="J339" s="137"/>
      <c r="K339" s="137"/>
      <c r="L339" s="137"/>
      <c r="M339" s="137"/>
      <c r="N339" s="137"/>
    </row>
    <row r="340" spans="1:26" ht="15.75" customHeight="1">
      <c r="A340" s="133" t="str">
        <f>HYPERLINK("https://www.tandfonline.com/doi/full/10.1080/14620316.2018.1538707?scroll=top&amp;needAccess=true","Goyat et al 2019")</f>
        <v>Goyat et al 2019</v>
      </c>
      <c r="B340" s="132">
        <v>2019</v>
      </c>
      <c r="C340" s="117" t="s">
        <v>1707</v>
      </c>
      <c r="D340" s="117" t="s">
        <v>2259</v>
      </c>
    </row>
    <row r="341" spans="1:26" ht="15.75" customHeight="1">
      <c r="A341" s="133" t="str">
        <f>HYPERLINK("https://www.ncbi.nlm.nih.gov/pmc/articles/PMC6335074/pdf/PBI-17-397.pdf","Jia et al 2019")</f>
        <v>Jia et al 2019</v>
      </c>
      <c r="B341" s="132">
        <v>2019</v>
      </c>
      <c r="C341" s="117" t="s">
        <v>1702</v>
      </c>
      <c r="D341" s="117" t="s">
        <v>2425</v>
      </c>
    </row>
    <row r="342" spans="1:26" ht="15.75" customHeight="1">
      <c r="A342" s="133" t="str">
        <f>HYPERLINK("https://academic.oup.com/gbe/article/11/2/350/5288778","Martin et al 2019")</f>
        <v>Martin et al 2019</v>
      </c>
      <c r="B342" s="132">
        <v>2019</v>
      </c>
      <c r="C342" s="117" t="s">
        <v>1702</v>
      </c>
      <c r="D342" s="117" t="s">
        <v>2426</v>
      </c>
    </row>
    <row r="343" spans="1:26" ht="15.75" customHeight="1">
      <c r="A343" s="138" t="e">
        <f>HYPERLINK("https://www.cambridge.org/core/services/aop-cambridge-core/content/view/9072C8D7BB4DBFE410417166CB791D0E/S0043174519000274a.pdf/div-class-title-sex-specific-markers-for-waterhemp-span-class-italic-amaranthus-tuberculatus-span-and-palmer-amaranth-span-clas"&amp;"s-italic-amaranthus-palmeri-span-div.pdf","Montgomery et al 2019")</f>
        <v>#VALUE!</v>
      </c>
      <c r="B343" s="132">
        <v>2019</v>
      </c>
      <c r="C343" s="117" t="s">
        <v>1702</v>
      </c>
      <c r="D343" s="117" t="s">
        <v>2263</v>
      </c>
    </row>
    <row r="344" spans="1:26" ht="15.75" customHeight="1">
      <c r="A344" s="128" t="str">
        <f>HYPERLINK("https://www.biorxiv.org/content/10.1101/517946v1.abstract","Zhang et al 2019")</f>
        <v>Zhang et al 2019</v>
      </c>
      <c r="B344" s="132">
        <v>2019</v>
      </c>
      <c r="C344" s="117" t="s">
        <v>1702</v>
      </c>
      <c r="D344" s="117" t="s">
        <v>2248</v>
      </c>
    </row>
    <row r="345" spans="1:26" ht="15.75" customHeight="1">
      <c r="A345" s="159" t="str">
        <f>HYPERLINK("https://doi.org/10.1111/j.1601-5223.1957.tb03444.x","Jacobsen et al. 1956")</f>
        <v>Jacobsen et al. 1956</v>
      </c>
      <c r="B345" s="146">
        <v>1956</v>
      </c>
      <c r="C345" s="147" t="s">
        <v>1715</v>
      </c>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row>
    <row r="346" spans="1:26" ht="15.75" customHeight="1">
      <c r="A346" s="159" t="str">
        <f>HYPERLINK("https://doi.org/10.1139/g97-048","Polley et al. 1997")</f>
        <v>Polley et al. 1997</v>
      </c>
      <c r="B346" s="146">
        <v>1997</v>
      </c>
      <c r="C346" s="147" t="s">
        <v>1707</v>
      </c>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row>
    <row r="347" spans="1:26" ht="15.75" customHeight="1">
      <c r="A347" s="159" t="str">
        <f>HYPERLINK("https://doi.org/10.1046/j.1469-8137.2000.00771.x","Shepard et al. 2000")</f>
        <v>Shepard et al. 2000</v>
      </c>
      <c r="B347" s="146">
        <v>2000</v>
      </c>
      <c r="C347" s="147" t="s">
        <v>1715</v>
      </c>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row>
    <row r="348" spans="1:26" ht="15.75" customHeight="1">
      <c r="A348" s="159" t="str">
        <f>HYPERLINK("https://doi.org/10.1023/A:1024646818324","Karlov et al 2003")</f>
        <v>Karlov et al 2003</v>
      </c>
      <c r="B348" s="146">
        <v>2003</v>
      </c>
      <c r="C348" s="147" t="s">
        <v>1715</v>
      </c>
      <c r="D348" s="160"/>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row>
    <row r="349" spans="1:26" ht="15.75" customHeight="1">
      <c r="A349" s="159" t="str">
        <f>HYPERLINK("https://doi.org/10.17660/ActaHortic.2005.668.11","Danilova et al. 2005")</f>
        <v>Danilova et al. 2005</v>
      </c>
      <c r="B349" s="146">
        <v>2005</v>
      </c>
      <c r="C349" s="147" t="s">
        <v>1707</v>
      </c>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row>
    <row r="350" spans="1:26" ht="15.75" customHeight="1">
      <c r="A350" s="159" t="str">
        <f>HYPERLINK("https://doi.org/10.1134/S1022795411080023","Aleksandrov et al. 2011")</f>
        <v>Aleksandrov et al. 2011</v>
      </c>
      <c r="B350" s="146">
        <v>2011</v>
      </c>
      <c r="C350" s="147" t="s">
        <v>1707</v>
      </c>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row>
    <row r="351" spans="1:26" ht="15.75" customHeight="1">
      <c r="A351" s="162" t="s">
        <v>2427</v>
      </c>
      <c r="C351" s="137"/>
      <c r="D351" s="163" t="s">
        <v>2184</v>
      </c>
    </row>
    <row r="352" spans="1:26" ht="15.75" customHeight="1">
      <c r="A352" s="162" t="s">
        <v>2428</v>
      </c>
      <c r="C352" s="137"/>
      <c r="D352" s="163" t="s">
        <v>2429</v>
      </c>
    </row>
    <row r="353" spans="1:4" ht="15.75" customHeight="1">
      <c r="A353" s="162" t="s">
        <v>2430</v>
      </c>
      <c r="C353" s="137"/>
      <c r="D353" s="163" t="s">
        <v>2231</v>
      </c>
    </row>
    <row r="354" spans="1:4" ht="15.75" customHeight="1">
      <c r="A354" s="162" t="s">
        <v>2431</v>
      </c>
      <c r="C354" s="137"/>
      <c r="D354" s="163" t="s">
        <v>2258</v>
      </c>
    </row>
    <row r="355" spans="1:4" ht="15.75" customHeight="1">
      <c r="A355" s="162" t="s">
        <v>2432</v>
      </c>
      <c r="C355" s="137"/>
      <c r="D355" s="163" t="s">
        <v>1844</v>
      </c>
    </row>
    <row r="356" spans="1:4" ht="15.75" customHeight="1">
      <c r="A356" s="162" t="s">
        <v>2433</v>
      </c>
      <c r="C356" s="137"/>
      <c r="D356" s="163" t="s">
        <v>2257</v>
      </c>
    </row>
    <row r="357" spans="1:4" ht="15.75" customHeight="1">
      <c r="A357" s="164" t="s">
        <v>2434</v>
      </c>
      <c r="C357" s="137"/>
      <c r="D357" s="163" t="s">
        <v>1930</v>
      </c>
    </row>
    <row r="358" spans="1:4" ht="15.75" customHeight="1">
      <c r="A358" s="164" t="s">
        <v>2435</v>
      </c>
      <c r="C358" s="137"/>
      <c r="D358" s="163" t="s">
        <v>2436</v>
      </c>
    </row>
    <row r="359" spans="1:4" ht="15.75" customHeight="1">
      <c r="A359" s="164" t="s">
        <v>1010</v>
      </c>
      <c r="C359" s="137"/>
      <c r="D359" s="163" t="s">
        <v>2437</v>
      </c>
    </row>
    <row r="360" spans="1:4" ht="15.75" customHeight="1">
      <c r="A360" s="164" t="s">
        <v>2438</v>
      </c>
      <c r="C360" s="137"/>
      <c r="D360" s="163" t="s">
        <v>2439</v>
      </c>
    </row>
    <row r="361" spans="1:4" ht="15.75" customHeight="1">
      <c r="A361" s="164" t="s">
        <v>2440</v>
      </c>
      <c r="C361" s="137"/>
      <c r="D361" s="163" t="s">
        <v>1962</v>
      </c>
    </row>
    <row r="362" spans="1:4" ht="15.75" customHeight="1">
      <c r="A362" s="164" t="s">
        <v>2441</v>
      </c>
      <c r="C362" s="137"/>
      <c r="D362" s="163" t="s">
        <v>1971</v>
      </c>
    </row>
    <row r="363" spans="1:4" ht="15.75" customHeight="1">
      <c r="A363" s="164" t="s">
        <v>2442</v>
      </c>
      <c r="C363" s="137"/>
      <c r="D363" s="163" t="s">
        <v>1876</v>
      </c>
    </row>
    <row r="364" spans="1:4" ht="15.75" customHeight="1">
      <c r="A364" s="131"/>
      <c r="B364" s="136"/>
      <c r="C364" s="137"/>
      <c r="D364" s="137"/>
    </row>
    <row r="365" spans="1:4" ht="15.75" customHeight="1">
      <c r="A365" s="131"/>
      <c r="B365" s="136"/>
      <c r="C365" s="137"/>
      <c r="D365" s="137"/>
    </row>
    <row r="366" spans="1:4" ht="15.75" customHeight="1">
      <c r="A366" s="131"/>
      <c r="B366" s="136"/>
      <c r="C366" s="137"/>
      <c r="D366" s="137"/>
    </row>
    <row r="367" spans="1:4" ht="15.75" customHeight="1">
      <c r="A367" s="131"/>
      <c r="B367" s="136"/>
      <c r="C367" s="137"/>
      <c r="D367" s="137"/>
    </row>
    <row r="368" spans="1:4" ht="15.75" customHeight="1">
      <c r="A368" s="131"/>
      <c r="B368" s="136"/>
      <c r="C368" s="137"/>
      <c r="D368" s="137"/>
    </row>
    <row r="369" spans="1:4" ht="15.75" customHeight="1">
      <c r="A369" s="131"/>
      <c r="B369" s="136"/>
      <c r="C369" s="137"/>
      <c r="D369" s="137"/>
    </row>
    <row r="370" spans="1:4" ht="15.75" customHeight="1">
      <c r="A370" s="131"/>
      <c r="B370" s="136"/>
      <c r="C370" s="137"/>
      <c r="D370" s="137"/>
    </row>
    <row r="371" spans="1:4" ht="15.75" customHeight="1">
      <c r="A371" s="131"/>
      <c r="B371" s="136"/>
      <c r="C371" s="137"/>
      <c r="D371" s="137"/>
    </row>
    <row r="372" spans="1:4" ht="15.75" customHeight="1">
      <c r="A372" s="131"/>
      <c r="B372" s="136"/>
      <c r="C372" s="137"/>
      <c r="D372" s="137"/>
    </row>
    <row r="373" spans="1:4" ht="15.75" customHeight="1">
      <c r="A373" s="131"/>
      <c r="B373" s="136"/>
      <c r="C373" s="137"/>
      <c r="D373" s="137"/>
    </row>
    <row r="374" spans="1:4" ht="15.75" customHeight="1">
      <c r="A374" s="131"/>
      <c r="B374" s="136"/>
      <c r="C374" s="137"/>
      <c r="D374" s="137"/>
    </row>
    <row r="375" spans="1:4" ht="15.75" customHeight="1">
      <c r="A375" s="131"/>
      <c r="B375" s="136"/>
      <c r="C375" s="137"/>
      <c r="D375" s="137"/>
    </row>
    <row r="376" spans="1:4" ht="15.75" customHeight="1">
      <c r="A376" s="131"/>
      <c r="B376" s="136"/>
      <c r="C376" s="137"/>
      <c r="D376" s="137"/>
    </row>
    <row r="377" spans="1:4" ht="15.75" customHeight="1">
      <c r="A377" s="131"/>
      <c r="B377" s="136"/>
      <c r="C377" s="137"/>
      <c r="D377" s="137"/>
    </row>
    <row r="378" spans="1:4" ht="15.75" customHeight="1">
      <c r="A378" s="131"/>
      <c r="B378" s="136"/>
      <c r="C378" s="137"/>
      <c r="D378" s="137"/>
    </row>
    <row r="379" spans="1:4" ht="15.75" customHeight="1">
      <c r="A379" s="131"/>
      <c r="B379" s="136"/>
      <c r="C379" s="137"/>
      <c r="D379" s="137"/>
    </row>
    <row r="380" spans="1:4" ht="15.75" customHeight="1">
      <c r="A380" s="131"/>
      <c r="B380" s="136"/>
      <c r="C380" s="137"/>
      <c r="D380" s="137"/>
    </row>
    <row r="381" spans="1:4" ht="15.75" customHeight="1">
      <c r="A381" s="131"/>
      <c r="B381" s="136"/>
      <c r="C381" s="137"/>
      <c r="D381" s="137"/>
    </row>
    <row r="382" spans="1:4" ht="15.75" customHeight="1">
      <c r="A382" s="131"/>
      <c r="B382" s="136"/>
      <c r="C382" s="137"/>
      <c r="D382" s="137"/>
    </row>
    <row r="383" spans="1:4" ht="15.75" customHeight="1">
      <c r="A383" s="131"/>
      <c r="B383" s="136"/>
      <c r="C383" s="137"/>
      <c r="D383" s="137"/>
    </row>
    <row r="384" spans="1:4" ht="15.75" customHeight="1">
      <c r="A384" s="131"/>
      <c r="B384" s="136"/>
      <c r="C384" s="137"/>
      <c r="D384" s="137"/>
    </row>
    <row r="385" spans="1:4" ht="15.75" customHeight="1">
      <c r="A385" s="131"/>
      <c r="B385" s="136"/>
      <c r="C385" s="137"/>
      <c r="D385" s="137"/>
    </row>
    <row r="386" spans="1:4" ht="15.75" customHeight="1">
      <c r="A386" s="131"/>
      <c r="B386" s="136"/>
      <c r="C386" s="137"/>
      <c r="D386" s="137"/>
    </row>
    <row r="387" spans="1:4" ht="15.75" customHeight="1">
      <c r="A387" s="131"/>
      <c r="B387" s="136"/>
      <c r="C387" s="137"/>
      <c r="D387" s="137"/>
    </row>
    <row r="388" spans="1:4" ht="15.75" customHeight="1">
      <c r="A388" s="128"/>
      <c r="B388" s="136"/>
      <c r="C388" s="137"/>
      <c r="D388" s="137"/>
    </row>
    <row r="389" spans="1:4" ht="15.75" customHeight="1">
      <c r="A389" s="128"/>
      <c r="B389" s="136"/>
      <c r="C389" s="137"/>
      <c r="D389" s="137"/>
    </row>
    <row r="390" spans="1:4" ht="15.75" customHeight="1">
      <c r="A390" s="128"/>
      <c r="B390" s="136"/>
      <c r="C390" s="137"/>
      <c r="D390" s="137"/>
    </row>
    <row r="391" spans="1:4" ht="15.75" customHeight="1">
      <c r="A391" s="128"/>
      <c r="B391" s="136"/>
      <c r="C391" s="137"/>
      <c r="D391" s="137"/>
    </row>
    <row r="392" spans="1:4" ht="15.75" customHeight="1">
      <c r="A392" s="131"/>
      <c r="B392" s="136"/>
      <c r="C392" s="137"/>
      <c r="D392" s="137"/>
    </row>
    <row r="393" spans="1:4" ht="15.75" customHeight="1">
      <c r="A393" s="131"/>
      <c r="B393" s="136"/>
      <c r="C393" s="137"/>
      <c r="D393" s="137"/>
    </row>
    <row r="394" spans="1:4" ht="15.75" customHeight="1">
      <c r="A394" s="131"/>
      <c r="B394" s="136"/>
      <c r="C394" s="137"/>
      <c r="D394" s="137"/>
    </row>
    <row r="395" spans="1:4" ht="15.75" customHeight="1">
      <c r="A395" s="131"/>
      <c r="B395" s="136"/>
      <c r="C395" s="137"/>
      <c r="D395" s="137"/>
    </row>
    <row r="396" spans="1:4" ht="15.75" customHeight="1">
      <c r="A396" s="131"/>
      <c r="B396" s="136"/>
      <c r="C396" s="137"/>
      <c r="D396" s="137"/>
    </row>
    <row r="397" spans="1:4" ht="15.75" customHeight="1">
      <c r="A397" s="131"/>
      <c r="B397" s="136"/>
      <c r="C397" s="137"/>
      <c r="D397" s="137"/>
    </row>
    <row r="398" spans="1:4" ht="15.75" customHeight="1">
      <c r="A398" s="131"/>
      <c r="B398" s="136"/>
      <c r="C398" s="137"/>
      <c r="D398" s="137"/>
    </row>
    <row r="399" spans="1:4" ht="15.75" customHeight="1">
      <c r="A399" s="131"/>
      <c r="B399" s="136"/>
      <c r="C399" s="137"/>
      <c r="D399" s="137"/>
    </row>
    <row r="400" spans="1:4" ht="15.75" customHeight="1">
      <c r="A400" s="131"/>
      <c r="B400" s="136"/>
      <c r="C400" s="137"/>
      <c r="D400" s="137"/>
    </row>
    <row r="401" spans="1:4" ht="15.75" customHeight="1">
      <c r="A401" s="131"/>
      <c r="B401" s="136"/>
      <c r="C401" s="137"/>
      <c r="D401" s="137"/>
    </row>
    <row r="402" spans="1:4" ht="15.75" customHeight="1">
      <c r="A402" s="131"/>
      <c r="B402" s="136"/>
      <c r="C402" s="137"/>
      <c r="D402" s="137"/>
    </row>
    <row r="403" spans="1:4" ht="15.75" customHeight="1">
      <c r="A403" s="128"/>
      <c r="B403" s="136"/>
      <c r="C403" s="137"/>
      <c r="D403" s="137"/>
    </row>
    <row r="404" spans="1:4" ht="15.75" customHeight="1">
      <c r="A404" s="131"/>
      <c r="B404" s="136"/>
      <c r="C404" s="137"/>
      <c r="D404" s="137"/>
    </row>
    <row r="405" spans="1:4" ht="15.75" customHeight="1">
      <c r="A405" s="131"/>
      <c r="B405" s="136"/>
      <c r="C405" s="137"/>
      <c r="D405" s="137"/>
    </row>
    <row r="406" spans="1:4" ht="15.75" customHeight="1">
      <c r="A406" s="131"/>
      <c r="B406" s="136"/>
      <c r="C406" s="137"/>
      <c r="D406" s="137"/>
    </row>
    <row r="407" spans="1:4" ht="15.75" customHeight="1">
      <c r="A407" s="131"/>
      <c r="B407" s="136"/>
      <c r="C407" s="137"/>
      <c r="D407" s="137"/>
    </row>
    <row r="408" spans="1:4" ht="15.75" customHeight="1">
      <c r="A408" s="131"/>
      <c r="B408" s="136"/>
      <c r="C408" s="137"/>
      <c r="D408" s="137"/>
    </row>
    <row r="409" spans="1:4" ht="15.75" customHeight="1">
      <c r="A409" s="131"/>
      <c r="B409" s="136"/>
      <c r="C409" s="137"/>
      <c r="D409" s="137"/>
    </row>
    <row r="410" spans="1:4" ht="15.75" customHeight="1">
      <c r="A410" s="131"/>
      <c r="B410" s="136"/>
      <c r="C410" s="137"/>
      <c r="D410" s="137"/>
    </row>
    <row r="411" spans="1:4" ht="15.75" customHeight="1">
      <c r="A411" s="131"/>
      <c r="B411" s="136"/>
      <c r="C411" s="137"/>
      <c r="D411" s="137"/>
    </row>
    <row r="412" spans="1:4" ht="15.75" customHeight="1">
      <c r="A412" s="131"/>
      <c r="B412" s="136"/>
      <c r="C412" s="137"/>
      <c r="D412" s="137"/>
    </row>
    <row r="413" spans="1:4" ht="15.75" customHeight="1">
      <c r="A413" s="131"/>
      <c r="B413" s="136"/>
      <c r="C413" s="137"/>
      <c r="D413" s="137"/>
    </row>
    <row r="414" spans="1:4" ht="15.75" customHeight="1">
      <c r="A414" s="131"/>
      <c r="B414" s="136"/>
      <c r="C414" s="137"/>
      <c r="D414" s="137"/>
    </row>
    <row r="415" spans="1:4" ht="15.75" customHeight="1">
      <c r="A415" s="131"/>
      <c r="B415" s="136"/>
      <c r="C415" s="137"/>
      <c r="D415" s="137"/>
    </row>
    <row r="416" spans="1:4" ht="15.75" customHeight="1">
      <c r="A416" s="131"/>
      <c r="B416" s="136"/>
      <c r="C416" s="137"/>
      <c r="D416" s="137"/>
    </row>
    <row r="417" spans="1:4" ht="15.75" customHeight="1">
      <c r="A417" s="131"/>
      <c r="B417" s="136"/>
      <c r="C417" s="137"/>
      <c r="D417" s="137"/>
    </row>
    <row r="418" spans="1:4" ht="15.75" customHeight="1">
      <c r="A418" s="131"/>
      <c r="B418" s="136"/>
      <c r="C418" s="137"/>
      <c r="D418" s="137"/>
    </row>
    <row r="419" spans="1:4" ht="15.75" customHeight="1">
      <c r="A419" s="131"/>
      <c r="B419" s="136"/>
      <c r="C419" s="137"/>
      <c r="D419" s="137"/>
    </row>
    <row r="420" spans="1:4" ht="15.75" customHeight="1">
      <c r="A420" s="131"/>
      <c r="B420" s="136"/>
      <c r="C420" s="137"/>
      <c r="D420" s="137"/>
    </row>
    <row r="421" spans="1:4" ht="15.75" customHeight="1">
      <c r="A421" s="131"/>
      <c r="B421" s="136"/>
      <c r="C421" s="137"/>
      <c r="D421" s="137"/>
    </row>
    <row r="422" spans="1:4" ht="15.75" customHeight="1">
      <c r="A422" s="131"/>
      <c r="B422" s="136"/>
      <c r="C422" s="137"/>
      <c r="D422" s="137"/>
    </row>
    <row r="423" spans="1:4" ht="15.75" customHeight="1">
      <c r="A423" s="131"/>
      <c r="B423" s="136"/>
      <c r="C423" s="137"/>
      <c r="D423" s="137"/>
    </row>
    <row r="424" spans="1:4" ht="15.75" customHeight="1">
      <c r="A424" s="131"/>
      <c r="B424" s="136"/>
      <c r="C424" s="137"/>
      <c r="D424" s="137"/>
    </row>
    <row r="425" spans="1:4" ht="15.75" customHeight="1">
      <c r="A425" s="131"/>
      <c r="B425" s="136"/>
      <c r="C425" s="137"/>
      <c r="D425" s="137"/>
    </row>
    <row r="426" spans="1:4" ht="15.75" customHeight="1">
      <c r="A426" s="131"/>
      <c r="B426" s="136"/>
      <c r="C426" s="137"/>
      <c r="D426" s="137"/>
    </row>
    <row r="427" spans="1:4" ht="15.75" customHeight="1">
      <c r="A427" s="131"/>
      <c r="B427" s="136"/>
      <c r="C427" s="137"/>
      <c r="D427" s="137"/>
    </row>
    <row r="428" spans="1:4" ht="15.75" customHeight="1">
      <c r="A428" s="131"/>
      <c r="B428" s="136"/>
      <c r="C428" s="137"/>
      <c r="D428" s="137"/>
    </row>
    <row r="429" spans="1:4" ht="15.75" customHeight="1">
      <c r="A429" s="131"/>
      <c r="B429" s="136"/>
      <c r="C429" s="137"/>
      <c r="D429" s="137"/>
    </row>
    <row r="430" spans="1:4" ht="15.75" customHeight="1">
      <c r="A430" s="131"/>
      <c r="B430" s="136"/>
      <c r="C430" s="137"/>
      <c r="D430" s="137"/>
    </row>
    <row r="431" spans="1:4" ht="15.75" customHeight="1">
      <c r="A431" s="131"/>
      <c r="B431" s="136"/>
      <c r="C431" s="137"/>
      <c r="D431" s="137"/>
    </row>
    <row r="432" spans="1:4" ht="15.75" customHeight="1">
      <c r="A432" s="131"/>
      <c r="B432" s="136"/>
      <c r="C432" s="137"/>
      <c r="D432" s="137"/>
    </row>
    <row r="433" spans="1:4" ht="15.75" customHeight="1">
      <c r="A433" s="131"/>
      <c r="B433" s="136"/>
      <c r="C433" s="137"/>
      <c r="D433" s="137"/>
    </row>
    <row r="434" spans="1:4" ht="15.75" customHeight="1">
      <c r="A434" s="131"/>
      <c r="B434" s="136"/>
      <c r="C434" s="137"/>
      <c r="D434" s="137"/>
    </row>
    <row r="435" spans="1:4" ht="15.75" customHeight="1">
      <c r="A435" s="131"/>
      <c r="B435" s="136"/>
      <c r="C435" s="137"/>
      <c r="D435" s="137"/>
    </row>
    <row r="436" spans="1:4" ht="15.75" customHeight="1">
      <c r="A436" s="131"/>
      <c r="B436" s="136"/>
      <c r="C436" s="137"/>
      <c r="D436" s="137"/>
    </row>
    <row r="437" spans="1:4" ht="15.75" customHeight="1">
      <c r="A437" s="131"/>
      <c r="B437" s="136"/>
      <c r="C437" s="137"/>
      <c r="D437" s="137"/>
    </row>
    <row r="438" spans="1:4" ht="15.75" customHeight="1">
      <c r="A438" s="131"/>
      <c r="B438" s="136"/>
      <c r="C438" s="137"/>
      <c r="D438" s="137"/>
    </row>
    <row r="439" spans="1:4" ht="15.75" customHeight="1">
      <c r="A439" s="131"/>
      <c r="B439" s="136"/>
      <c r="C439" s="137"/>
      <c r="D439" s="137"/>
    </row>
    <row r="440" spans="1:4" ht="15.75" customHeight="1">
      <c r="A440" s="131"/>
      <c r="B440" s="136"/>
      <c r="C440" s="137"/>
      <c r="D440" s="137"/>
    </row>
    <row r="441" spans="1:4" ht="15.75" customHeight="1">
      <c r="A441" s="131"/>
      <c r="B441" s="136"/>
      <c r="C441" s="137"/>
      <c r="D441" s="137"/>
    </row>
    <row r="442" spans="1:4" ht="15.75" customHeight="1">
      <c r="A442" s="131"/>
      <c r="B442" s="136"/>
      <c r="C442" s="137"/>
      <c r="D442" s="137"/>
    </row>
    <row r="443" spans="1:4" ht="15.75" customHeight="1">
      <c r="A443" s="131"/>
      <c r="B443" s="136"/>
      <c r="C443" s="137"/>
      <c r="D443" s="137"/>
    </row>
    <row r="444" spans="1:4" ht="15.75" customHeight="1">
      <c r="A444" s="131"/>
      <c r="B444" s="136"/>
      <c r="C444" s="137"/>
      <c r="D444" s="137"/>
    </row>
    <row r="445" spans="1:4" ht="15.75" customHeight="1">
      <c r="A445" s="131"/>
      <c r="B445" s="136"/>
      <c r="C445" s="137"/>
      <c r="D445" s="137"/>
    </row>
    <row r="446" spans="1:4" ht="15.75" customHeight="1">
      <c r="A446" s="131"/>
      <c r="B446" s="136"/>
      <c r="C446" s="137"/>
      <c r="D446" s="137"/>
    </row>
    <row r="447" spans="1:4" ht="15.75" customHeight="1">
      <c r="A447" s="131"/>
      <c r="B447" s="136"/>
      <c r="C447" s="137"/>
      <c r="D447" s="137"/>
    </row>
    <row r="448" spans="1:4" ht="15.75" customHeight="1">
      <c r="A448" s="131"/>
      <c r="B448" s="136"/>
      <c r="C448" s="137"/>
      <c r="D448" s="137"/>
    </row>
    <row r="449" spans="1:4" ht="15.75" customHeight="1">
      <c r="A449" s="131"/>
      <c r="B449" s="136"/>
      <c r="C449" s="137"/>
      <c r="D449" s="137"/>
    </row>
    <row r="450" spans="1:4" ht="15.75" customHeight="1">
      <c r="A450" s="131"/>
      <c r="B450" s="136"/>
      <c r="C450" s="137"/>
      <c r="D450" s="137"/>
    </row>
    <row r="451" spans="1:4" ht="15.75" customHeight="1">
      <c r="A451" s="131"/>
      <c r="B451" s="136"/>
      <c r="C451" s="137"/>
      <c r="D451" s="137"/>
    </row>
    <row r="452" spans="1:4" ht="15.75" customHeight="1">
      <c r="A452" s="131"/>
      <c r="B452" s="136"/>
      <c r="C452" s="137"/>
      <c r="D452" s="137"/>
    </row>
    <row r="453" spans="1:4" ht="15.75" customHeight="1">
      <c r="A453" s="131"/>
      <c r="B453" s="136"/>
      <c r="C453" s="137"/>
      <c r="D453" s="137"/>
    </row>
    <row r="454" spans="1:4" ht="15.75" customHeight="1">
      <c r="A454" s="131"/>
      <c r="B454" s="136"/>
      <c r="C454" s="137"/>
      <c r="D454" s="137"/>
    </row>
    <row r="455" spans="1:4" ht="15.75" customHeight="1">
      <c r="A455" s="131"/>
      <c r="B455" s="136"/>
      <c r="C455" s="137"/>
      <c r="D455" s="137"/>
    </row>
    <row r="456" spans="1:4" ht="15.75" customHeight="1">
      <c r="A456" s="131"/>
      <c r="B456" s="136"/>
      <c r="C456" s="137"/>
      <c r="D456" s="137"/>
    </row>
    <row r="457" spans="1:4" ht="15.75" customHeight="1">
      <c r="A457" s="131"/>
      <c r="B457" s="136"/>
      <c r="C457" s="137"/>
      <c r="D457" s="137"/>
    </row>
    <row r="458" spans="1:4" ht="15.75" customHeight="1">
      <c r="A458" s="131"/>
      <c r="B458" s="136"/>
      <c r="C458" s="137"/>
      <c r="D458" s="137"/>
    </row>
    <row r="459" spans="1:4" ht="15.75" customHeight="1">
      <c r="A459" s="161"/>
      <c r="B459" s="136"/>
      <c r="C459" s="137"/>
      <c r="D459" s="137"/>
    </row>
    <row r="460" spans="1:4" ht="15.75" customHeight="1">
      <c r="A460" s="161"/>
      <c r="B460" s="136"/>
      <c r="C460" s="137"/>
      <c r="D460" s="137"/>
    </row>
    <row r="461" spans="1:4" ht="15.75" customHeight="1">
      <c r="A461" s="161"/>
      <c r="B461" s="136"/>
      <c r="C461" s="137"/>
      <c r="D461" s="137"/>
    </row>
    <row r="462" spans="1:4" ht="15.75" customHeight="1">
      <c r="A462" s="161"/>
      <c r="B462" s="136"/>
      <c r="C462" s="137"/>
      <c r="D462" s="137"/>
    </row>
    <row r="463" spans="1:4" ht="15.75" customHeight="1">
      <c r="A463" s="161"/>
      <c r="B463" s="136"/>
      <c r="C463" s="137"/>
      <c r="D463" s="137"/>
    </row>
    <row r="464" spans="1:4" ht="15.75" customHeight="1">
      <c r="A464" s="161"/>
      <c r="B464" s="136"/>
      <c r="C464" s="137"/>
      <c r="D464" s="137"/>
    </row>
    <row r="465" spans="1:4" ht="15.75" customHeight="1">
      <c r="A465" s="161"/>
      <c r="B465" s="136"/>
      <c r="C465" s="137"/>
      <c r="D465" s="137"/>
    </row>
    <row r="466" spans="1:4" ht="15.75" customHeight="1">
      <c r="A466" s="161"/>
      <c r="B466" s="136"/>
      <c r="C466" s="137"/>
      <c r="D466" s="137"/>
    </row>
    <row r="467" spans="1:4" ht="15.75" customHeight="1">
      <c r="A467" s="161"/>
      <c r="B467" s="136"/>
      <c r="C467" s="137"/>
      <c r="D467" s="137"/>
    </row>
    <row r="468" spans="1:4" ht="15.75" customHeight="1">
      <c r="A468" s="161"/>
      <c r="B468" s="136"/>
      <c r="C468" s="137"/>
      <c r="D468" s="137"/>
    </row>
    <row r="469" spans="1:4" ht="15.75" customHeight="1">
      <c r="A469" s="161"/>
      <c r="B469" s="136"/>
      <c r="C469" s="137"/>
      <c r="D469" s="137"/>
    </row>
    <row r="470" spans="1:4" ht="15.75" customHeight="1">
      <c r="A470" s="161"/>
      <c r="B470" s="136"/>
      <c r="C470" s="137"/>
      <c r="D470" s="137"/>
    </row>
    <row r="471" spans="1:4" ht="15.75" customHeight="1">
      <c r="A471" s="161"/>
      <c r="B471" s="136"/>
      <c r="C471" s="137"/>
      <c r="D471" s="137"/>
    </row>
    <row r="472" spans="1:4" ht="15.75" customHeight="1">
      <c r="A472" s="161"/>
      <c r="B472" s="136"/>
      <c r="C472" s="137"/>
      <c r="D472" s="137"/>
    </row>
    <row r="473" spans="1:4" ht="15.75" customHeight="1">
      <c r="A473" s="161"/>
      <c r="B473" s="136"/>
      <c r="C473" s="137"/>
      <c r="D473" s="137"/>
    </row>
    <row r="474" spans="1:4" ht="15.75" customHeight="1">
      <c r="A474" s="161"/>
      <c r="B474" s="136"/>
      <c r="C474" s="137"/>
      <c r="D474" s="137"/>
    </row>
    <row r="475" spans="1:4" ht="15.75" customHeight="1">
      <c r="A475" s="161"/>
      <c r="B475" s="136"/>
      <c r="C475" s="137"/>
      <c r="D475" s="137"/>
    </row>
    <row r="476" spans="1:4" ht="15.75" customHeight="1">
      <c r="A476" s="161"/>
      <c r="B476" s="136"/>
      <c r="C476" s="137"/>
      <c r="D476" s="137"/>
    </row>
    <row r="477" spans="1:4" ht="15.75" customHeight="1">
      <c r="A477" s="161"/>
      <c r="B477" s="136"/>
      <c r="C477" s="137"/>
      <c r="D477" s="137"/>
    </row>
    <row r="478" spans="1:4" ht="15.75" customHeight="1">
      <c r="A478" s="161"/>
      <c r="B478" s="136"/>
      <c r="C478" s="137"/>
      <c r="D478" s="137"/>
    </row>
    <row r="479" spans="1:4" ht="15.75" customHeight="1">
      <c r="A479" s="161"/>
      <c r="B479" s="136"/>
      <c r="C479" s="137"/>
      <c r="D479" s="137"/>
    </row>
    <row r="480" spans="1:4" ht="15.75" customHeight="1">
      <c r="A480" s="161"/>
      <c r="B480" s="136"/>
      <c r="C480" s="137"/>
      <c r="D480" s="137"/>
    </row>
    <row r="481" spans="1:4" ht="15.75" customHeight="1">
      <c r="A481" s="161"/>
      <c r="B481" s="136"/>
      <c r="C481" s="137"/>
      <c r="D481" s="137"/>
    </row>
    <row r="482" spans="1:4" ht="15.75" customHeight="1">
      <c r="A482" s="161"/>
      <c r="B482" s="136"/>
      <c r="C482" s="137"/>
      <c r="D482" s="137"/>
    </row>
    <row r="483" spans="1:4" ht="15.75" customHeight="1">
      <c r="A483" s="161"/>
      <c r="B483" s="136"/>
      <c r="C483" s="137"/>
      <c r="D483" s="137"/>
    </row>
    <row r="484" spans="1:4" ht="15.75" customHeight="1">
      <c r="A484" s="161"/>
      <c r="B484" s="136"/>
      <c r="C484" s="137"/>
      <c r="D484" s="137"/>
    </row>
    <row r="485" spans="1:4" ht="15.75" customHeight="1">
      <c r="A485" s="161"/>
      <c r="B485" s="136"/>
      <c r="C485" s="137"/>
      <c r="D485" s="137"/>
    </row>
    <row r="486" spans="1:4" ht="15.75" customHeight="1">
      <c r="A486" s="161"/>
      <c r="B486" s="136"/>
      <c r="C486" s="137"/>
      <c r="D486" s="137"/>
    </row>
    <row r="487" spans="1:4" ht="15.75" customHeight="1">
      <c r="A487" s="161"/>
      <c r="B487" s="136"/>
      <c r="C487" s="137"/>
      <c r="D487" s="137"/>
    </row>
    <row r="488" spans="1:4" ht="15.75" customHeight="1">
      <c r="A488" s="161"/>
      <c r="B488" s="136"/>
      <c r="C488" s="137"/>
      <c r="D488" s="137"/>
    </row>
    <row r="489" spans="1:4" ht="15.75" customHeight="1">
      <c r="A489" s="161"/>
      <c r="B489" s="136"/>
      <c r="C489" s="137"/>
      <c r="D489" s="137"/>
    </row>
    <row r="490" spans="1:4" ht="15.75" customHeight="1">
      <c r="A490" s="161"/>
      <c r="B490" s="136"/>
      <c r="C490" s="137"/>
      <c r="D490" s="137"/>
    </row>
    <row r="491" spans="1:4" ht="15.75" customHeight="1">
      <c r="A491" s="161"/>
      <c r="B491" s="136"/>
      <c r="C491" s="137"/>
      <c r="D491" s="137"/>
    </row>
    <row r="492" spans="1:4" ht="15.75" customHeight="1">
      <c r="A492" s="161"/>
      <c r="B492" s="136"/>
      <c r="C492" s="137"/>
      <c r="D492" s="137"/>
    </row>
    <row r="493" spans="1:4" ht="15.75" customHeight="1">
      <c r="A493" s="161"/>
      <c r="B493" s="136"/>
      <c r="C493" s="137"/>
      <c r="D493" s="137"/>
    </row>
    <row r="494" spans="1:4" ht="15.75" customHeight="1">
      <c r="A494" s="161"/>
      <c r="B494" s="136"/>
      <c r="C494" s="137"/>
      <c r="D494" s="137"/>
    </row>
    <row r="495" spans="1:4" ht="15.75" customHeight="1">
      <c r="A495" s="161"/>
      <c r="B495" s="136"/>
      <c r="C495" s="137"/>
      <c r="D495" s="137"/>
    </row>
    <row r="496" spans="1:4" ht="15.75" customHeight="1">
      <c r="A496" s="161"/>
      <c r="B496" s="136"/>
      <c r="C496" s="137"/>
      <c r="D496" s="137"/>
    </row>
    <row r="497" spans="1:4" ht="15.75" customHeight="1">
      <c r="A497" s="161"/>
      <c r="B497" s="136"/>
      <c r="C497" s="137"/>
      <c r="D497" s="137"/>
    </row>
    <row r="498" spans="1:4" ht="15.75" customHeight="1">
      <c r="A498" s="161"/>
      <c r="B498" s="136"/>
      <c r="C498" s="137"/>
      <c r="D498" s="137"/>
    </row>
    <row r="499" spans="1:4" ht="15.75" customHeight="1">
      <c r="A499" s="161"/>
      <c r="B499" s="136"/>
      <c r="C499" s="137"/>
      <c r="D499" s="137"/>
    </row>
    <row r="500" spans="1:4" ht="15.75" customHeight="1">
      <c r="A500" s="161"/>
      <c r="B500" s="136"/>
      <c r="C500" s="137"/>
      <c r="D500" s="137"/>
    </row>
    <row r="501" spans="1:4" ht="15.75" customHeight="1">
      <c r="A501" s="161"/>
      <c r="B501" s="136"/>
      <c r="C501" s="137"/>
      <c r="D501" s="137"/>
    </row>
    <row r="502" spans="1:4" ht="15.75" customHeight="1">
      <c r="A502" s="161"/>
      <c r="B502" s="136"/>
      <c r="C502" s="137"/>
      <c r="D502" s="137"/>
    </row>
    <row r="503" spans="1:4" ht="15.75" customHeight="1">
      <c r="A503" s="161"/>
      <c r="B503" s="136"/>
      <c r="C503" s="137"/>
      <c r="D503" s="137"/>
    </row>
    <row r="504" spans="1:4" ht="15.75" customHeight="1">
      <c r="A504" s="161"/>
      <c r="B504" s="136"/>
      <c r="C504" s="137"/>
      <c r="D504" s="137"/>
    </row>
    <row r="505" spans="1:4" ht="15.75" customHeight="1">
      <c r="A505" s="161"/>
      <c r="B505" s="136"/>
      <c r="C505" s="137"/>
      <c r="D505" s="137"/>
    </row>
    <row r="506" spans="1:4" ht="15.75" customHeight="1">
      <c r="A506" s="161"/>
      <c r="B506" s="136"/>
      <c r="C506" s="137"/>
      <c r="D506" s="137"/>
    </row>
    <row r="507" spans="1:4" ht="15.75" customHeight="1">
      <c r="A507" s="161"/>
      <c r="B507" s="136"/>
      <c r="C507" s="137"/>
      <c r="D507" s="137"/>
    </row>
    <row r="508" spans="1:4" ht="15.75" customHeight="1">
      <c r="A508" s="128"/>
      <c r="B508" s="136"/>
      <c r="C508" s="137"/>
      <c r="D508" s="137"/>
    </row>
    <row r="509" spans="1:4" ht="15.75" customHeight="1">
      <c r="A509" s="161"/>
      <c r="B509" s="136"/>
      <c r="C509" s="137"/>
      <c r="D509" s="137"/>
    </row>
    <row r="510" spans="1:4" ht="15.75" customHeight="1">
      <c r="A510" s="161"/>
      <c r="B510" s="136"/>
      <c r="C510" s="137"/>
      <c r="D510" s="137"/>
    </row>
    <row r="511" spans="1:4" ht="15.75" customHeight="1">
      <c r="A511" s="161"/>
      <c r="B511" s="136"/>
      <c r="C511" s="137"/>
      <c r="D511" s="137"/>
    </row>
    <row r="512" spans="1:4" ht="15.75" customHeight="1">
      <c r="A512" s="161"/>
      <c r="B512" s="136"/>
      <c r="C512" s="137"/>
      <c r="D512" s="137"/>
    </row>
    <row r="513" spans="1:4" ht="15.75" customHeight="1">
      <c r="A513" s="161"/>
      <c r="B513" s="136"/>
      <c r="C513" s="137"/>
      <c r="D513" s="137"/>
    </row>
    <row r="514" spans="1:4" ht="15.75" customHeight="1">
      <c r="A514" s="161"/>
      <c r="B514" s="136"/>
      <c r="C514" s="137"/>
      <c r="D514" s="137"/>
    </row>
    <row r="515" spans="1:4" ht="15.75" customHeight="1">
      <c r="A515" s="161"/>
      <c r="B515" s="136"/>
      <c r="C515" s="137"/>
      <c r="D515" s="137"/>
    </row>
    <row r="516" spans="1:4" ht="15.75" customHeight="1">
      <c r="A516" s="161"/>
      <c r="B516" s="136"/>
      <c r="C516" s="137"/>
      <c r="D516" s="137"/>
    </row>
    <row r="517" spans="1:4" ht="15.75" customHeight="1">
      <c r="A517" s="161"/>
      <c r="B517" s="136"/>
      <c r="C517" s="137"/>
      <c r="D517" s="137"/>
    </row>
    <row r="518" spans="1:4" ht="15.75" customHeight="1">
      <c r="A518" s="161"/>
      <c r="B518" s="136"/>
      <c r="C518" s="137"/>
      <c r="D518" s="137"/>
    </row>
    <row r="519" spans="1:4" ht="15.75" customHeight="1">
      <c r="A519" s="161"/>
      <c r="B519" s="136"/>
      <c r="C519" s="137"/>
      <c r="D519" s="137"/>
    </row>
    <row r="520" spans="1:4" ht="15.75" customHeight="1">
      <c r="A520" s="131"/>
      <c r="B520" s="136"/>
      <c r="C520" s="137"/>
      <c r="D520" s="137"/>
    </row>
    <row r="521" spans="1:4" ht="15.75" customHeight="1">
      <c r="A521" s="131"/>
      <c r="B521" s="136"/>
      <c r="C521" s="137"/>
      <c r="D521" s="137"/>
    </row>
    <row r="522" spans="1:4" ht="15.75" customHeight="1">
      <c r="A522" s="161"/>
      <c r="B522" s="136"/>
      <c r="C522" s="137"/>
      <c r="D522" s="137"/>
    </row>
    <row r="523" spans="1:4" ht="15.75" customHeight="1">
      <c r="A523" s="161"/>
      <c r="B523" s="136"/>
      <c r="C523" s="137"/>
      <c r="D523" s="137"/>
    </row>
    <row r="524" spans="1:4" ht="15.75" customHeight="1">
      <c r="A524" s="161"/>
      <c r="B524" s="136"/>
      <c r="C524" s="137"/>
      <c r="D524" s="137"/>
    </row>
    <row r="525" spans="1:4" ht="15.75" customHeight="1">
      <c r="A525" s="161"/>
      <c r="B525" s="136"/>
      <c r="C525" s="137"/>
      <c r="D525" s="137"/>
    </row>
    <row r="526" spans="1:4" ht="15.75" customHeight="1">
      <c r="A526" s="161"/>
      <c r="B526" s="136"/>
      <c r="C526" s="137"/>
      <c r="D526" s="137"/>
    </row>
    <row r="527" spans="1:4" ht="15.75" customHeight="1">
      <c r="A527" s="161"/>
      <c r="B527" s="136"/>
      <c r="C527" s="137"/>
      <c r="D527" s="137"/>
    </row>
    <row r="528" spans="1:4" ht="15.75" customHeight="1">
      <c r="A528" s="161"/>
      <c r="B528" s="136"/>
      <c r="C528" s="137"/>
      <c r="D528" s="137"/>
    </row>
    <row r="529" spans="1:4" ht="15.75" customHeight="1">
      <c r="A529" s="131"/>
      <c r="B529" s="136"/>
      <c r="C529" s="137"/>
      <c r="D529" s="137"/>
    </row>
    <row r="530" spans="1:4" ht="15.75" customHeight="1">
      <c r="A530" s="131"/>
      <c r="B530" s="136"/>
      <c r="C530" s="137"/>
      <c r="D530" s="137"/>
    </row>
    <row r="531" spans="1:4" ht="15.75" customHeight="1">
      <c r="A531" s="161"/>
      <c r="B531" s="136"/>
      <c r="C531" s="137"/>
      <c r="D531" s="137"/>
    </row>
    <row r="532" spans="1:4" ht="15.75" customHeight="1">
      <c r="A532" s="161"/>
      <c r="B532" s="136"/>
      <c r="C532" s="137"/>
      <c r="D532" s="137"/>
    </row>
    <row r="533" spans="1:4" ht="15.75" customHeight="1">
      <c r="A533" s="161"/>
      <c r="B533" s="136"/>
      <c r="C533" s="137"/>
      <c r="D533" s="137"/>
    </row>
    <row r="534" spans="1:4" ht="15.75" customHeight="1">
      <c r="A534" s="161"/>
      <c r="B534" s="136"/>
      <c r="C534" s="137"/>
      <c r="D534" s="137"/>
    </row>
    <row r="535" spans="1:4" ht="15.75" customHeight="1">
      <c r="A535" s="161"/>
      <c r="B535" s="136"/>
      <c r="C535" s="137"/>
      <c r="D535" s="137"/>
    </row>
    <row r="536" spans="1:4" ht="15.75" customHeight="1">
      <c r="A536" s="131"/>
      <c r="B536" s="136"/>
      <c r="C536" s="137"/>
      <c r="D536" s="137"/>
    </row>
    <row r="537" spans="1:4" ht="15.75" customHeight="1">
      <c r="A537" s="131"/>
      <c r="B537" s="136"/>
      <c r="C537" s="137"/>
      <c r="D537" s="137"/>
    </row>
    <row r="538" spans="1:4" ht="15.75" customHeight="1">
      <c r="A538" s="161"/>
      <c r="B538" s="136"/>
      <c r="C538" s="137"/>
      <c r="D538" s="137"/>
    </row>
    <row r="539" spans="1:4" ht="15.75" customHeight="1">
      <c r="A539" s="161"/>
      <c r="B539" s="136"/>
      <c r="C539" s="137"/>
      <c r="D539" s="137"/>
    </row>
    <row r="540" spans="1:4" ht="15.75" customHeight="1">
      <c r="A540" s="161"/>
      <c r="B540" s="136"/>
      <c r="C540" s="137"/>
      <c r="D540" s="137"/>
    </row>
    <row r="541" spans="1:4" ht="15.75" customHeight="1">
      <c r="A541" s="161"/>
      <c r="B541" s="136"/>
      <c r="C541" s="137"/>
      <c r="D541" s="137"/>
    </row>
    <row r="542" spans="1:4" ht="15.75" customHeight="1">
      <c r="A542" s="161"/>
      <c r="B542" s="136"/>
      <c r="C542" s="137"/>
      <c r="D542" s="137"/>
    </row>
    <row r="543" spans="1:4" ht="15.75" customHeight="1">
      <c r="A543" s="161"/>
      <c r="B543" s="136"/>
      <c r="C543" s="137"/>
      <c r="D543" s="137"/>
    </row>
    <row r="544" spans="1:4" ht="15.75" customHeight="1">
      <c r="A544" s="161"/>
      <c r="B544" s="136"/>
      <c r="C544" s="137"/>
      <c r="D544" s="137"/>
    </row>
    <row r="545" spans="1:4" ht="15.75" customHeight="1">
      <c r="A545" s="161"/>
      <c r="B545" s="136"/>
      <c r="C545" s="137"/>
      <c r="D545" s="137"/>
    </row>
    <row r="546" spans="1:4" ht="15.75" customHeight="1">
      <c r="A546" s="128"/>
      <c r="B546" s="136"/>
      <c r="C546" s="137"/>
      <c r="D546" s="137"/>
    </row>
    <row r="547" spans="1:4" ht="15.75" customHeight="1">
      <c r="A547" s="128"/>
      <c r="B547" s="136"/>
      <c r="C547" s="137"/>
      <c r="D547" s="137"/>
    </row>
    <row r="548" spans="1:4" ht="15.75" customHeight="1">
      <c r="A548" s="161"/>
      <c r="B548" s="136"/>
      <c r="C548" s="137"/>
      <c r="D548" s="137"/>
    </row>
    <row r="549" spans="1:4" ht="15.75" customHeight="1">
      <c r="A549" s="161"/>
      <c r="B549" s="136"/>
      <c r="C549" s="137"/>
      <c r="D549" s="137"/>
    </row>
    <row r="550" spans="1:4" ht="15.75" customHeight="1">
      <c r="A550" s="161"/>
      <c r="B550" s="136"/>
      <c r="C550" s="137"/>
      <c r="D550" s="137"/>
    </row>
    <row r="551" spans="1:4" ht="15.75" customHeight="1">
      <c r="A551" s="161"/>
      <c r="B551" s="136"/>
      <c r="C551" s="137"/>
      <c r="D551" s="137"/>
    </row>
    <row r="552" spans="1:4" ht="15.75" customHeight="1">
      <c r="A552" s="161"/>
      <c r="B552" s="136"/>
      <c r="C552" s="137"/>
      <c r="D552" s="137"/>
    </row>
    <row r="553" spans="1:4" ht="15.75" customHeight="1">
      <c r="A553" s="161"/>
      <c r="B553" s="136"/>
      <c r="C553" s="137"/>
      <c r="D553" s="137"/>
    </row>
    <row r="554" spans="1:4" ht="15.75" customHeight="1">
      <c r="A554" s="161"/>
      <c r="B554" s="136"/>
      <c r="C554" s="137"/>
      <c r="D554" s="137"/>
    </row>
    <row r="555" spans="1:4" ht="15.75" customHeight="1">
      <c r="A555" s="161"/>
      <c r="B555" s="136"/>
      <c r="C555" s="137"/>
      <c r="D555" s="137"/>
    </row>
    <row r="556" spans="1:4" ht="15.75" customHeight="1">
      <c r="A556" s="161"/>
      <c r="B556" s="136"/>
      <c r="C556" s="137"/>
      <c r="D556" s="137"/>
    </row>
    <row r="557" spans="1:4" ht="15.75" customHeight="1">
      <c r="A557" s="161"/>
      <c r="B557" s="136"/>
      <c r="C557" s="137"/>
      <c r="D557" s="137"/>
    </row>
    <row r="558" spans="1:4" ht="15.75" customHeight="1">
      <c r="A558" s="161"/>
      <c r="B558" s="136"/>
      <c r="C558" s="137"/>
      <c r="D558" s="137"/>
    </row>
    <row r="559" spans="1:4" ht="15.75" customHeight="1">
      <c r="A559" s="161"/>
      <c r="B559" s="136"/>
      <c r="C559" s="137"/>
      <c r="D559" s="137"/>
    </row>
    <row r="560" spans="1:4" ht="15.75" customHeight="1">
      <c r="A560" s="161"/>
      <c r="B560" s="136"/>
      <c r="C560" s="137"/>
      <c r="D560" s="137"/>
    </row>
    <row r="561" spans="1:4" ht="15.75" customHeight="1">
      <c r="A561" s="161"/>
      <c r="B561" s="136"/>
      <c r="C561" s="137"/>
      <c r="D561" s="137"/>
    </row>
    <row r="562" spans="1:4" ht="15.75" customHeight="1">
      <c r="A562" s="161"/>
      <c r="B562" s="136"/>
      <c r="C562" s="137"/>
      <c r="D562" s="137"/>
    </row>
    <row r="563" spans="1:4" ht="15.75" customHeight="1">
      <c r="A563" s="161"/>
      <c r="B563" s="136"/>
      <c r="C563" s="137"/>
      <c r="D563" s="137"/>
    </row>
    <row r="564" spans="1:4" ht="15.75" customHeight="1"/>
    <row r="565" spans="1:4" ht="15.75" customHeight="1"/>
    <row r="566" spans="1:4" ht="15.75" customHeight="1"/>
    <row r="567" spans="1:4" ht="15.75" customHeight="1"/>
    <row r="568" spans="1:4" ht="15.75" customHeight="1"/>
    <row r="569" spans="1:4" ht="15.75" customHeight="1"/>
    <row r="570" spans="1:4" ht="15.75" customHeight="1"/>
    <row r="571" spans="1:4" ht="15.75" customHeight="1"/>
    <row r="572" spans="1:4" ht="15.75" customHeight="1"/>
    <row r="573" spans="1:4" ht="15.75" customHeight="1"/>
    <row r="574" spans="1:4" ht="15.75" customHeight="1"/>
    <row r="575" spans="1:4" ht="15.75" customHeight="1"/>
    <row r="576" spans="1:4"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351" r:id="rId1" xr:uid="{00000000-0004-0000-0500-000000000000}"/>
    <hyperlink ref="A352" r:id="rId2" xr:uid="{00000000-0004-0000-0500-000001000000}"/>
    <hyperlink ref="A353" r:id="rId3" xr:uid="{00000000-0004-0000-0500-000002000000}"/>
    <hyperlink ref="A354" r:id="rId4" xr:uid="{00000000-0004-0000-0500-000003000000}"/>
    <hyperlink ref="A355" r:id="rId5" xr:uid="{00000000-0004-0000-0500-000004000000}"/>
    <hyperlink ref="A356" r:id="rId6" xr:uid="{00000000-0004-0000-0500-000005000000}"/>
    <hyperlink ref="A357" r:id="rId7" xr:uid="{00000000-0004-0000-0500-000006000000}"/>
    <hyperlink ref="A358" r:id="rId8" xr:uid="{00000000-0004-0000-0500-000007000000}"/>
    <hyperlink ref="A359" r:id="rId9" location="v=onepage&amp;q=%20Mercurialis&amp;f=false" xr:uid="{00000000-0004-0000-0500-000008000000}"/>
    <hyperlink ref="A360" r:id="rId10" xr:uid="{00000000-0004-0000-0500-000009000000}"/>
    <hyperlink ref="A361" r:id="rId11" xr:uid="{00000000-0004-0000-0500-00000A000000}"/>
    <hyperlink ref="A362" r:id="rId12" xr:uid="{00000000-0004-0000-0500-00000B000000}"/>
    <hyperlink ref="A363" r:id="rId13" xr:uid="{00000000-0004-0000-0500-00000C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NEW GENERAL 28102022</vt:lpstr>
      <vt:lpstr>Table OPTIONS for individual da</vt:lpstr>
      <vt:lpstr>References APA 23052022</vt:lpstr>
      <vt:lpstr>References APA per csv 23052022</vt:lpstr>
      <vt:lpstr>Full 29</vt:lpstr>
      <vt:lpstr>Full 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Edward Moulsdale</cp:lastModifiedBy>
  <dcterms:created xsi:type="dcterms:W3CDTF">2025-07-23T07:16:10Z</dcterms:created>
  <dcterms:modified xsi:type="dcterms:W3CDTF">2025-07-23T07:17:55Z</dcterms:modified>
</cp:coreProperties>
</file>